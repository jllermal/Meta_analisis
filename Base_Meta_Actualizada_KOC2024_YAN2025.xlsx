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34FBC11-B2F3-4083-B409-8854EEE233A5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README" sheetId="1" r:id="rId1"/>
    <sheet name="SADDIQUE2022_RAW" sheetId="2" r:id="rId2"/>
    <sheet name="ABORYIA2022_RAW" sheetId="3" r:id="rId3"/>
    <sheet name="EFFECTS_READY" sheetId="4" r:id="rId4"/>
    <sheet name="ALI2008_STATUS" sheetId="5" r:id="rId5"/>
    <sheet name="ALI2008_RAW" sheetId="6" r:id="rId6"/>
    <sheet name="HAYAT2021_RAW" sheetId="7" r:id="rId7"/>
    <sheet name="AHMED2020_RAW" sheetId="8" r:id="rId8"/>
    <sheet name="STUDIES" sheetId="9" r:id="rId9"/>
    <sheet name="SUMMARY" sheetId="10" r:id="rId10"/>
    <sheet name="GAO2025_RAW" sheetId="11" r:id="rId11"/>
    <sheet name="SHAHBAZ2013_RAW" sheetId="12" r:id="rId12"/>
    <sheet name="ALFOSEA2020_RAW" sheetId="13" r:id="rId13"/>
    <sheet name="SHAHID2021_RAW" sheetId="14" r:id="rId14"/>
    <sheet name="MAQSOOD2022_RAW" sheetId="15" r:id="rId15"/>
    <sheet name="WU2017_RAW" sheetId="16" r:id="rId16"/>
    <sheet name="SUN2022_RAW" sheetId="17" r:id="rId17"/>
    <sheet name="FARDUS2021_RAW" sheetId="18" r:id="rId18"/>
    <sheet name="GHAFOOR2026_RAW" sheetId="19" r:id="rId19"/>
    <sheet name="TURFAN2026_RAW" sheetId="20" r:id="rId20"/>
    <sheet name="SELOVIC2023_RAW" sheetId="21" r:id="rId21"/>
    <sheet name="NOREEN2018_RAW" sheetId="22" r:id="rId22"/>
    <sheet name="BADRAN2014_RAW" sheetId="23" r:id="rId23"/>
    <sheet name="HUANG2009_RAW" sheetId="24" r:id="rId24"/>
    <sheet name="ATTA2024_PENDING" sheetId="25" r:id="rId25"/>
    <sheet name="BUSHRA2023_RAW" sheetId="26" r:id="rId26"/>
    <sheet name="ABDELKADER2023_RAW" sheetId="27" r:id="rId27"/>
    <sheet name="ZOUARI2016_RAW" sheetId="28" r:id="rId28"/>
    <sheet name="ALSHAHARNI2026_RAW" sheetId="29" r:id="rId29"/>
    <sheet name="ELHAKEM2026_RAW" sheetId="30" r:id="rId30"/>
    <sheet name="MAHBOOB2016_RAW" sheetId="31" r:id="rId31"/>
    <sheet name="ZOUARI_DATEPALM_RAW" sheetId="32" r:id="rId32"/>
    <sheet name="GENC2021_RAW" sheetId="33" r:id="rId33"/>
    <sheet name="KHAJEHZADEH2022_RAW" sheetId="34" r:id="rId34"/>
    <sheet name="CACEFO2021_RAW" sheetId="35" r:id="rId35"/>
    <sheet name="META_AUDIT" sheetId="36" r:id="rId36"/>
    <sheet name="AUDIT_STUDY_COUNTS" sheetId="37" r:id="rId37"/>
    <sheet name="AUDIT_EXTREMES" sheetId="38" r:id="rId38"/>
    <sheet name="META_ANALYSIS_READY" sheetId="39" r:id="rId39"/>
    <sheet name="AA_MOLECULAR_WEIGHTS" sheetId="40" r:id="rId40"/>
    <sheet name="MODEL_GUIDE" sheetId="41" r:id="rId41"/>
    <sheet name="FINAL_READY_SUMMARY" sheetId="42" r:id="rId42"/>
    <sheet name="KOC2024_RAW" sheetId="43" r:id="rId43"/>
    <sheet name="YAN2025_RAW" sheetId="44" r:id="rId44"/>
    <sheet name="UPDATE_2026_08_31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89" i="39" l="1"/>
  <c r="V589" i="39"/>
  <c r="AX589" i="39" s="1"/>
  <c r="W588" i="39"/>
  <c r="V588" i="39"/>
  <c r="AX588" i="39" s="1"/>
  <c r="AX587" i="39"/>
  <c r="W587" i="39"/>
  <c r="V587" i="39"/>
  <c r="W586" i="39"/>
  <c r="V586" i="39"/>
  <c r="AX586" i="39" s="1"/>
  <c r="AX585" i="39"/>
  <c r="W585" i="39"/>
  <c r="V585" i="39"/>
  <c r="W584" i="39"/>
  <c r="V584" i="39"/>
  <c r="AX584" i="39" s="1"/>
  <c r="W583" i="39"/>
  <c r="V583" i="39"/>
  <c r="AX583" i="39" s="1"/>
  <c r="W582" i="39"/>
  <c r="V582" i="39"/>
  <c r="AX582" i="39" s="1"/>
  <c r="AX581" i="39"/>
  <c r="W581" i="39"/>
  <c r="V581" i="39"/>
  <c r="W580" i="39"/>
  <c r="V580" i="39"/>
  <c r="AX580" i="39" s="1"/>
  <c r="AX579" i="39"/>
  <c r="W579" i="39"/>
  <c r="V579" i="39"/>
  <c r="W578" i="39"/>
  <c r="V578" i="39"/>
  <c r="AX578" i="39" s="1"/>
  <c r="W577" i="39"/>
  <c r="V577" i="39"/>
  <c r="AX577" i="39" s="1"/>
  <c r="W589" i="4"/>
  <c r="V589" i="4"/>
  <c r="W588" i="4"/>
  <c r="V588" i="4"/>
  <c r="W587" i="4"/>
  <c r="V587" i="4"/>
  <c r="W586" i="4"/>
  <c r="V586" i="4"/>
  <c r="W585" i="4"/>
  <c r="V585" i="4"/>
  <c r="W584" i="4"/>
  <c r="V584" i="4"/>
  <c r="W583" i="4"/>
  <c r="V583" i="4"/>
  <c r="W582" i="4"/>
  <c r="V582" i="4"/>
  <c r="W581" i="4"/>
  <c r="V581" i="4"/>
  <c r="W580" i="4"/>
  <c r="V580" i="4"/>
  <c r="W579" i="4"/>
  <c r="V579" i="4"/>
  <c r="W578" i="4"/>
  <c r="V578" i="4"/>
  <c r="W577" i="4"/>
  <c r="V577" i="4"/>
  <c r="V576" i="4"/>
  <c r="U576" i="4"/>
  <c r="W576" i="4" s="1"/>
  <c r="T576" i="4"/>
  <c r="V575" i="4"/>
  <c r="U575" i="4"/>
  <c r="W575" i="4" s="1"/>
  <c r="T575" i="4"/>
  <c r="W574" i="4"/>
  <c r="V574" i="4"/>
  <c r="U574" i="4"/>
  <c r="T574" i="4"/>
  <c r="W573" i="4"/>
  <c r="V573" i="4"/>
  <c r="U573" i="4"/>
  <c r="T573" i="4"/>
  <c r="V572" i="4"/>
  <c r="U572" i="4"/>
  <c r="W572" i="4" s="1"/>
  <c r="T572" i="4"/>
  <c r="W571" i="4"/>
  <c r="V571" i="4"/>
  <c r="U571" i="4"/>
  <c r="T571" i="4"/>
  <c r="V570" i="4"/>
  <c r="U570" i="4"/>
  <c r="W570" i="4" s="1"/>
  <c r="T570" i="4"/>
  <c r="W569" i="4"/>
  <c r="V569" i="4"/>
  <c r="U569" i="4"/>
  <c r="T569" i="4"/>
  <c r="V568" i="4"/>
  <c r="U568" i="4"/>
  <c r="T568" i="4"/>
  <c r="W567" i="4"/>
  <c r="V567" i="4"/>
  <c r="U567" i="4"/>
  <c r="T567" i="4"/>
  <c r="V566" i="4"/>
  <c r="U566" i="4"/>
  <c r="W566" i="4" s="1"/>
  <c r="T566" i="4"/>
  <c r="W565" i="4"/>
  <c r="V565" i="4"/>
  <c r="U565" i="4"/>
  <c r="T565" i="4"/>
  <c r="V564" i="4"/>
  <c r="U564" i="4"/>
  <c r="T564" i="4"/>
  <c r="V563" i="4"/>
  <c r="U563" i="4"/>
  <c r="W563" i="4" s="1"/>
  <c r="T563" i="4"/>
  <c r="V562" i="4"/>
  <c r="U562" i="4"/>
  <c r="W562" i="4" s="1"/>
  <c r="T562" i="4"/>
  <c r="W561" i="4"/>
  <c r="V561" i="4"/>
  <c r="U561" i="4"/>
  <c r="T561" i="4"/>
  <c r="V560" i="4"/>
  <c r="U560" i="4"/>
  <c r="T560" i="4"/>
  <c r="V559" i="4"/>
  <c r="U559" i="4"/>
  <c r="W559" i="4" s="1"/>
  <c r="T559" i="4"/>
  <c r="V558" i="4"/>
  <c r="U558" i="4"/>
  <c r="W558" i="4" s="1"/>
  <c r="T558" i="4"/>
  <c r="W557" i="4"/>
  <c r="V557" i="4"/>
  <c r="U557" i="4"/>
  <c r="T557" i="4"/>
  <c r="V556" i="4"/>
  <c r="U556" i="4"/>
  <c r="T556" i="4"/>
  <c r="V555" i="4"/>
  <c r="U555" i="4"/>
  <c r="W555" i="4" s="1"/>
  <c r="T555" i="4"/>
  <c r="W554" i="4"/>
  <c r="V554" i="4"/>
  <c r="W553" i="4"/>
  <c r="V553" i="4"/>
  <c r="W552" i="4"/>
  <c r="V552" i="4"/>
  <c r="W551" i="4"/>
  <c r="V551" i="4"/>
  <c r="W550" i="4"/>
  <c r="V550" i="4"/>
  <c r="W549" i="4"/>
  <c r="V549" i="4"/>
  <c r="W548" i="4"/>
  <c r="V548" i="4"/>
  <c r="W547" i="4"/>
  <c r="V547" i="4"/>
  <c r="W546" i="4"/>
  <c r="V546" i="4"/>
  <c r="W545" i="4"/>
  <c r="V545" i="4"/>
  <c r="W544" i="4"/>
  <c r="V544" i="4"/>
  <c r="W543" i="4"/>
  <c r="V543" i="4"/>
  <c r="W542" i="4"/>
  <c r="V542" i="4"/>
  <c r="W541" i="4"/>
  <c r="V541" i="4"/>
  <c r="W540" i="4"/>
  <c r="V540" i="4"/>
  <c r="W539" i="4"/>
  <c r="V539" i="4"/>
  <c r="W538" i="4"/>
  <c r="V538" i="4"/>
  <c r="U538" i="4"/>
  <c r="T538" i="4"/>
  <c r="W537" i="4"/>
  <c r="V537" i="4"/>
  <c r="U537" i="4"/>
  <c r="T537" i="4"/>
  <c r="V536" i="4"/>
  <c r="U536" i="4"/>
  <c r="T536" i="4"/>
  <c r="V535" i="4"/>
  <c r="U535" i="4"/>
  <c r="W535" i="4" s="1"/>
  <c r="T535" i="4"/>
  <c r="W534" i="4"/>
  <c r="V534" i="4"/>
  <c r="U534" i="4"/>
  <c r="T534" i="4"/>
  <c r="W533" i="4"/>
  <c r="V533" i="4"/>
  <c r="U533" i="4"/>
  <c r="T533" i="4"/>
  <c r="V532" i="4"/>
  <c r="U532" i="4"/>
  <c r="T532" i="4"/>
  <c r="V531" i="4"/>
  <c r="U531" i="4"/>
  <c r="W531" i="4" s="1"/>
  <c r="T531" i="4"/>
  <c r="V530" i="4"/>
  <c r="U530" i="4"/>
  <c r="W530" i="4" s="1"/>
  <c r="T530" i="4"/>
  <c r="W529" i="4"/>
  <c r="V529" i="4"/>
  <c r="U529" i="4"/>
  <c r="T529" i="4"/>
  <c r="V528" i="4"/>
  <c r="U528" i="4"/>
  <c r="T528" i="4"/>
  <c r="V527" i="4"/>
  <c r="U527" i="4"/>
  <c r="T527" i="4"/>
  <c r="W526" i="4"/>
  <c r="V526" i="4"/>
  <c r="U526" i="4"/>
  <c r="T526" i="4"/>
  <c r="W525" i="4"/>
  <c r="V525" i="4"/>
  <c r="U525" i="4"/>
  <c r="T525" i="4"/>
  <c r="V524" i="4"/>
  <c r="U524" i="4"/>
  <c r="W524" i="4" s="1"/>
  <c r="T524" i="4"/>
  <c r="V523" i="4"/>
  <c r="U523" i="4"/>
  <c r="W523" i="4" s="1"/>
  <c r="T523" i="4"/>
  <c r="V522" i="4"/>
  <c r="U522" i="4"/>
  <c r="W522" i="4" s="1"/>
  <c r="T522" i="4"/>
  <c r="W521" i="4"/>
  <c r="V521" i="4"/>
  <c r="U521" i="4"/>
  <c r="T521" i="4"/>
  <c r="W520" i="4"/>
  <c r="V520" i="4"/>
  <c r="W519" i="4"/>
  <c r="V519" i="4"/>
  <c r="W518" i="4"/>
  <c r="V518" i="4"/>
  <c r="W517" i="4"/>
  <c r="V517" i="4"/>
  <c r="W516" i="4"/>
  <c r="V516" i="4"/>
  <c r="W515" i="4"/>
  <c r="V515" i="4"/>
  <c r="W514" i="4"/>
  <c r="V514" i="4"/>
  <c r="W513" i="4"/>
  <c r="V513" i="4"/>
  <c r="W512" i="4"/>
  <c r="V512" i="4"/>
  <c r="W511" i="4"/>
  <c r="V511" i="4"/>
  <c r="W510" i="4"/>
  <c r="V510" i="4"/>
  <c r="W509" i="4"/>
  <c r="V509" i="4"/>
  <c r="V508" i="4"/>
  <c r="U508" i="4"/>
  <c r="W508" i="4" s="1"/>
  <c r="T508" i="4"/>
  <c r="W507" i="4"/>
  <c r="V507" i="4"/>
  <c r="U507" i="4"/>
  <c r="T507" i="4"/>
  <c r="V506" i="4"/>
  <c r="U506" i="4"/>
  <c r="T506" i="4"/>
  <c r="V505" i="4"/>
  <c r="U505" i="4"/>
  <c r="W505" i="4" s="1"/>
  <c r="T505" i="4"/>
  <c r="V504" i="4"/>
  <c r="U504" i="4"/>
  <c r="T504" i="4"/>
  <c r="W503" i="4"/>
  <c r="V503" i="4"/>
  <c r="U503" i="4"/>
  <c r="T503" i="4"/>
  <c r="V502" i="4"/>
  <c r="U502" i="4"/>
  <c r="T502" i="4"/>
  <c r="W501" i="4"/>
  <c r="V501" i="4"/>
  <c r="U501" i="4"/>
  <c r="T501" i="4"/>
  <c r="V500" i="4"/>
  <c r="U500" i="4"/>
  <c r="T500" i="4"/>
  <c r="W499" i="4"/>
  <c r="V499" i="4"/>
  <c r="U499" i="4"/>
  <c r="T499" i="4"/>
  <c r="V498" i="4"/>
  <c r="U498" i="4"/>
  <c r="T498" i="4"/>
  <c r="W497" i="4"/>
  <c r="V497" i="4"/>
  <c r="U497" i="4"/>
  <c r="T497" i="4"/>
  <c r="V496" i="4"/>
  <c r="U496" i="4"/>
  <c r="T496" i="4"/>
  <c r="W495" i="4"/>
  <c r="V495" i="4"/>
  <c r="U495" i="4"/>
  <c r="T495" i="4"/>
  <c r="V494" i="4"/>
  <c r="U494" i="4"/>
  <c r="W494" i="4" s="1"/>
  <c r="T494" i="4"/>
  <c r="V493" i="4"/>
  <c r="U493" i="4"/>
  <c r="W493" i="4" s="1"/>
  <c r="T493" i="4"/>
  <c r="V492" i="4"/>
  <c r="U492" i="4"/>
  <c r="W492" i="4" s="1"/>
  <c r="T492" i="4"/>
  <c r="W491" i="4"/>
  <c r="V491" i="4"/>
  <c r="U491" i="4"/>
  <c r="T491" i="4"/>
  <c r="V490" i="4"/>
  <c r="U490" i="4"/>
  <c r="T490" i="4"/>
  <c r="V489" i="4"/>
  <c r="U489" i="4"/>
  <c r="W489" i="4" s="1"/>
  <c r="T489" i="4"/>
  <c r="V488" i="4"/>
  <c r="U488" i="4"/>
  <c r="W488" i="4" s="1"/>
  <c r="T488" i="4"/>
  <c r="W487" i="4"/>
  <c r="V487" i="4"/>
  <c r="U487" i="4"/>
  <c r="T487" i="4"/>
  <c r="V486" i="4"/>
  <c r="U486" i="4"/>
  <c r="W486" i="4" s="1"/>
  <c r="T486" i="4"/>
  <c r="V485" i="4"/>
  <c r="U485" i="4"/>
  <c r="W485" i="4" s="1"/>
  <c r="T485" i="4"/>
  <c r="W484" i="4"/>
  <c r="V484" i="4"/>
  <c r="U484" i="4"/>
  <c r="T484" i="4"/>
  <c r="W483" i="4"/>
  <c r="V483" i="4"/>
  <c r="W482" i="4"/>
  <c r="V482" i="4"/>
  <c r="W481" i="4"/>
  <c r="V481" i="4"/>
  <c r="W480" i="4"/>
  <c r="V480" i="4"/>
  <c r="W479" i="4"/>
  <c r="V479" i="4"/>
  <c r="W478" i="4"/>
  <c r="V478" i="4"/>
  <c r="W477" i="4"/>
  <c r="V477" i="4"/>
  <c r="W476" i="4"/>
  <c r="V476" i="4"/>
  <c r="W475" i="4"/>
  <c r="V475" i="4"/>
  <c r="W474" i="4"/>
  <c r="V474" i="4"/>
  <c r="W473" i="4"/>
  <c r="V473" i="4"/>
  <c r="W472" i="4"/>
  <c r="V472" i="4"/>
  <c r="W471" i="4"/>
  <c r="V471" i="4"/>
  <c r="W470" i="4"/>
  <c r="V470" i="4"/>
  <c r="W469" i="4"/>
  <c r="V469" i="4"/>
  <c r="W468" i="4"/>
  <c r="V468" i="4"/>
  <c r="W467" i="4"/>
  <c r="V467" i="4"/>
  <c r="W466" i="4"/>
  <c r="V466" i="4"/>
  <c r="W465" i="4"/>
  <c r="V465" i="4"/>
  <c r="W464" i="4"/>
  <c r="V464" i="4"/>
  <c r="W463" i="4"/>
  <c r="V463" i="4"/>
  <c r="W462" i="4"/>
  <c r="V462" i="4"/>
  <c r="W461" i="4"/>
  <c r="V461" i="4"/>
  <c r="W460" i="4"/>
  <c r="V460" i="4"/>
  <c r="W459" i="4"/>
  <c r="V459" i="4"/>
  <c r="W458" i="4"/>
  <c r="V458" i="4"/>
  <c r="W457" i="4"/>
  <c r="V457" i="4"/>
  <c r="W456" i="4"/>
  <c r="V456" i="4"/>
  <c r="V455" i="4"/>
  <c r="U455" i="4"/>
  <c r="W455" i="4" s="1"/>
  <c r="T455" i="4"/>
  <c r="W454" i="4"/>
  <c r="V454" i="4"/>
  <c r="U454" i="4"/>
  <c r="T454" i="4"/>
  <c r="V453" i="4"/>
  <c r="U453" i="4"/>
  <c r="T453" i="4"/>
  <c r="W453" i="4" s="1"/>
  <c r="V452" i="4"/>
  <c r="U452" i="4"/>
  <c r="T452" i="4"/>
  <c r="V451" i="4"/>
  <c r="U451" i="4"/>
  <c r="W451" i="4" s="1"/>
  <c r="T451" i="4"/>
  <c r="W450" i="4"/>
  <c r="V450" i="4"/>
  <c r="U450" i="4"/>
  <c r="T450" i="4"/>
  <c r="V449" i="4"/>
  <c r="U449" i="4"/>
  <c r="T449" i="4"/>
  <c r="W449" i="4" s="1"/>
  <c r="V448" i="4"/>
  <c r="U448" i="4"/>
  <c r="T448" i="4"/>
  <c r="W447" i="4"/>
  <c r="V447" i="4"/>
  <c r="U447" i="4"/>
  <c r="T447" i="4"/>
  <c r="V446" i="4"/>
  <c r="U446" i="4"/>
  <c r="W446" i="4" s="1"/>
  <c r="T446" i="4"/>
  <c r="V445" i="4"/>
  <c r="U445" i="4"/>
  <c r="T445" i="4"/>
  <c r="W445" i="4" s="1"/>
  <c r="V444" i="4"/>
  <c r="U444" i="4"/>
  <c r="W444" i="4" s="1"/>
  <c r="T444" i="4"/>
  <c r="W443" i="4"/>
  <c r="V443" i="4"/>
  <c r="U443" i="4"/>
  <c r="T443" i="4"/>
  <c r="V442" i="4"/>
  <c r="U442" i="4"/>
  <c r="W442" i="4" s="1"/>
  <c r="T442" i="4"/>
  <c r="V441" i="4"/>
  <c r="U441" i="4"/>
  <c r="T441" i="4"/>
  <c r="W441" i="4" s="1"/>
  <c r="V440" i="4"/>
  <c r="U440" i="4"/>
  <c r="T440" i="4"/>
  <c r="W439" i="4"/>
  <c r="V439" i="4"/>
  <c r="U439" i="4"/>
  <c r="T439" i="4"/>
  <c r="V438" i="4"/>
  <c r="U438" i="4"/>
  <c r="W438" i="4" s="1"/>
  <c r="T438" i="4"/>
  <c r="W437" i="4"/>
  <c r="V437" i="4"/>
  <c r="U437" i="4"/>
  <c r="T437" i="4"/>
  <c r="V436" i="4"/>
  <c r="U436" i="4"/>
  <c r="T436" i="4"/>
  <c r="V435" i="4"/>
  <c r="U435" i="4"/>
  <c r="W435" i="4" s="1"/>
  <c r="T435" i="4"/>
  <c r="V434" i="4"/>
  <c r="U434" i="4"/>
  <c r="W434" i="4" s="1"/>
  <c r="T434" i="4"/>
  <c r="W433" i="4"/>
  <c r="V433" i="4"/>
  <c r="U433" i="4"/>
  <c r="T433" i="4"/>
  <c r="W432" i="4"/>
  <c r="V432" i="4"/>
  <c r="W431" i="4"/>
  <c r="V431" i="4"/>
  <c r="W430" i="4"/>
  <c r="V430" i="4"/>
  <c r="W429" i="4"/>
  <c r="V429" i="4"/>
  <c r="W428" i="4"/>
  <c r="V428" i="4"/>
  <c r="W427" i="4"/>
  <c r="V427" i="4"/>
  <c r="W426" i="4"/>
  <c r="V426" i="4"/>
  <c r="W425" i="4"/>
  <c r="V425" i="4"/>
  <c r="W424" i="4"/>
  <c r="V424" i="4"/>
  <c r="W423" i="4"/>
  <c r="V423" i="4"/>
  <c r="W422" i="4"/>
  <c r="V422" i="4"/>
  <c r="W421" i="4"/>
  <c r="V421" i="4"/>
  <c r="W420" i="4"/>
  <c r="V420" i="4"/>
  <c r="W419" i="4"/>
  <c r="V419" i="4"/>
  <c r="W418" i="4"/>
  <c r="V418" i="4"/>
  <c r="W417" i="4"/>
  <c r="V417" i="4"/>
  <c r="W416" i="4"/>
  <c r="V416" i="4"/>
  <c r="W415" i="4"/>
  <c r="V415" i="4"/>
  <c r="W414" i="4"/>
  <c r="V414" i="4"/>
  <c r="W413" i="4"/>
  <c r="V413" i="4"/>
  <c r="W412" i="4"/>
  <c r="V412" i="4"/>
  <c r="W411" i="4"/>
  <c r="V411" i="4"/>
  <c r="W410" i="4"/>
  <c r="V410" i="4"/>
  <c r="W409" i="4"/>
  <c r="V409" i="4"/>
  <c r="W408" i="4"/>
  <c r="V408" i="4"/>
  <c r="W407" i="4"/>
  <c r="V407" i="4"/>
  <c r="V406" i="4"/>
  <c r="U406" i="4"/>
  <c r="W406" i="4" s="1"/>
  <c r="T406" i="4"/>
  <c r="V405" i="4"/>
  <c r="U405" i="4"/>
  <c r="W405" i="4" s="1"/>
  <c r="T405" i="4"/>
  <c r="W404" i="4"/>
  <c r="V404" i="4"/>
  <c r="U404" i="4"/>
  <c r="T404" i="4"/>
  <c r="V403" i="4"/>
  <c r="U403" i="4"/>
  <c r="T403" i="4"/>
  <c r="W402" i="4"/>
  <c r="V402" i="4"/>
  <c r="U402" i="4"/>
  <c r="T402" i="4"/>
  <c r="W401" i="4"/>
  <c r="V401" i="4"/>
  <c r="U401" i="4"/>
  <c r="T401" i="4"/>
  <c r="W400" i="4"/>
  <c r="V400" i="4"/>
  <c r="U400" i="4"/>
  <c r="T400" i="4"/>
  <c r="V399" i="4"/>
  <c r="U399" i="4"/>
  <c r="T399" i="4"/>
  <c r="W398" i="4"/>
  <c r="V398" i="4"/>
  <c r="U398" i="4"/>
  <c r="T398" i="4"/>
  <c r="W397" i="4"/>
  <c r="V397" i="4"/>
  <c r="U397" i="4"/>
  <c r="T397" i="4"/>
  <c r="V396" i="4"/>
  <c r="U396" i="4"/>
  <c r="T396" i="4"/>
  <c r="W396" i="4" s="1"/>
  <c r="V395" i="4"/>
  <c r="U395" i="4"/>
  <c r="T395" i="4"/>
  <c r="V394" i="4"/>
  <c r="U394" i="4"/>
  <c r="W394" i="4" s="1"/>
  <c r="T394" i="4"/>
  <c r="W393" i="4"/>
  <c r="V393" i="4"/>
  <c r="U393" i="4"/>
  <c r="T393" i="4"/>
  <c r="V392" i="4"/>
  <c r="U392" i="4"/>
  <c r="T392" i="4"/>
  <c r="W392" i="4" s="1"/>
  <c r="V391" i="4"/>
  <c r="U391" i="4"/>
  <c r="T391" i="4"/>
  <c r="V390" i="4"/>
  <c r="U390" i="4"/>
  <c r="T390" i="4"/>
  <c r="W389" i="4"/>
  <c r="V389" i="4"/>
  <c r="U389" i="4"/>
  <c r="T389" i="4"/>
  <c r="V388" i="4"/>
  <c r="U388" i="4"/>
  <c r="T388" i="4"/>
  <c r="W388" i="4" s="1"/>
  <c r="V387" i="4"/>
  <c r="U387" i="4"/>
  <c r="W387" i="4" s="1"/>
  <c r="T387" i="4"/>
  <c r="V386" i="4"/>
  <c r="U386" i="4"/>
  <c r="W386" i="4" s="1"/>
  <c r="T386" i="4"/>
  <c r="V385" i="4"/>
  <c r="U385" i="4"/>
  <c r="W385" i="4" s="1"/>
  <c r="T385" i="4"/>
  <c r="W384" i="4"/>
  <c r="V384" i="4"/>
  <c r="U384" i="4"/>
  <c r="T384" i="4"/>
  <c r="V383" i="4"/>
  <c r="U383" i="4"/>
  <c r="T383" i="4"/>
  <c r="V382" i="4"/>
  <c r="U382" i="4"/>
  <c r="W382" i="4" s="1"/>
  <c r="T382" i="4"/>
  <c r="V381" i="4"/>
  <c r="U381" i="4"/>
  <c r="W381" i="4" s="1"/>
  <c r="T381" i="4"/>
  <c r="W380" i="4"/>
  <c r="V380" i="4"/>
  <c r="U380" i="4"/>
  <c r="T380" i="4"/>
  <c r="V379" i="4"/>
  <c r="U379" i="4"/>
  <c r="T379" i="4"/>
  <c r="W378" i="4"/>
  <c r="V378" i="4"/>
  <c r="U378" i="4"/>
  <c r="T378" i="4"/>
  <c r="V377" i="4"/>
  <c r="U377" i="4"/>
  <c r="W377" i="4" s="1"/>
  <c r="T377" i="4"/>
  <c r="W376" i="4"/>
  <c r="V376" i="4"/>
  <c r="U376" i="4"/>
  <c r="T376" i="4"/>
  <c r="V375" i="4"/>
  <c r="U375" i="4"/>
  <c r="T375" i="4"/>
  <c r="W374" i="4"/>
  <c r="V374" i="4"/>
  <c r="U374" i="4"/>
  <c r="T374" i="4"/>
  <c r="V373" i="4"/>
  <c r="U373" i="4"/>
  <c r="W373" i="4" s="1"/>
  <c r="T373" i="4"/>
  <c r="V372" i="4"/>
  <c r="U372" i="4"/>
  <c r="T372" i="4"/>
  <c r="W372" i="4" s="1"/>
  <c r="V371" i="4"/>
  <c r="U371" i="4"/>
  <c r="W371" i="4" s="1"/>
  <c r="T371" i="4"/>
  <c r="V370" i="4"/>
  <c r="U370" i="4"/>
  <c r="W370" i="4" s="1"/>
  <c r="T370" i="4"/>
  <c r="V369" i="4"/>
  <c r="U369" i="4"/>
  <c r="T369" i="4"/>
  <c r="W368" i="4"/>
  <c r="V368" i="4"/>
  <c r="U368" i="4"/>
  <c r="T368" i="4"/>
  <c r="V367" i="4"/>
  <c r="U367" i="4"/>
  <c r="T367" i="4"/>
  <c r="V366" i="4"/>
  <c r="U366" i="4"/>
  <c r="W366" i="4" s="1"/>
  <c r="T366" i="4"/>
  <c r="V365" i="4"/>
  <c r="U365" i="4"/>
  <c r="W365" i="4" s="1"/>
  <c r="T365" i="4"/>
  <c r="V364" i="4"/>
  <c r="U364" i="4"/>
  <c r="T364" i="4"/>
  <c r="W364" i="4" s="1"/>
  <c r="V363" i="4"/>
  <c r="U363" i="4"/>
  <c r="W363" i="4" s="1"/>
  <c r="T363" i="4"/>
  <c r="V362" i="4"/>
  <c r="U362" i="4"/>
  <c r="W362" i="4" s="1"/>
  <c r="T362" i="4"/>
  <c r="W361" i="4"/>
  <c r="V361" i="4"/>
  <c r="U361" i="4"/>
  <c r="T361" i="4"/>
  <c r="V360" i="4"/>
  <c r="U360" i="4"/>
  <c r="T360" i="4"/>
  <c r="W360" i="4" s="1"/>
  <c r="V359" i="4"/>
  <c r="U359" i="4"/>
  <c r="T359" i="4"/>
  <c r="V358" i="4"/>
  <c r="U358" i="4"/>
  <c r="W358" i="4" s="1"/>
  <c r="T358" i="4"/>
  <c r="W357" i="4"/>
  <c r="V357" i="4"/>
  <c r="U357" i="4"/>
  <c r="T357" i="4"/>
  <c r="V356" i="4"/>
  <c r="U356" i="4"/>
  <c r="T356" i="4"/>
  <c r="W356" i="4" s="1"/>
  <c r="V355" i="4"/>
  <c r="U355" i="4"/>
  <c r="T355" i="4"/>
  <c r="W354" i="4"/>
  <c r="V354" i="4"/>
  <c r="U354" i="4"/>
  <c r="T354" i="4"/>
  <c r="V353" i="4"/>
  <c r="U353" i="4"/>
  <c r="W353" i="4" s="1"/>
  <c r="T353" i="4"/>
  <c r="V352" i="4"/>
  <c r="U352" i="4"/>
  <c r="T352" i="4"/>
  <c r="W352" i="4" s="1"/>
  <c r="V351" i="4"/>
  <c r="U351" i="4"/>
  <c r="W351" i="4" s="1"/>
  <c r="T351" i="4"/>
  <c r="W350" i="4"/>
  <c r="V350" i="4"/>
  <c r="U350" i="4"/>
  <c r="T350" i="4"/>
  <c r="V349" i="4"/>
  <c r="U349" i="4"/>
  <c r="W349" i="4" s="1"/>
  <c r="T349" i="4"/>
  <c r="V348" i="4"/>
  <c r="U348" i="4"/>
  <c r="T348" i="4"/>
  <c r="W348" i="4" s="1"/>
  <c r="V347" i="4"/>
  <c r="U347" i="4"/>
  <c r="T347" i="4"/>
  <c r="W346" i="4"/>
  <c r="V346" i="4"/>
  <c r="U346" i="4"/>
  <c r="T346" i="4"/>
  <c r="V345" i="4"/>
  <c r="U345" i="4"/>
  <c r="W345" i="4" s="1"/>
  <c r="T345" i="4"/>
  <c r="W344" i="4"/>
  <c r="V344" i="4"/>
  <c r="U344" i="4"/>
  <c r="T344" i="4"/>
  <c r="V343" i="4"/>
  <c r="U343" i="4"/>
  <c r="T343" i="4"/>
  <c r="V342" i="4"/>
  <c r="U342" i="4"/>
  <c r="W342" i="4" s="1"/>
  <c r="T342" i="4"/>
  <c r="V341" i="4"/>
  <c r="U341" i="4"/>
  <c r="W341" i="4" s="1"/>
  <c r="T341" i="4"/>
  <c r="W340" i="4"/>
  <c r="V340" i="4"/>
  <c r="U340" i="4"/>
  <c r="T340" i="4"/>
  <c r="V339" i="4"/>
  <c r="U339" i="4"/>
  <c r="T339" i="4"/>
  <c r="V338" i="4"/>
  <c r="U338" i="4"/>
  <c r="W338" i="4" s="1"/>
  <c r="T338" i="4"/>
  <c r="W337" i="4"/>
  <c r="V337" i="4"/>
  <c r="U337" i="4"/>
  <c r="T337" i="4"/>
  <c r="W336" i="4"/>
  <c r="V336" i="4"/>
  <c r="U336" i="4"/>
  <c r="T336" i="4"/>
  <c r="V335" i="4"/>
  <c r="U335" i="4"/>
  <c r="T335" i="4"/>
  <c r="W334" i="4"/>
  <c r="V334" i="4"/>
  <c r="W333" i="4"/>
  <c r="V333" i="4"/>
  <c r="W332" i="4"/>
  <c r="V332" i="4"/>
  <c r="U332" i="4"/>
  <c r="T332" i="4"/>
  <c r="V331" i="4"/>
  <c r="U331" i="4"/>
  <c r="T331" i="4"/>
  <c r="W331" i="4" s="1"/>
  <c r="V330" i="4"/>
  <c r="U330" i="4"/>
  <c r="T330" i="4"/>
  <c r="V329" i="4"/>
  <c r="U329" i="4"/>
  <c r="T329" i="4"/>
  <c r="V328" i="4"/>
  <c r="U328" i="4"/>
  <c r="W328" i="4" s="1"/>
  <c r="T328" i="4"/>
  <c r="V327" i="4"/>
  <c r="U327" i="4"/>
  <c r="T327" i="4"/>
  <c r="W327" i="4" s="1"/>
  <c r="V326" i="4"/>
  <c r="U326" i="4"/>
  <c r="T326" i="4"/>
  <c r="V325" i="4"/>
  <c r="U325" i="4"/>
  <c r="T325" i="4"/>
  <c r="W324" i="4"/>
  <c r="V324" i="4"/>
  <c r="U324" i="4"/>
  <c r="T324" i="4"/>
  <c r="V323" i="4"/>
  <c r="U323" i="4"/>
  <c r="T323" i="4"/>
  <c r="W323" i="4" s="1"/>
  <c r="W322" i="4"/>
  <c r="V322" i="4"/>
  <c r="W321" i="4"/>
  <c r="V321" i="4"/>
  <c r="W320" i="4"/>
  <c r="V320" i="4"/>
  <c r="W319" i="4"/>
  <c r="V319" i="4"/>
  <c r="W318" i="4"/>
  <c r="V318" i="4"/>
  <c r="W317" i="4"/>
  <c r="V317" i="4"/>
  <c r="W316" i="4"/>
  <c r="V316" i="4"/>
  <c r="W315" i="4"/>
  <c r="V315" i="4"/>
  <c r="W314" i="4"/>
  <c r="V314" i="4"/>
  <c r="W313" i="4"/>
  <c r="V313" i="4"/>
  <c r="W312" i="4"/>
  <c r="V312" i="4"/>
  <c r="W311" i="4"/>
  <c r="V311" i="4"/>
  <c r="W310" i="4"/>
  <c r="V310" i="4"/>
  <c r="W309" i="4"/>
  <c r="V309" i="4"/>
  <c r="W308" i="4"/>
  <c r="V308" i="4"/>
  <c r="W307" i="4"/>
  <c r="V307" i="4"/>
  <c r="W306" i="4"/>
  <c r="V306" i="4"/>
  <c r="W305" i="4"/>
  <c r="V305" i="4"/>
  <c r="W304" i="4"/>
  <c r="V304" i="4"/>
  <c r="W303" i="4"/>
  <c r="V303" i="4"/>
  <c r="W302" i="4"/>
  <c r="V302" i="4"/>
  <c r="W301" i="4"/>
  <c r="V301" i="4"/>
  <c r="W300" i="4"/>
  <c r="V300" i="4"/>
  <c r="W299" i="4"/>
  <c r="V299" i="4"/>
  <c r="W298" i="4"/>
  <c r="V298" i="4"/>
  <c r="W297" i="4"/>
  <c r="V297" i="4"/>
  <c r="W296" i="4"/>
  <c r="V296" i="4"/>
  <c r="W295" i="4"/>
  <c r="V295" i="4"/>
  <c r="W294" i="4"/>
  <c r="V294" i="4"/>
  <c r="W293" i="4"/>
  <c r="V293" i="4"/>
  <c r="W292" i="4"/>
  <c r="V292" i="4"/>
  <c r="W291" i="4"/>
  <c r="V291" i="4"/>
  <c r="W290" i="4"/>
  <c r="V290" i="4"/>
  <c r="W289" i="4"/>
  <c r="V289" i="4"/>
  <c r="W288" i="4"/>
  <c r="V288" i="4"/>
  <c r="W287" i="4"/>
  <c r="V287" i="4"/>
  <c r="W286" i="4"/>
  <c r="V286" i="4"/>
  <c r="W285" i="4"/>
  <c r="V285" i="4"/>
  <c r="W284" i="4"/>
  <c r="V284" i="4"/>
  <c r="W283" i="4"/>
  <c r="V283" i="4"/>
  <c r="W282" i="4"/>
  <c r="V282" i="4"/>
  <c r="W281" i="4"/>
  <c r="V281" i="4"/>
  <c r="W280" i="4"/>
  <c r="V280" i="4"/>
  <c r="W279" i="4"/>
  <c r="V279" i="4"/>
  <c r="W278" i="4"/>
  <c r="V278" i="4"/>
  <c r="W277" i="4"/>
  <c r="V277" i="4"/>
  <c r="W276" i="4"/>
  <c r="V276" i="4"/>
  <c r="W275" i="4"/>
  <c r="V275" i="4"/>
  <c r="V274" i="4"/>
  <c r="U274" i="4"/>
  <c r="W274" i="4" s="1"/>
  <c r="T274" i="4"/>
  <c r="V273" i="4"/>
  <c r="U273" i="4"/>
  <c r="T273" i="4"/>
  <c r="V272" i="4"/>
  <c r="U272" i="4"/>
  <c r="W272" i="4" s="1"/>
  <c r="T272" i="4"/>
  <c r="W271" i="4"/>
  <c r="V271" i="4"/>
  <c r="U271" i="4"/>
  <c r="T271" i="4"/>
  <c r="V270" i="4"/>
  <c r="U270" i="4"/>
  <c r="T270" i="4"/>
  <c r="V269" i="4"/>
  <c r="U269" i="4"/>
  <c r="W269" i="4" s="1"/>
  <c r="T269" i="4"/>
  <c r="V268" i="4"/>
  <c r="U268" i="4"/>
  <c r="W268" i="4" s="1"/>
  <c r="T268" i="4"/>
  <c r="W267" i="4"/>
  <c r="V267" i="4"/>
  <c r="U267" i="4"/>
  <c r="T267" i="4"/>
  <c r="V266" i="4"/>
  <c r="U266" i="4"/>
  <c r="T266" i="4"/>
  <c r="W265" i="4"/>
  <c r="V265" i="4"/>
  <c r="U265" i="4"/>
  <c r="T265" i="4"/>
  <c r="V264" i="4"/>
  <c r="U264" i="4"/>
  <c r="T264" i="4"/>
  <c r="W263" i="4"/>
  <c r="V263" i="4"/>
  <c r="U263" i="4"/>
  <c r="T263" i="4"/>
  <c r="V262" i="4"/>
  <c r="U262" i="4"/>
  <c r="T262" i="4"/>
  <c r="W261" i="4"/>
  <c r="V261" i="4"/>
  <c r="U261" i="4"/>
  <c r="T261" i="4"/>
  <c r="V260" i="4"/>
  <c r="U260" i="4"/>
  <c r="T260" i="4"/>
  <c r="V259" i="4"/>
  <c r="U259" i="4"/>
  <c r="T259" i="4"/>
  <c r="W259" i="4" s="1"/>
  <c r="V258" i="4"/>
  <c r="U258" i="4"/>
  <c r="W258" i="4" s="1"/>
  <c r="T258" i="4"/>
  <c r="V257" i="4"/>
  <c r="U257" i="4"/>
  <c r="W257" i="4" s="1"/>
  <c r="T257" i="4"/>
  <c r="V256" i="4"/>
  <c r="U256" i="4"/>
  <c r="T256" i="4"/>
  <c r="W255" i="4"/>
  <c r="V255" i="4"/>
  <c r="U255" i="4"/>
  <c r="T255" i="4"/>
  <c r="V254" i="4"/>
  <c r="U254" i="4"/>
  <c r="T254" i="4"/>
  <c r="V253" i="4"/>
  <c r="U253" i="4"/>
  <c r="W253" i="4" s="1"/>
  <c r="T253" i="4"/>
  <c r="V252" i="4"/>
  <c r="U252" i="4"/>
  <c r="W252" i="4" s="1"/>
  <c r="T252" i="4"/>
  <c r="V251" i="4"/>
  <c r="U251" i="4"/>
  <c r="T251" i="4"/>
  <c r="W251" i="4" s="1"/>
  <c r="V250" i="4"/>
  <c r="U250" i="4"/>
  <c r="W250" i="4" s="1"/>
  <c r="T250" i="4"/>
  <c r="V249" i="4"/>
  <c r="U249" i="4"/>
  <c r="W249" i="4" s="1"/>
  <c r="T249" i="4"/>
  <c r="W248" i="4"/>
  <c r="V248" i="4"/>
  <c r="U248" i="4"/>
  <c r="T248" i="4"/>
  <c r="V247" i="4"/>
  <c r="U247" i="4"/>
  <c r="T247" i="4"/>
  <c r="W247" i="4" s="1"/>
  <c r="V246" i="4"/>
  <c r="U246" i="4"/>
  <c r="T246" i="4"/>
  <c r="V245" i="4"/>
  <c r="U245" i="4"/>
  <c r="W245" i="4" s="1"/>
  <c r="T245" i="4"/>
  <c r="W244" i="4"/>
  <c r="V244" i="4"/>
  <c r="U244" i="4"/>
  <c r="T244" i="4"/>
  <c r="V243" i="4"/>
  <c r="U243" i="4"/>
  <c r="T243" i="4"/>
  <c r="W243" i="4" s="1"/>
  <c r="V242" i="4"/>
  <c r="U242" i="4"/>
  <c r="T242" i="4"/>
  <c r="W241" i="4"/>
  <c r="V241" i="4"/>
  <c r="U241" i="4"/>
  <c r="T241" i="4"/>
  <c r="V240" i="4"/>
  <c r="U240" i="4"/>
  <c r="W240" i="4" s="1"/>
  <c r="T240" i="4"/>
  <c r="V239" i="4"/>
  <c r="U239" i="4"/>
  <c r="T239" i="4"/>
  <c r="W239" i="4" s="1"/>
  <c r="V238" i="4"/>
  <c r="U238" i="4"/>
  <c r="T238" i="4"/>
  <c r="W237" i="4"/>
  <c r="V237" i="4"/>
  <c r="U237" i="4"/>
  <c r="T237" i="4"/>
  <c r="V236" i="4"/>
  <c r="U236" i="4"/>
  <c r="W236" i="4" s="1"/>
  <c r="T236" i="4"/>
  <c r="V235" i="4"/>
  <c r="U235" i="4"/>
  <c r="T235" i="4"/>
  <c r="W235" i="4" s="1"/>
  <c r="V234" i="4"/>
  <c r="U234" i="4"/>
  <c r="T234" i="4"/>
  <c r="W233" i="4"/>
  <c r="V233" i="4"/>
  <c r="U233" i="4"/>
  <c r="T233" i="4"/>
  <c r="V232" i="4"/>
  <c r="U232" i="4"/>
  <c r="W232" i="4" s="1"/>
  <c r="T232" i="4"/>
  <c r="W231" i="4"/>
  <c r="V231" i="4"/>
  <c r="U231" i="4"/>
  <c r="T231" i="4"/>
  <c r="V230" i="4"/>
  <c r="U230" i="4"/>
  <c r="T230" i="4"/>
  <c r="V229" i="4"/>
  <c r="U229" i="4"/>
  <c r="W229" i="4" s="1"/>
  <c r="T229" i="4"/>
  <c r="V228" i="4"/>
  <c r="U228" i="4"/>
  <c r="W228" i="4" s="1"/>
  <c r="T228" i="4"/>
  <c r="W227" i="4"/>
  <c r="V227" i="4"/>
  <c r="U227" i="4"/>
  <c r="T227" i="4"/>
  <c r="V226" i="4"/>
  <c r="U226" i="4"/>
  <c r="T226" i="4"/>
  <c r="V225" i="4"/>
  <c r="U225" i="4"/>
  <c r="W225" i="4" s="1"/>
  <c r="T225" i="4"/>
  <c r="W224" i="4"/>
  <c r="V224" i="4"/>
  <c r="U224" i="4"/>
  <c r="T224" i="4"/>
  <c r="W223" i="4"/>
  <c r="V223" i="4"/>
  <c r="U223" i="4"/>
  <c r="T223" i="4"/>
  <c r="V222" i="4"/>
  <c r="U222" i="4"/>
  <c r="T222" i="4"/>
  <c r="V221" i="4"/>
  <c r="U221" i="4"/>
  <c r="W221" i="4" s="1"/>
  <c r="T221" i="4"/>
  <c r="W220" i="4"/>
  <c r="V220" i="4"/>
  <c r="U220" i="4"/>
  <c r="T220" i="4"/>
  <c r="V219" i="4"/>
  <c r="U219" i="4"/>
  <c r="T219" i="4"/>
  <c r="W219" i="4" s="1"/>
  <c r="V218" i="4"/>
  <c r="U218" i="4"/>
  <c r="T218" i="4"/>
  <c r="V217" i="4"/>
  <c r="U217" i="4"/>
  <c r="W217" i="4" s="1"/>
  <c r="T217" i="4"/>
  <c r="V216" i="4"/>
  <c r="U216" i="4"/>
  <c r="W216" i="4" s="1"/>
  <c r="T216" i="4"/>
  <c r="W215" i="4"/>
  <c r="V215" i="4"/>
  <c r="W214" i="4"/>
  <c r="V214" i="4"/>
  <c r="W213" i="4"/>
  <c r="V213" i="4"/>
  <c r="W212" i="4"/>
  <c r="V212" i="4"/>
  <c r="W211" i="4"/>
  <c r="V211" i="4"/>
  <c r="W210" i="4"/>
  <c r="V210" i="4"/>
  <c r="W209" i="4"/>
  <c r="V209" i="4"/>
  <c r="W208" i="4"/>
  <c r="V208" i="4"/>
  <c r="W207" i="4"/>
  <c r="V207" i="4"/>
  <c r="W206" i="4"/>
  <c r="V206" i="4"/>
  <c r="W205" i="4"/>
  <c r="V205" i="4"/>
  <c r="W204" i="4"/>
  <c r="V204" i="4"/>
  <c r="W203" i="4"/>
  <c r="V203" i="4"/>
  <c r="W202" i="4"/>
  <c r="V202" i="4"/>
  <c r="W201" i="4"/>
  <c r="V201" i="4"/>
  <c r="W200" i="4"/>
  <c r="V200" i="4"/>
  <c r="W199" i="4"/>
  <c r="V199" i="4"/>
  <c r="W198" i="4"/>
  <c r="V198" i="4"/>
  <c r="W197" i="4"/>
  <c r="V197" i="4"/>
  <c r="W196" i="4"/>
  <c r="V196" i="4"/>
  <c r="W195" i="4"/>
  <c r="V195" i="4"/>
  <c r="W194" i="4"/>
  <c r="V194" i="4"/>
  <c r="W193" i="4"/>
  <c r="V193" i="4"/>
  <c r="W192" i="4"/>
  <c r="V192" i="4"/>
  <c r="W191" i="4"/>
  <c r="V191" i="4"/>
  <c r="W190" i="4"/>
  <c r="V190" i="4"/>
  <c r="W189" i="4"/>
  <c r="V189" i="4"/>
  <c r="W188" i="4"/>
  <c r="V188" i="4"/>
  <c r="W187" i="4"/>
  <c r="V187" i="4"/>
  <c r="W186" i="4"/>
  <c r="V186" i="4"/>
  <c r="W185" i="4"/>
  <c r="V185" i="4"/>
  <c r="W184" i="4"/>
  <c r="V184" i="4"/>
  <c r="W183" i="4"/>
  <c r="V183" i="4"/>
  <c r="W182" i="4"/>
  <c r="V182" i="4"/>
  <c r="W181" i="4"/>
  <c r="V181" i="4"/>
  <c r="W180" i="4"/>
  <c r="V180" i="4"/>
  <c r="V179" i="4"/>
  <c r="U179" i="4"/>
  <c r="T179" i="4"/>
  <c r="V178" i="4"/>
  <c r="U178" i="4"/>
  <c r="W178" i="4" s="1"/>
  <c r="T178" i="4"/>
  <c r="V177" i="4"/>
  <c r="U177" i="4"/>
  <c r="T177" i="4"/>
  <c r="W177" i="4" s="1"/>
  <c r="V176" i="4"/>
  <c r="U176" i="4"/>
  <c r="T176" i="4"/>
  <c r="V175" i="4"/>
  <c r="U175" i="4"/>
  <c r="T175" i="4"/>
  <c r="W174" i="4"/>
  <c r="V174" i="4"/>
  <c r="U174" i="4"/>
  <c r="T174" i="4"/>
  <c r="V173" i="4"/>
  <c r="U173" i="4"/>
  <c r="T173" i="4"/>
  <c r="W173" i="4" s="1"/>
  <c r="V172" i="4"/>
  <c r="U172" i="4"/>
  <c r="W172" i="4" s="1"/>
  <c r="T172" i="4"/>
  <c r="V171" i="4"/>
  <c r="U171" i="4"/>
  <c r="T171" i="4"/>
  <c r="V170" i="4"/>
  <c r="U170" i="4"/>
  <c r="W170" i="4" s="1"/>
  <c r="T170" i="4"/>
  <c r="W169" i="4"/>
  <c r="V169" i="4"/>
  <c r="U169" i="4"/>
  <c r="T169" i="4"/>
  <c r="V168" i="4"/>
  <c r="U168" i="4"/>
  <c r="T168" i="4"/>
  <c r="V167" i="4"/>
  <c r="U167" i="4"/>
  <c r="W167" i="4" s="1"/>
  <c r="T167" i="4"/>
  <c r="V166" i="4"/>
  <c r="U166" i="4"/>
  <c r="W166" i="4" s="1"/>
  <c r="T166" i="4"/>
  <c r="W165" i="4"/>
  <c r="V165" i="4"/>
  <c r="U165" i="4"/>
  <c r="T165" i="4"/>
  <c r="V164" i="4"/>
  <c r="U164" i="4"/>
  <c r="T164" i="4"/>
  <c r="W163" i="4"/>
  <c r="V163" i="4"/>
  <c r="U163" i="4"/>
  <c r="T163" i="4"/>
  <c r="V162" i="4"/>
  <c r="U162" i="4"/>
  <c r="T162" i="4"/>
  <c r="W161" i="4"/>
  <c r="V161" i="4"/>
  <c r="U161" i="4"/>
  <c r="T161" i="4"/>
  <c r="V160" i="4"/>
  <c r="U160" i="4"/>
  <c r="T160" i="4"/>
  <c r="W159" i="4"/>
  <c r="V159" i="4"/>
  <c r="U159" i="4"/>
  <c r="T159" i="4"/>
  <c r="V158" i="4"/>
  <c r="U158" i="4"/>
  <c r="T158" i="4"/>
  <c r="V157" i="4"/>
  <c r="U157" i="4"/>
  <c r="T157" i="4"/>
  <c r="W157" i="4" s="1"/>
  <c r="V156" i="4"/>
  <c r="U156" i="4"/>
  <c r="W156" i="4" s="1"/>
  <c r="T156" i="4"/>
  <c r="V155" i="4"/>
  <c r="U155" i="4"/>
  <c r="W155" i="4" s="1"/>
  <c r="T155" i="4"/>
  <c r="V154" i="4"/>
  <c r="U154" i="4"/>
  <c r="T154" i="4"/>
  <c r="W153" i="4"/>
  <c r="V153" i="4"/>
  <c r="U153" i="4"/>
  <c r="T153" i="4"/>
  <c r="V152" i="4"/>
  <c r="U152" i="4"/>
  <c r="T152" i="4"/>
  <c r="V151" i="4"/>
  <c r="U151" i="4"/>
  <c r="W151" i="4" s="1"/>
  <c r="T151" i="4"/>
  <c r="V150" i="4"/>
  <c r="U150" i="4"/>
  <c r="W150" i="4" s="1"/>
  <c r="T150" i="4"/>
  <c r="V149" i="4"/>
  <c r="U149" i="4"/>
  <c r="T149" i="4"/>
  <c r="W149" i="4" s="1"/>
  <c r="V148" i="4"/>
  <c r="U148" i="4"/>
  <c r="W148" i="4" s="1"/>
  <c r="T148" i="4"/>
  <c r="V147" i="4"/>
  <c r="U147" i="4"/>
  <c r="W147" i="4" s="1"/>
  <c r="T147" i="4"/>
  <c r="W146" i="4"/>
  <c r="V146" i="4"/>
  <c r="U146" i="4"/>
  <c r="T146" i="4"/>
  <c r="V145" i="4"/>
  <c r="U145" i="4"/>
  <c r="T145" i="4"/>
  <c r="W145" i="4" s="1"/>
  <c r="V144" i="4"/>
  <c r="U144" i="4"/>
  <c r="T144" i="4"/>
  <c r="V143" i="4"/>
  <c r="U143" i="4"/>
  <c r="W143" i="4" s="1"/>
  <c r="T143" i="4"/>
  <c r="W142" i="4"/>
  <c r="V142" i="4"/>
  <c r="U142" i="4"/>
  <c r="T142" i="4"/>
  <c r="V141" i="4"/>
  <c r="U141" i="4"/>
  <c r="T141" i="4"/>
  <c r="W141" i="4" s="1"/>
  <c r="V140" i="4"/>
  <c r="U140" i="4"/>
  <c r="T140" i="4"/>
  <c r="W139" i="4"/>
  <c r="V139" i="4"/>
  <c r="U139" i="4"/>
  <c r="T139" i="4"/>
  <c r="V138" i="4"/>
  <c r="U138" i="4"/>
  <c r="W138" i="4" s="1"/>
  <c r="T138" i="4"/>
  <c r="V137" i="4"/>
  <c r="U137" i="4"/>
  <c r="T137" i="4"/>
  <c r="W137" i="4" s="1"/>
  <c r="V136" i="4"/>
  <c r="U136" i="4"/>
  <c r="T136" i="4"/>
  <c r="W135" i="4"/>
  <c r="V135" i="4"/>
  <c r="U135" i="4"/>
  <c r="T135" i="4"/>
  <c r="V134" i="4"/>
  <c r="U134" i="4"/>
  <c r="W134" i="4" s="1"/>
  <c r="T134" i="4"/>
  <c r="V133" i="4"/>
  <c r="U133" i="4"/>
  <c r="T133" i="4"/>
  <c r="W133" i="4" s="1"/>
  <c r="V132" i="4"/>
  <c r="U132" i="4"/>
  <c r="T132" i="4"/>
  <c r="W131" i="4"/>
  <c r="V131" i="4"/>
  <c r="U131" i="4"/>
  <c r="T131" i="4"/>
  <c r="V130" i="4"/>
  <c r="U130" i="4"/>
  <c r="W130" i="4" s="1"/>
  <c r="T130" i="4"/>
  <c r="W129" i="4"/>
  <c r="V129" i="4"/>
  <c r="U129" i="4"/>
  <c r="T129" i="4"/>
  <c r="V128" i="4"/>
  <c r="U128" i="4"/>
  <c r="T128" i="4"/>
  <c r="V127" i="4"/>
  <c r="U127" i="4"/>
  <c r="W127" i="4" s="1"/>
  <c r="T127" i="4"/>
  <c r="V126" i="4"/>
  <c r="U126" i="4"/>
  <c r="W126" i="4" s="1"/>
  <c r="T126" i="4"/>
  <c r="W125" i="4"/>
  <c r="V125" i="4"/>
  <c r="U125" i="4"/>
  <c r="T125" i="4"/>
  <c r="V124" i="4"/>
  <c r="U124" i="4"/>
  <c r="T124" i="4"/>
  <c r="V123" i="4"/>
  <c r="U123" i="4"/>
  <c r="W123" i="4" s="1"/>
  <c r="T123" i="4"/>
  <c r="W122" i="4"/>
  <c r="V122" i="4"/>
  <c r="U122" i="4"/>
  <c r="T122" i="4"/>
  <c r="W121" i="4"/>
  <c r="V121" i="4"/>
  <c r="U121" i="4"/>
  <c r="T121" i="4"/>
  <c r="V120" i="4"/>
  <c r="U120" i="4"/>
  <c r="T120" i="4"/>
  <c r="V119" i="4"/>
  <c r="U119" i="4"/>
  <c r="W119" i="4" s="1"/>
  <c r="T119" i="4"/>
  <c r="W118" i="4"/>
  <c r="V118" i="4"/>
  <c r="U118" i="4"/>
  <c r="T118" i="4"/>
  <c r="V117" i="4"/>
  <c r="U117" i="4"/>
  <c r="T117" i="4"/>
  <c r="W117" i="4" s="1"/>
  <c r="V116" i="4"/>
  <c r="U116" i="4"/>
  <c r="T116" i="4"/>
  <c r="V115" i="4"/>
  <c r="U115" i="4"/>
  <c r="W115" i="4" s="1"/>
  <c r="T115" i="4"/>
  <c r="V114" i="4"/>
  <c r="U114" i="4"/>
  <c r="W114" i="4" s="1"/>
  <c r="T114" i="4"/>
  <c r="V113" i="4"/>
  <c r="U113" i="4"/>
  <c r="T113" i="4"/>
  <c r="W113" i="4" s="1"/>
  <c r="V112" i="4"/>
  <c r="U112" i="4"/>
  <c r="T112" i="4"/>
  <c r="V111" i="4"/>
  <c r="U111" i="4"/>
  <c r="T111" i="4"/>
  <c r="V110" i="4"/>
  <c r="U110" i="4"/>
  <c r="W110" i="4" s="1"/>
  <c r="T110" i="4"/>
  <c r="V109" i="4"/>
  <c r="U109" i="4"/>
  <c r="T109" i="4"/>
  <c r="W109" i="4" s="1"/>
  <c r="V108" i="4"/>
  <c r="U108" i="4"/>
  <c r="W108" i="4" s="1"/>
  <c r="T108" i="4"/>
  <c r="V107" i="4"/>
  <c r="U107" i="4"/>
  <c r="T107" i="4"/>
  <c r="V106" i="4"/>
  <c r="U106" i="4"/>
  <c r="W106" i="4" s="1"/>
  <c r="T106" i="4"/>
  <c r="W105" i="4"/>
  <c r="V105" i="4"/>
  <c r="U105" i="4"/>
  <c r="T105" i="4"/>
  <c r="V104" i="4"/>
  <c r="U104" i="4"/>
  <c r="T104" i="4"/>
  <c r="V103" i="4"/>
  <c r="U103" i="4"/>
  <c r="W103" i="4" s="1"/>
  <c r="T103" i="4"/>
  <c r="V102" i="4"/>
  <c r="U102" i="4"/>
  <c r="W102" i="4" s="1"/>
  <c r="T102" i="4"/>
  <c r="W101" i="4"/>
  <c r="V101" i="4"/>
  <c r="U101" i="4"/>
  <c r="T101" i="4"/>
  <c r="V100" i="4"/>
  <c r="U100" i="4"/>
  <c r="T100" i="4"/>
  <c r="W99" i="4"/>
  <c r="V99" i="4"/>
  <c r="U99" i="4"/>
  <c r="T99" i="4"/>
  <c r="V98" i="4"/>
  <c r="U98" i="4"/>
  <c r="T98" i="4"/>
  <c r="W97" i="4"/>
  <c r="V97" i="4"/>
  <c r="U97" i="4"/>
  <c r="T97" i="4"/>
  <c r="V96" i="4"/>
  <c r="U96" i="4"/>
  <c r="T96" i="4"/>
  <c r="W95" i="4"/>
  <c r="V95" i="4"/>
  <c r="U95" i="4"/>
  <c r="T95" i="4"/>
  <c r="V94" i="4"/>
  <c r="U94" i="4"/>
  <c r="W94" i="4" s="1"/>
  <c r="T94" i="4"/>
  <c r="V93" i="4"/>
  <c r="U93" i="4"/>
  <c r="T93" i="4"/>
  <c r="W93" i="4" s="1"/>
  <c r="V92" i="4"/>
  <c r="U92" i="4"/>
  <c r="W92" i="4" s="1"/>
  <c r="T92" i="4"/>
  <c r="V91" i="4"/>
  <c r="U91" i="4"/>
  <c r="W91" i="4" s="1"/>
  <c r="T91" i="4"/>
  <c r="V90" i="4"/>
  <c r="U90" i="4"/>
  <c r="T90" i="4"/>
  <c r="W89" i="4"/>
  <c r="V89" i="4"/>
  <c r="U89" i="4"/>
  <c r="T89" i="4"/>
  <c r="V88" i="4"/>
  <c r="U88" i="4"/>
  <c r="T88" i="4"/>
  <c r="V87" i="4"/>
  <c r="U87" i="4"/>
  <c r="W87" i="4" s="1"/>
  <c r="T87" i="4"/>
  <c r="V86" i="4"/>
  <c r="U86" i="4"/>
  <c r="W86" i="4" s="1"/>
  <c r="T86" i="4"/>
  <c r="W85" i="4"/>
  <c r="V85" i="4"/>
  <c r="U85" i="4"/>
  <c r="T85" i="4"/>
  <c r="V84" i="4"/>
  <c r="U84" i="4"/>
  <c r="W84" i="4" s="1"/>
  <c r="T84" i="4"/>
  <c r="V83" i="4"/>
  <c r="U83" i="4"/>
  <c r="W83" i="4" s="1"/>
  <c r="T83" i="4"/>
  <c r="W82" i="4"/>
  <c r="V82" i="4"/>
  <c r="U82" i="4"/>
  <c r="T82" i="4"/>
  <c r="V81" i="4"/>
  <c r="U81" i="4"/>
  <c r="T81" i="4"/>
  <c r="W81" i="4" s="1"/>
  <c r="V80" i="4"/>
  <c r="U80" i="4"/>
  <c r="W80" i="4" s="1"/>
  <c r="T80" i="4"/>
  <c r="V79" i="4"/>
  <c r="U79" i="4"/>
  <c r="W79" i="4" s="1"/>
  <c r="T79" i="4"/>
  <c r="W78" i="4"/>
  <c r="V78" i="4"/>
  <c r="U78" i="4"/>
  <c r="T78" i="4"/>
  <c r="V77" i="4"/>
  <c r="U77" i="4"/>
  <c r="W77" i="4" s="1"/>
  <c r="T77" i="4"/>
  <c r="V76" i="4"/>
  <c r="U76" i="4"/>
  <c r="T76" i="4"/>
  <c r="W75" i="4"/>
  <c r="V75" i="4"/>
  <c r="U75" i="4"/>
  <c r="T75" i="4"/>
  <c r="V74" i="4"/>
  <c r="U74" i="4"/>
  <c r="W74" i="4" s="1"/>
  <c r="T74" i="4"/>
  <c r="V73" i="4"/>
  <c r="U73" i="4"/>
  <c r="T73" i="4"/>
  <c r="V72" i="4"/>
  <c r="U72" i="4"/>
  <c r="W72" i="4" s="1"/>
  <c r="T72" i="4"/>
  <c r="W71" i="4"/>
  <c r="V71" i="4"/>
  <c r="U71" i="4"/>
  <c r="T71" i="4"/>
  <c r="V70" i="4"/>
  <c r="U70" i="4"/>
  <c r="W70" i="4" s="1"/>
  <c r="T70" i="4"/>
  <c r="V69" i="4"/>
  <c r="U69" i="4"/>
  <c r="W69" i="4" s="1"/>
  <c r="T69" i="4"/>
  <c r="V68" i="4"/>
  <c r="U68" i="4"/>
  <c r="T68" i="4"/>
  <c r="V67" i="4"/>
  <c r="U67" i="4"/>
  <c r="W67" i="4" s="1"/>
  <c r="T67" i="4"/>
  <c r="V66" i="4"/>
  <c r="U66" i="4"/>
  <c r="W66" i="4" s="1"/>
  <c r="T66" i="4"/>
  <c r="W65" i="4"/>
  <c r="V65" i="4"/>
  <c r="U65" i="4"/>
  <c r="T65" i="4"/>
  <c r="V64" i="4"/>
  <c r="U64" i="4"/>
  <c r="T64" i="4"/>
  <c r="W63" i="4"/>
  <c r="V63" i="4"/>
  <c r="U63" i="4"/>
  <c r="T63" i="4"/>
  <c r="V62" i="4"/>
  <c r="U62" i="4"/>
  <c r="W62" i="4" s="1"/>
  <c r="T62" i="4"/>
  <c r="W61" i="4"/>
  <c r="V61" i="4"/>
  <c r="U61" i="4"/>
  <c r="T61" i="4"/>
  <c r="V60" i="4"/>
  <c r="U60" i="4"/>
  <c r="T60" i="4"/>
  <c r="V59" i="4"/>
  <c r="U59" i="4"/>
  <c r="W59" i="4" s="1"/>
  <c r="T59" i="4"/>
  <c r="V58" i="4"/>
  <c r="U58" i="4"/>
  <c r="W58" i="4" s="1"/>
  <c r="T58" i="4"/>
  <c r="W57" i="4"/>
  <c r="V57" i="4"/>
  <c r="U57" i="4"/>
  <c r="T57" i="4"/>
  <c r="V56" i="4"/>
  <c r="U56" i="4"/>
  <c r="T56" i="4"/>
  <c r="V55" i="4"/>
  <c r="U55" i="4"/>
  <c r="W55" i="4" s="1"/>
  <c r="T55" i="4"/>
  <c r="V54" i="4"/>
  <c r="U54" i="4"/>
  <c r="W54" i="4" s="1"/>
  <c r="T54" i="4"/>
  <c r="W53" i="4"/>
  <c r="V53" i="4"/>
  <c r="U53" i="4"/>
  <c r="T53" i="4"/>
  <c r="V52" i="4"/>
  <c r="U52" i="4"/>
  <c r="T52" i="4"/>
  <c r="W51" i="4"/>
  <c r="V51" i="4"/>
  <c r="U51" i="4"/>
  <c r="T51" i="4"/>
  <c r="V50" i="4"/>
  <c r="U50" i="4"/>
  <c r="W50" i="4" s="1"/>
  <c r="T50" i="4"/>
  <c r="W49" i="4"/>
  <c r="V49" i="4"/>
  <c r="U49" i="4"/>
  <c r="T49" i="4"/>
  <c r="V48" i="4"/>
  <c r="U48" i="4"/>
  <c r="T48" i="4"/>
  <c r="W47" i="4"/>
  <c r="V47" i="4"/>
  <c r="U47" i="4"/>
  <c r="T47" i="4"/>
  <c r="V46" i="4"/>
  <c r="U46" i="4"/>
  <c r="W46" i="4" s="1"/>
  <c r="T46" i="4"/>
  <c r="W45" i="4"/>
  <c r="V45" i="4"/>
  <c r="U45" i="4"/>
  <c r="T45" i="4"/>
  <c r="V44" i="4"/>
  <c r="U44" i="4"/>
  <c r="T44" i="4"/>
  <c r="V43" i="4"/>
  <c r="U43" i="4"/>
  <c r="W43" i="4" s="1"/>
  <c r="T43" i="4"/>
  <c r="V42" i="4"/>
  <c r="U42" i="4"/>
  <c r="W42" i="4" s="1"/>
  <c r="T42" i="4"/>
  <c r="W41" i="4"/>
  <c r="V41" i="4"/>
  <c r="U41" i="4"/>
  <c r="T41" i="4"/>
  <c r="V40" i="4"/>
  <c r="U40" i="4"/>
  <c r="T40" i="4"/>
  <c r="V39" i="4"/>
  <c r="U39" i="4"/>
  <c r="W39" i="4" s="1"/>
  <c r="T39" i="4"/>
  <c r="V38" i="4"/>
  <c r="U38" i="4"/>
  <c r="W38" i="4" s="1"/>
  <c r="T38" i="4"/>
  <c r="W37" i="4"/>
  <c r="V37" i="4"/>
  <c r="U37" i="4"/>
  <c r="T37" i="4"/>
  <c r="V36" i="4"/>
  <c r="U36" i="4"/>
  <c r="T36" i="4"/>
  <c r="V35" i="4"/>
  <c r="U35" i="4"/>
  <c r="W35" i="4" s="1"/>
  <c r="T35" i="4"/>
  <c r="V34" i="4"/>
  <c r="U34" i="4"/>
  <c r="W34" i="4" s="1"/>
  <c r="T34" i="4"/>
  <c r="W33" i="4"/>
  <c r="V33" i="4"/>
  <c r="U33" i="4"/>
  <c r="T33" i="4"/>
  <c r="V32" i="4"/>
  <c r="U32" i="4"/>
  <c r="T32" i="4"/>
  <c r="W31" i="4"/>
  <c r="V31" i="4"/>
  <c r="U31" i="4"/>
  <c r="T31" i="4"/>
  <c r="V30" i="4"/>
  <c r="U30" i="4"/>
  <c r="W30" i="4" s="1"/>
  <c r="T30" i="4"/>
  <c r="W29" i="4"/>
  <c r="V29" i="4"/>
  <c r="U29" i="4"/>
  <c r="T29" i="4"/>
  <c r="V28" i="4"/>
  <c r="U28" i="4"/>
  <c r="T28" i="4"/>
  <c r="V27" i="4"/>
  <c r="U27" i="4"/>
  <c r="W27" i="4" s="1"/>
  <c r="T27" i="4"/>
  <c r="V26" i="4"/>
  <c r="U26" i="4"/>
  <c r="W26" i="4" s="1"/>
  <c r="T26" i="4"/>
  <c r="W25" i="4"/>
  <c r="V25" i="4"/>
  <c r="U25" i="4"/>
  <c r="T25" i="4"/>
  <c r="V24" i="4"/>
  <c r="U24" i="4"/>
  <c r="T24" i="4"/>
  <c r="V23" i="4"/>
  <c r="U23" i="4"/>
  <c r="W23" i="4" s="1"/>
  <c r="T23" i="4"/>
  <c r="V22" i="4"/>
  <c r="U22" i="4"/>
  <c r="W22" i="4" s="1"/>
  <c r="T22" i="4"/>
  <c r="W21" i="4"/>
  <c r="V21" i="4"/>
  <c r="U21" i="4"/>
  <c r="T21" i="4"/>
  <c r="V20" i="4"/>
  <c r="U20" i="4"/>
  <c r="T20" i="4"/>
  <c r="W19" i="4"/>
  <c r="V19" i="4"/>
  <c r="U19" i="4"/>
  <c r="T19" i="4"/>
  <c r="V18" i="4"/>
  <c r="U18" i="4"/>
  <c r="W18" i="4" s="1"/>
  <c r="T18" i="4"/>
  <c r="W17" i="4"/>
  <c r="V17" i="4"/>
  <c r="U17" i="4"/>
  <c r="T17" i="4"/>
  <c r="V16" i="4"/>
  <c r="U16" i="4"/>
  <c r="T16" i="4"/>
  <c r="W15" i="4"/>
  <c r="V15" i="4"/>
  <c r="U15" i="4"/>
  <c r="T15" i="4"/>
  <c r="V14" i="4"/>
  <c r="U14" i="4"/>
  <c r="W14" i="4" s="1"/>
  <c r="T14" i="4"/>
  <c r="W13" i="4"/>
  <c r="V13" i="4"/>
  <c r="U13" i="4"/>
  <c r="T13" i="4"/>
  <c r="V12" i="4"/>
  <c r="U12" i="4"/>
  <c r="T12" i="4"/>
  <c r="V11" i="4"/>
  <c r="U11" i="4"/>
  <c r="W11" i="4" s="1"/>
  <c r="T11" i="4"/>
  <c r="V10" i="4"/>
  <c r="U10" i="4"/>
  <c r="W10" i="4" s="1"/>
  <c r="T10" i="4"/>
  <c r="W9" i="4"/>
  <c r="V9" i="4"/>
  <c r="U9" i="4"/>
  <c r="T9" i="4"/>
  <c r="V8" i="4"/>
  <c r="U8" i="4"/>
  <c r="T8" i="4"/>
  <c r="V7" i="4"/>
  <c r="U7" i="4"/>
  <c r="W7" i="4" s="1"/>
  <c r="T7" i="4"/>
  <c r="V6" i="4"/>
  <c r="U6" i="4"/>
  <c r="W6" i="4" s="1"/>
  <c r="T6" i="4"/>
  <c r="W5" i="4"/>
  <c r="V5" i="4"/>
  <c r="U5" i="4"/>
  <c r="T5" i="4"/>
  <c r="V4" i="4"/>
  <c r="U4" i="4"/>
  <c r="T4" i="4"/>
  <c r="V3" i="4"/>
  <c r="U3" i="4"/>
  <c r="W3" i="4" s="1"/>
  <c r="T3" i="4"/>
  <c r="V2" i="4"/>
  <c r="U2" i="4"/>
  <c r="W2" i="4" s="1"/>
  <c r="T2" i="4"/>
  <c r="W4" i="4" l="1"/>
  <c r="W36" i="4"/>
  <c r="W73" i="4"/>
  <c r="W359" i="4"/>
  <c r="W527" i="4"/>
  <c r="W32" i="4"/>
  <c r="W98" i="4"/>
  <c r="W107" i="4"/>
  <c r="W140" i="4"/>
  <c r="W230" i="4"/>
  <c r="W111" i="4"/>
  <c r="W154" i="4"/>
  <c r="W234" i="4"/>
  <c r="W325" i="4"/>
  <c r="W64" i="4"/>
  <c r="W369" i="4"/>
  <c r="W440" i="4"/>
  <c r="W504" i="4"/>
  <c r="W28" i="4"/>
  <c r="W60" i="4"/>
  <c r="W264" i="4"/>
  <c r="W273" i="4"/>
  <c r="W355" i="4"/>
  <c r="W500" i="4"/>
  <c r="W68" i="4"/>
  <c r="W144" i="4"/>
  <c r="W24" i="4"/>
  <c r="W56" i="4"/>
  <c r="W136" i="4"/>
  <c r="W179" i="4"/>
  <c r="W260" i="4"/>
  <c r="W496" i="4"/>
  <c r="W20" i="4"/>
  <c r="W568" i="4"/>
  <c r="W16" i="4"/>
  <c r="W48" i="4"/>
  <c r="W128" i="4"/>
  <c r="W242" i="4"/>
  <c r="W564" i="4"/>
  <c r="W12" i="4"/>
  <c r="W44" i="4"/>
  <c r="W162" i="4"/>
  <c r="W171" i="4"/>
  <c r="W343" i="4"/>
  <c r="W448" i="4"/>
  <c r="W52" i="4"/>
  <c r="W90" i="4"/>
  <c r="W246" i="4"/>
  <c r="W132" i="4"/>
  <c r="W175" i="4"/>
  <c r="W256" i="4"/>
  <c r="W452" i="4"/>
  <c r="W76" i="4"/>
  <c r="W347" i="4"/>
  <c r="W390" i="4"/>
  <c r="W8" i="4"/>
  <c r="W40" i="4"/>
  <c r="W158" i="4"/>
  <c r="W238" i="4"/>
  <c r="W329" i="4"/>
  <c r="W124" i="4"/>
  <c r="W403" i="4"/>
  <c r="W436" i="4"/>
  <c r="W226" i="4"/>
  <c r="W339" i="4"/>
  <c r="W556" i="4"/>
  <c r="W120" i="4"/>
  <c r="W222" i="4"/>
  <c r="W335" i="4"/>
  <c r="W399" i="4"/>
  <c r="W536" i="4"/>
  <c r="W116" i="4"/>
  <c r="W218" i="4"/>
  <c r="W330" i="4"/>
  <c r="W395" i="4"/>
  <c r="W532" i="4"/>
  <c r="W112" i="4"/>
  <c r="W176" i="4"/>
  <c r="W326" i="4"/>
  <c r="W391" i="4"/>
  <c r="W528" i="4"/>
  <c r="W560" i="4"/>
  <c r="W104" i="4"/>
  <c r="W168" i="4"/>
  <c r="W270" i="4"/>
  <c r="W506" i="4"/>
  <c r="W100" i="4"/>
  <c r="W266" i="4"/>
  <c r="W96" i="4"/>
  <c r="W160" i="4"/>
  <c r="W262" i="4"/>
  <c r="W375" i="4"/>
  <c r="W498" i="4"/>
  <c r="W383" i="4"/>
  <c r="W164" i="4"/>
  <c r="W379" i="4"/>
  <c r="W502" i="4"/>
  <c r="W88" i="4"/>
  <c r="W152" i="4"/>
  <c r="W254" i="4"/>
  <c r="W367" i="4"/>
  <c r="W490" i="4"/>
</calcChain>
</file>

<file path=xl/sharedStrings.xml><?xml version="1.0" encoding="utf-8"?>
<sst xmlns="http://schemas.openxmlformats.org/spreadsheetml/2006/main" count="37750" uniqueCount="1922">
  <si>
    <t>DIGITIZACIÓN – BLOQUE 1 META-ANÁLISIS</t>
  </si>
  <si>
    <t>Objetivo</t>
  </si>
  <si>
    <t>Extracción de medias y barras de error desde figuras para tamaños del efecto lnRR.</t>
  </si>
  <si>
    <t>Estudios digitalizados</t>
  </si>
  <si>
    <t>Todos los bloques de Scopus consolidados: 30 estudios rastreados; 29 cuantitativamente listos.</t>
  </si>
  <si>
    <t>Estado ALI2008</t>
  </si>
  <si>
    <t>Total final provisional de Scopus: 575 tamaños del efecto listos. ATTA2024 sigue pendiente por tipo de barra de error no identificado.</t>
  </si>
  <si>
    <t>Métrica prevista</t>
  </si>
  <si>
    <t>lnRR = ln(Mean_T/Mean_C)</t>
  </si>
  <si>
    <t>Varianza</t>
  </si>
  <si>
    <t>vi = SD_T^2/(n_T*Mean_T^2) + SD_C^2/(n_C*Mean_C^2)</t>
  </si>
  <si>
    <t>Conversión</t>
  </si>
  <si>
    <t>Cuando el artículo reporta SE: SD = SE*SQRT(n).</t>
  </si>
  <si>
    <t>Saddique 2022</t>
  </si>
  <si>
    <t>Figuras 7–8; error bars = SE de 3 repeticiones.</t>
  </si>
  <si>
    <t>Aboryia 2022</t>
  </si>
  <si>
    <t>Figura 9; datos de dos temporadas reportados como media ± SE, n=3 por temporada. Se conserva 5000 ppm solo para sensibilidad.</t>
  </si>
  <si>
    <t>Control compartido</t>
  </si>
  <si>
    <t>Los efectos que comparten control no son independientes; Shared_Control_ID permite modelar esa dependencia.</t>
  </si>
  <si>
    <t>Precaución</t>
  </si>
  <si>
    <t>Los valores digitalizados son estimaciones gráficas. Mantener el campo QC y realizar sensibilidad si fuera necesario.</t>
  </si>
  <si>
    <t>Fecha de extracción</t>
  </si>
  <si>
    <t>2026-08-26</t>
  </si>
  <si>
    <t>Organ</t>
  </si>
  <si>
    <t>Nutrient</t>
  </si>
  <si>
    <t>Treatment</t>
  </si>
  <si>
    <t>Cultivar</t>
  </si>
  <si>
    <t>Mean_digitized</t>
  </si>
  <si>
    <t>SE_digitized</t>
  </si>
  <si>
    <t>Root</t>
  </si>
  <si>
    <t>Ca</t>
  </si>
  <si>
    <t>C</t>
  </si>
  <si>
    <t>Desi Palak</t>
  </si>
  <si>
    <t>VRI-2019</t>
  </si>
  <si>
    <t>S</t>
  </si>
  <si>
    <t>Met+S</t>
  </si>
  <si>
    <t>Phe+S</t>
  </si>
  <si>
    <t>Pro+S</t>
  </si>
  <si>
    <t>Tyr+S</t>
  </si>
  <si>
    <t>Comb+S</t>
  </si>
  <si>
    <t>K</t>
  </si>
  <si>
    <t>Shoot</t>
  </si>
  <si>
    <t>N</t>
  </si>
  <si>
    <t>Control</t>
  </si>
  <si>
    <t>5000</t>
  </si>
  <si>
    <t>10000</t>
  </si>
  <si>
    <t>15000</t>
  </si>
  <si>
    <t>5000+Pro300</t>
  </si>
  <si>
    <t>10000+Pro300</t>
  </si>
  <si>
    <t>15000+Pro300</t>
  </si>
  <si>
    <t>5000+Pro450</t>
  </si>
  <si>
    <t>10000+Pro450</t>
  </si>
  <si>
    <t>15000+Pro450</t>
  </si>
  <si>
    <t>P</t>
  </si>
  <si>
    <t>Study_ID</t>
  </si>
  <si>
    <t>Effect_ID</t>
  </si>
  <si>
    <t>Species</t>
  </si>
  <si>
    <t>Amino_acid</t>
  </si>
  <si>
    <t>Dose</t>
  </si>
  <si>
    <t>Dose_unit</t>
  </si>
  <si>
    <t>Application_route</t>
  </si>
  <si>
    <t>Stress_type</t>
  </si>
  <si>
    <t>Stress_level</t>
  </si>
  <si>
    <t>Unit</t>
  </si>
  <si>
    <t>Mean_C</t>
  </si>
  <si>
    <t>SE_C</t>
  </si>
  <si>
    <t>n_C</t>
  </si>
  <si>
    <t>Mean_T</t>
  </si>
  <si>
    <t>SE_T</t>
  </si>
  <si>
    <t>n_T</t>
  </si>
  <si>
    <t>SD_C</t>
  </si>
  <si>
    <t>SD_T</t>
  </si>
  <si>
    <t>lnRR</t>
  </si>
  <si>
    <t>vi</t>
  </si>
  <si>
    <t>Source</t>
  </si>
  <si>
    <t>Extraction_method</t>
  </si>
  <si>
    <t>QC</t>
  </si>
  <si>
    <t>Shared_Control_ID</t>
  </si>
  <si>
    <t>Analysis_flag</t>
  </si>
  <si>
    <t>SADDIQUE2022</t>
  </si>
  <si>
    <t>SADDIQUE2022_DesiPalak_Root_Ca_MetS</t>
  </si>
  <si>
    <t>Spinacia oleracea</t>
  </si>
  <si>
    <t>Methionine</t>
  </si>
  <si>
    <t>mg/L</t>
  </si>
  <si>
    <t>Foliar</t>
  </si>
  <si>
    <t>Salinity</t>
  </si>
  <si>
    <t>100 mM NaCl</t>
  </si>
  <si>
    <t>µg g^-1 DW</t>
  </si>
  <si>
    <t>Figures 7–8</t>
  </si>
  <si>
    <t>Digitized from figure</t>
  </si>
  <si>
    <t>High mean / Moderate SE</t>
  </si>
  <si>
    <t>SADDIQUE2022_DesiPalak_Root_Ca_S</t>
  </si>
  <si>
    <t>Main</t>
  </si>
  <si>
    <t>SADDIQUE2022_DesiPalak_Root_Ca_PheS</t>
  </si>
  <si>
    <t>Phenylalanine</t>
  </si>
  <si>
    <t>SADDIQUE2022_DesiPalak_Root_Ca_ProS</t>
  </si>
  <si>
    <t>Proline</t>
  </si>
  <si>
    <t>SADDIQUE2022_DesiPalak_Root_Ca_TyrS</t>
  </si>
  <si>
    <t>Tyrosine</t>
  </si>
  <si>
    <t>SADDIQUE2022_DesiPalak_Root_Ca_CombS</t>
  </si>
  <si>
    <t>Met+Phe+Pro+Tyr mixture</t>
  </si>
  <si>
    <t>mg/L total</t>
  </si>
  <si>
    <t>SADDIQUE2022_VRI-2019_Root_Ca_MetS</t>
  </si>
  <si>
    <t>SADDIQUE2022_VRI-2019_Root_Ca_S</t>
  </si>
  <si>
    <t>SADDIQUE2022_VRI-2019_Root_Ca_PheS</t>
  </si>
  <si>
    <t>SADDIQUE2022_VRI-2019_Root_Ca_ProS</t>
  </si>
  <si>
    <t>SADDIQUE2022_VRI-2019_Root_Ca_TyrS</t>
  </si>
  <si>
    <t>SADDIQUE2022_VRI-2019_Root_Ca_CombS</t>
  </si>
  <si>
    <t>SADDIQUE2022_DesiPalak_Root_K_MetS</t>
  </si>
  <si>
    <t>SADDIQUE2022_DesiPalak_Root_K_S</t>
  </si>
  <si>
    <t>SADDIQUE2022_DesiPalak_Root_K_PheS</t>
  </si>
  <si>
    <t>SADDIQUE2022_DesiPalak_Root_K_ProS</t>
  </si>
  <si>
    <t>SADDIQUE2022_DesiPalak_Root_K_TyrS</t>
  </si>
  <si>
    <t>SADDIQUE2022_DesiPalak_Root_K_CombS</t>
  </si>
  <si>
    <t>SADDIQUE2022_VRI-2019_Root_K_MetS</t>
  </si>
  <si>
    <t>SADDIQUE2022_VRI-2019_Root_K_S</t>
  </si>
  <si>
    <t>SADDIQUE2022_VRI-2019_Root_K_PheS</t>
  </si>
  <si>
    <t>SADDIQUE2022_VRI-2019_Root_K_ProS</t>
  </si>
  <si>
    <t>SADDIQUE2022_VRI-2019_Root_K_TyrS</t>
  </si>
  <si>
    <t>SADDIQUE2022_VRI-2019_Root_K_CombS</t>
  </si>
  <si>
    <t>SADDIQUE2022_DesiPalak_Shoot_Ca_MetS</t>
  </si>
  <si>
    <t>SADDIQUE2022_DesiPalak_Shoot_Ca_S</t>
  </si>
  <si>
    <t>SADDIQUE2022_DesiPalak_Shoot_Ca_PheS</t>
  </si>
  <si>
    <t>SADDIQUE2022_DesiPalak_Shoot_Ca_ProS</t>
  </si>
  <si>
    <t>SADDIQUE2022_DesiPalak_Shoot_Ca_TyrS</t>
  </si>
  <si>
    <t>SADDIQUE2022_DesiPalak_Shoot_Ca_CombS</t>
  </si>
  <si>
    <t>SADDIQUE2022_VRI-2019_Shoot_Ca_MetS</t>
  </si>
  <si>
    <t>SADDIQUE2022_VRI-2019_Shoot_Ca_S</t>
  </si>
  <si>
    <t>SADDIQUE2022_VRI-2019_Shoot_Ca_PheS</t>
  </si>
  <si>
    <t>SADDIQUE2022_VRI-2019_Shoot_Ca_ProS</t>
  </si>
  <si>
    <t>SADDIQUE2022_VRI-2019_Shoot_Ca_TyrS</t>
  </si>
  <si>
    <t>SADDIQUE2022_VRI-2019_Shoot_Ca_CombS</t>
  </si>
  <si>
    <t>SADDIQUE2022_DesiPalak_Shoot_K_MetS</t>
  </si>
  <si>
    <t>SADDIQUE2022_DesiPalak_Shoot_K_S</t>
  </si>
  <si>
    <t>SADDIQUE2022_DesiPalak_Shoot_K_PheS</t>
  </si>
  <si>
    <t>SADDIQUE2022_DesiPalak_Shoot_K_ProS</t>
  </si>
  <si>
    <t>SADDIQUE2022_DesiPalak_Shoot_K_TyrS</t>
  </si>
  <si>
    <t>SADDIQUE2022_DesiPalak_Shoot_K_CombS</t>
  </si>
  <si>
    <t>SADDIQUE2022_VRI-2019_Shoot_K_MetS</t>
  </si>
  <si>
    <t>SADDIQUE2022_VRI-2019_Shoot_K_S</t>
  </si>
  <si>
    <t>SADDIQUE2022_VRI-2019_Shoot_K_PheS</t>
  </si>
  <si>
    <t>SADDIQUE2022_VRI-2019_Shoot_K_ProS</t>
  </si>
  <si>
    <t>SADDIQUE2022_VRI-2019_Shoot_K_TyrS</t>
  </si>
  <si>
    <t>SADDIQUE2022_VRI-2019_Shoot_K_CombS</t>
  </si>
  <si>
    <t>ABORYIA2022</t>
  </si>
  <si>
    <t>ABORYIA2022_5000_PRO300_N</t>
  </si>
  <si>
    <t>Simmondsia chinensis</t>
  </si>
  <si>
    <t>ppm</t>
  </si>
  <si>
    <t>5000 ppm diluted seawater</t>
  </si>
  <si>
    <t>Leaf</t>
  </si>
  <si>
    <t>mg 100 g^-1 DW</t>
  </si>
  <si>
    <t>Figure 9</t>
  </si>
  <si>
    <t>ABORYIA2022_5000_N_PRO0</t>
  </si>
  <si>
    <t>Sensitivity-low-stress</t>
  </si>
  <si>
    <t>ABORYIA2022_5000_PRO450_N</t>
  </si>
  <si>
    <t>ABORYIA2022_10000_PRO300_N</t>
  </si>
  <si>
    <t>10000 ppm diluted seawater</t>
  </si>
  <si>
    <t>ABORYIA2022_10000_N_PRO0</t>
  </si>
  <si>
    <t>ABORYIA2022_10000_PRO450_N</t>
  </si>
  <si>
    <t>ABORYIA2022_15000_PRO300_N</t>
  </si>
  <si>
    <t>15000 ppm diluted seawater</t>
  </si>
  <si>
    <t>ABORYIA2022_15000_N_PRO0</t>
  </si>
  <si>
    <t>ABORYIA2022_15000_PRO450_N</t>
  </si>
  <si>
    <t>ABORYIA2022_5000_PRO300_P</t>
  </si>
  <si>
    <t>ABORYIA2022_5000_P_PRO0</t>
  </si>
  <si>
    <t>ABORYIA2022_5000_PRO450_P</t>
  </si>
  <si>
    <t>ABORYIA2022_10000_PRO300_P</t>
  </si>
  <si>
    <t>ABORYIA2022_10000_P_PRO0</t>
  </si>
  <si>
    <t>ABORYIA2022_10000_PRO450_P</t>
  </si>
  <si>
    <t>ABORYIA2022_15000_PRO300_P</t>
  </si>
  <si>
    <t>ABORYIA2022_15000_P_PRO0</t>
  </si>
  <si>
    <t>ABORYIA2022_15000_PRO450_P</t>
  </si>
  <si>
    <t>ABORYIA2022_5000_PRO300_K</t>
  </si>
  <si>
    <t>ABORYIA2022_5000_K_PRO0</t>
  </si>
  <si>
    <t>ABORYIA2022_5000_PRO450_K</t>
  </si>
  <si>
    <t>ABORYIA2022_10000_PRO300_K</t>
  </si>
  <si>
    <t>ABORYIA2022_10000_K_PRO0</t>
  </si>
  <si>
    <t>ABORYIA2022_10000_PRO450_K</t>
  </si>
  <si>
    <t>ABORYIA2022_15000_PRO300_K</t>
  </si>
  <si>
    <t>ABORYIA2022_15000_K_PRO0</t>
  </si>
  <si>
    <t>ABORYIA2022_15000_PRO450_K</t>
  </si>
  <si>
    <t>ALI2008</t>
  </si>
  <si>
    <t>ALI2008_EV-1098_Seedling_Shoot_K_PRO30</t>
  </si>
  <si>
    <t>Zea mays</t>
  </si>
  <si>
    <t>EV-1098</t>
  </si>
  <si>
    <t>mM</t>
  </si>
  <si>
    <t>Water deficit</t>
  </si>
  <si>
    <t>60% field capacity</t>
  </si>
  <si>
    <t>mg g^-1 DW</t>
  </si>
  <si>
    <t>Figures 1–3</t>
  </si>
  <si>
    <t>Vector digitization from PDF</t>
  </si>
  <si>
    <t>High (vector extraction)</t>
  </si>
  <si>
    <t>ALI2008_EV-1098_Seedling_Shoot_K_WS</t>
  </si>
  <si>
    <t>ALI2008_EV-1098_Seedling_Shoot_K_PRO60</t>
  </si>
  <si>
    <t>ALI2008_Agaiti2002_Seedling_Shoot_K_PRO30</t>
  </si>
  <si>
    <t>Agaiti 2002</t>
  </si>
  <si>
    <t>ALI2008_Agaiti2002_Seedling_Shoot_K_WS</t>
  </si>
  <si>
    <t>ALI2008_Agaiti2002_Seedling_Shoot_K_PRO60</t>
  </si>
  <si>
    <t>ALI2008_EV-1098_Vegetative_Shoot_K_PRO30</t>
  </si>
  <si>
    <t>ALI2008_EV-1098_Vegetative_Shoot_K_WS</t>
  </si>
  <si>
    <t>ALI2008_EV-1098_Vegetative_Shoot_K_PRO60</t>
  </si>
  <si>
    <t>ALI2008_Agaiti2002_Vegetative_Shoot_K_PRO30</t>
  </si>
  <si>
    <t>ALI2008_Agaiti2002_Vegetative_Shoot_K_WS</t>
  </si>
  <si>
    <t>ALI2008_Agaiti2002_Vegetative_Shoot_K_PRO60</t>
  </si>
  <si>
    <t>ALI2008_EV-1098_SeedlingPlusVegetative_Shoot_K_PRO30</t>
  </si>
  <si>
    <t>ALI2008_EV-1098_SeedlingPlusVegetative_Shoot_K_WS</t>
  </si>
  <si>
    <t>ALI2008_EV-1098_SeedlingPlusVegetative_Shoot_K_PRO60</t>
  </si>
  <si>
    <t>ALI2008_Agaiti2002_SeedlingPlusVegetative_Shoot_K_PRO30</t>
  </si>
  <si>
    <t>ALI2008_Agaiti2002_SeedlingPlusVegetative_Shoot_K_WS</t>
  </si>
  <si>
    <t>ALI2008_Agaiti2002_SeedlingPlusVegetative_Shoot_K_PRO60</t>
  </si>
  <si>
    <t>ALI2008_EV-1098_Seedling_Root_K_PRO30</t>
  </si>
  <si>
    <t>ALI2008_EV-1098_Seedling_Root_K_WS</t>
  </si>
  <si>
    <t>ALI2008_EV-1098_Seedling_Root_K_PRO60</t>
  </si>
  <si>
    <t>ALI2008_Agaiti2002_Seedling_Root_K_PRO30</t>
  </si>
  <si>
    <t>ALI2008_Agaiti2002_Seedling_Root_K_WS</t>
  </si>
  <si>
    <t>ALI2008_Agaiti2002_Seedling_Root_K_PRO60</t>
  </si>
  <si>
    <t>ALI2008_EV-1098_Vegetative_Root_K_PRO30</t>
  </si>
  <si>
    <t>ALI2008_EV-1098_Vegetative_Root_K_WS</t>
  </si>
  <si>
    <t>ALI2008_EV-1098_Vegetative_Root_K_PRO60</t>
  </si>
  <si>
    <t>ALI2008_Agaiti2002_Vegetative_Root_K_PRO30</t>
  </si>
  <si>
    <t>ALI2008_Agaiti2002_Vegetative_Root_K_WS</t>
  </si>
  <si>
    <t>ALI2008_Agaiti2002_Vegetative_Root_K_PRO60</t>
  </si>
  <si>
    <t>ALI2008_EV-1098_SeedlingPlusVegetative_Root_K_PRO30</t>
  </si>
  <si>
    <t>ALI2008_EV-1098_SeedlingPlusVegetative_Root_K_WS</t>
  </si>
  <si>
    <t>ALI2008_EV-1098_SeedlingPlusVegetative_Root_K_PRO60</t>
  </si>
  <si>
    <t>ALI2008_Agaiti2002_SeedlingPlusVegetative_Root_K_PRO30</t>
  </si>
  <si>
    <t>ALI2008_Agaiti2002_SeedlingPlusVegetative_Root_K_WS</t>
  </si>
  <si>
    <t>ALI2008_Agaiti2002_SeedlingPlusVegetative_Root_K_PRO60</t>
  </si>
  <si>
    <t>ALI2008_EV-1098_Seedling_Shoot_Ca_PRO30</t>
  </si>
  <si>
    <t>ALI2008_EV-1098_Seedling_Shoot_Ca_WS</t>
  </si>
  <si>
    <t>ALI2008_EV-1098_Seedling_Shoot_Ca_PRO60</t>
  </si>
  <si>
    <t>ALI2008_Agaiti2002_Seedling_Shoot_Ca_PRO30</t>
  </si>
  <si>
    <t>ALI2008_Agaiti2002_Seedling_Shoot_Ca_WS</t>
  </si>
  <si>
    <t>ALI2008_Agaiti2002_Seedling_Shoot_Ca_PRO60</t>
  </si>
  <si>
    <t>ALI2008_EV-1098_Vegetative_Shoot_Ca_PRO30</t>
  </si>
  <si>
    <t>ALI2008_EV-1098_Vegetative_Shoot_Ca_WS</t>
  </si>
  <si>
    <t>ALI2008_EV-1098_Vegetative_Shoot_Ca_PRO60</t>
  </si>
  <si>
    <t>ALI2008_Agaiti2002_Vegetative_Shoot_Ca_PRO30</t>
  </si>
  <si>
    <t>ALI2008_Agaiti2002_Vegetative_Shoot_Ca_WS</t>
  </si>
  <si>
    <t>ALI2008_Agaiti2002_Vegetative_Shoot_Ca_PRO60</t>
  </si>
  <si>
    <t>ALI2008_EV-1098_SeedlingPlusVegetative_Shoot_Ca_PRO30</t>
  </si>
  <si>
    <t>ALI2008_EV-1098_SeedlingPlusVegetative_Shoot_Ca_WS</t>
  </si>
  <si>
    <t>ALI2008_EV-1098_SeedlingPlusVegetative_Shoot_Ca_PRO60</t>
  </si>
  <si>
    <t>ALI2008_Agaiti2002_SeedlingPlusVegetative_Shoot_Ca_PRO30</t>
  </si>
  <si>
    <t>ALI2008_Agaiti2002_SeedlingPlusVegetative_Shoot_Ca_WS</t>
  </si>
  <si>
    <t>ALI2008_Agaiti2002_SeedlingPlusVegetative_Shoot_Ca_PRO60</t>
  </si>
  <si>
    <t>ALI2008_EV-1098_Seedling_Root_Ca_PRO30</t>
  </si>
  <si>
    <t>ALI2008_EV-1098_Seedling_Root_Ca_WS</t>
  </si>
  <si>
    <t>ALI2008_EV-1098_Seedling_Root_Ca_PRO60</t>
  </si>
  <si>
    <t>ALI2008_Agaiti2002_Seedling_Root_Ca_PRO30</t>
  </si>
  <si>
    <t>ALI2008_Agaiti2002_Seedling_Root_Ca_WS</t>
  </si>
  <si>
    <t>ALI2008_Agaiti2002_Seedling_Root_Ca_PRO60</t>
  </si>
  <si>
    <t>ALI2008_EV-1098_Vegetative_Root_Ca_PRO30</t>
  </si>
  <si>
    <t>ALI2008_EV-1098_Vegetative_Root_Ca_WS</t>
  </si>
  <si>
    <t>ALI2008_EV-1098_Vegetative_Root_Ca_PRO60</t>
  </si>
  <si>
    <t>ALI2008_Agaiti2002_Vegetative_Root_Ca_PRO30</t>
  </si>
  <si>
    <t>ALI2008_Agaiti2002_Vegetative_Root_Ca_WS</t>
  </si>
  <si>
    <t>ALI2008_Agaiti2002_Vegetative_Root_Ca_PRO60</t>
  </si>
  <si>
    <t>ALI2008_EV-1098_SeedlingPlusVegetative_Root_Ca_PRO30</t>
  </si>
  <si>
    <t>ALI2008_EV-1098_SeedlingPlusVegetative_Root_Ca_WS</t>
  </si>
  <si>
    <t>ALI2008_EV-1098_SeedlingPlusVegetative_Root_Ca_PRO60</t>
  </si>
  <si>
    <t>ALI2008_Agaiti2002_SeedlingPlusVegetative_Root_Ca_PRO30</t>
  </si>
  <si>
    <t>ALI2008_Agaiti2002_SeedlingPlusVegetative_Root_Ca_WS</t>
  </si>
  <si>
    <t>ALI2008_Agaiti2002_SeedlingPlusVegetative_Root_Ca_PRO60</t>
  </si>
  <si>
    <t>ALI2008_EV-1098_Seedling_Shoot_N_PRO30</t>
  </si>
  <si>
    <t>ALI2008_EV-1098_Seedling_Shoot_N_WS</t>
  </si>
  <si>
    <t>ALI2008_EV-1098_Seedling_Shoot_N_PRO60</t>
  </si>
  <si>
    <t>ALI2008_Agaiti2002_Seedling_Shoot_N_PRO30</t>
  </si>
  <si>
    <t>ALI2008_Agaiti2002_Seedling_Shoot_N_WS</t>
  </si>
  <si>
    <t>ALI2008_Agaiti2002_Seedling_Shoot_N_PRO60</t>
  </si>
  <si>
    <t>ALI2008_EV-1098_Vegetative_Shoot_N_PRO30</t>
  </si>
  <si>
    <t>ALI2008_EV-1098_Vegetative_Shoot_N_WS</t>
  </si>
  <si>
    <t>ALI2008_EV-1098_Vegetative_Shoot_N_PRO60</t>
  </si>
  <si>
    <t>ALI2008_Agaiti2002_Vegetative_Shoot_N_PRO30</t>
  </si>
  <si>
    <t>ALI2008_Agaiti2002_Vegetative_Shoot_N_WS</t>
  </si>
  <si>
    <t>ALI2008_Agaiti2002_Vegetative_Shoot_N_PRO60</t>
  </si>
  <si>
    <t>ALI2008_EV-1098_SeedlingPlusVegetative_Shoot_N_PRO30</t>
  </si>
  <si>
    <t>ALI2008_EV-1098_SeedlingPlusVegetative_Shoot_N_WS</t>
  </si>
  <si>
    <t>ALI2008_EV-1098_SeedlingPlusVegetative_Shoot_N_PRO60</t>
  </si>
  <si>
    <t>ALI2008_Agaiti2002_SeedlingPlusVegetative_Shoot_N_PRO30</t>
  </si>
  <si>
    <t>ALI2008_Agaiti2002_SeedlingPlusVegetative_Shoot_N_WS</t>
  </si>
  <si>
    <t>ALI2008_Agaiti2002_SeedlingPlusVegetative_Shoot_N_PRO60</t>
  </si>
  <si>
    <t>ALI2008_EV-1098_Seedling_Root_N_PRO30</t>
  </si>
  <si>
    <t>ALI2008_EV-1098_Seedling_Root_N_WS</t>
  </si>
  <si>
    <t>ALI2008_EV-1098_Seedling_Root_N_PRO60</t>
  </si>
  <si>
    <t>ALI2008_Agaiti2002_Seedling_Root_N_PRO30</t>
  </si>
  <si>
    <t>ALI2008_Agaiti2002_Seedling_Root_N_WS</t>
  </si>
  <si>
    <t>ALI2008_Agaiti2002_Seedling_Root_N_PRO60</t>
  </si>
  <si>
    <t>ALI2008_EV-1098_Vegetative_Root_N_PRO30</t>
  </si>
  <si>
    <t>ALI2008_EV-1098_Vegetative_Root_N_WS</t>
  </si>
  <si>
    <t>ALI2008_EV-1098_Vegetative_Root_N_PRO60</t>
  </si>
  <si>
    <t>ALI2008_Agaiti2002_Vegetative_Root_N_PRO30</t>
  </si>
  <si>
    <t>ALI2008_Agaiti2002_Vegetative_Root_N_WS</t>
  </si>
  <si>
    <t>ALI2008_Agaiti2002_Vegetative_Root_N_PRO60</t>
  </si>
  <si>
    <t>ALI2008_EV-1098_SeedlingPlusVegetative_Root_N_PRO30</t>
  </si>
  <si>
    <t>ALI2008_EV-1098_SeedlingPlusVegetative_Root_N_WS</t>
  </si>
  <si>
    <t>ALI2008_EV-1098_SeedlingPlusVegetative_Root_N_PRO60</t>
  </si>
  <si>
    <t>ALI2008_Agaiti2002_SeedlingPlusVegetative_Root_N_PRO30</t>
  </si>
  <si>
    <t>ALI2008_Agaiti2002_SeedlingPlusVegetative_Root_N_WS</t>
  </si>
  <si>
    <t>ALI2008_Agaiti2002_SeedlingPlusVegetative_Root_N_PRO60</t>
  </si>
  <si>
    <t>ALI2008_EV-1098_Seedling_Shoot_P_PRO30</t>
  </si>
  <si>
    <t>ALI2008_EV-1098_Seedling_Shoot_P_WS</t>
  </si>
  <si>
    <t>ALI2008_EV-1098_Seedling_Shoot_P_PRO60</t>
  </si>
  <si>
    <t>ALI2008_Agaiti2002_Seedling_Shoot_P_PRO30</t>
  </si>
  <si>
    <t>ALI2008_Agaiti2002_Seedling_Shoot_P_WS</t>
  </si>
  <si>
    <t>ALI2008_Agaiti2002_Seedling_Shoot_P_PRO60</t>
  </si>
  <si>
    <t>ALI2008_EV-1098_Vegetative_Shoot_P_PRO30</t>
  </si>
  <si>
    <t>ALI2008_EV-1098_Vegetative_Shoot_P_WS</t>
  </si>
  <si>
    <t>ALI2008_EV-1098_Vegetative_Shoot_P_PRO60</t>
  </si>
  <si>
    <t>ALI2008_Agaiti2002_Vegetative_Shoot_P_PRO30</t>
  </si>
  <si>
    <t>ALI2008_Agaiti2002_Vegetative_Shoot_P_WS</t>
  </si>
  <si>
    <t>ALI2008_Agaiti2002_Vegetative_Shoot_P_PRO60</t>
  </si>
  <si>
    <t>ALI2008_EV-1098_SeedlingPlusVegetative_Shoot_P_PRO30</t>
  </si>
  <si>
    <t>ALI2008_EV-1098_SeedlingPlusVegetative_Shoot_P_WS</t>
  </si>
  <si>
    <t>ALI2008_EV-1098_SeedlingPlusVegetative_Shoot_P_PRO60</t>
  </si>
  <si>
    <t>ALI2008_Agaiti2002_SeedlingPlusVegetative_Shoot_P_PRO30</t>
  </si>
  <si>
    <t>ALI2008_Agaiti2002_SeedlingPlusVegetative_Shoot_P_WS</t>
  </si>
  <si>
    <t>ALI2008_Agaiti2002_SeedlingPlusVegetative_Shoot_P_PRO60</t>
  </si>
  <si>
    <t>ALI2008_EV-1098_Seedling_Root_P_PRO30</t>
  </si>
  <si>
    <t>ALI2008_EV-1098_Seedling_Root_P_WS</t>
  </si>
  <si>
    <t>ALI2008_EV-1098_Seedling_Root_P_PRO60</t>
  </si>
  <si>
    <t>ALI2008_Agaiti2002_Seedling_Root_P_PRO30</t>
  </si>
  <si>
    <t>ALI2008_Agaiti2002_Seedling_Root_P_WS</t>
  </si>
  <si>
    <t>ALI2008_Agaiti2002_Seedling_Root_P_PRO60</t>
  </si>
  <si>
    <t>ALI2008_EV-1098_Vegetative_Root_P_PRO30</t>
  </si>
  <si>
    <t>ALI2008_EV-1098_Vegetative_Root_P_WS</t>
  </si>
  <si>
    <t>ALI2008_EV-1098_Vegetative_Root_P_PRO60</t>
  </si>
  <si>
    <t>ALI2008_Agaiti2002_Vegetative_Root_P_PRO30</t>
  </si>
  <si>
    <t>ALI2008_Agaiti2002_Vegetative_Root_P_WS</t>
  </si>
  <si>
    <t>ALI2008_Agaiti2002_Vegetative_Root_P_PRO60</t>
  </si>
  <si>
    <t>ALI2008_EV-1098_SeedlingPlusVegetative_Root_P_PRO30</t>
  </si>
  <si>
    <t>ALI2008_EV-1098_SeedlingPlusVegetative_Root_P_WS</t>
  </si>
  <si>
    <t>ALI2008_EV-1098_SeedlingPlusVegetative_Root_P_PRO60</t>
  </si>
  <si>
    <t>ALI2008_Agaiti2002_SeedlingPlusVegetative_Root_P_PRO30</t>
  </si>
  <si>
    <t>ALI2008_Agaiti2002_SeedlingPlusVegetative_Root_P_WS</t>
  </si>
  <si>
    <t>ALI2008_Agaiti2002_SeedlingPlusVegetative_Root_P_PRO60</t>
  </si>
  <si>
    <t>ALI2008_EV-1098_Seedling_Shoot_Mg_PRO30</t>
  </si>
  <si>
    <t>Mg</t>
  </si>
  <si>
    <t>ALI2008_EV-1098_Seedling_Shoot_Mg_WS</t>
  </si>
  <si>
    <t>ALI2008_EV-1098_Seedling_Shoot_Mg_PRO60</t>
  </si>
  <si>
    <t>ALI2008_Agaiti2002_Seedling_Shoot_Mg_PRO30</t>
  </si>
  <si>
    <t>ALI2008_Agaiti2002_Seedling_Shoot_Mg_WS</t>
  </si>
  <si>
    <t>ALI2008_Agaiti2002_Seedling_Shoot_Mg_PRO60</t>
  </si>
  <si>
    <t>ALI2008_EV-1098_Vegetative_Shoot_Mg_PRO30</t>
  </si>
  <si>
    <t>ALI2008_EV-1098_Vegetative_Shoot_Mg_WS</t>
  </si>
  <si>
    <t>ALI2008_EV-1098_Vegetative_Shoot_Mg_PRO60</t>
  </si>
  <si>
    <t>ALI2008_Agaiti2002_Vegetative_Shoot_Mg_PRO30</t>
  </si>
  <si>
    <t>ALI2008_Agaiti2002_Vegetative_Shoot_Mg_WS</t>
  </si>
  <si>
    <t>ALI2008_Agaiti2002_Vegetative_Shoot_Mg_PRO60</t>
  </si>
  <si>
    <t>ALI2008_EV-1098_SeedlingPlusVegetative_Shoot_Mg_PRO30</t>
  </si>
  <si>
    <t>ALI2008_EV-1098_SeedlingPlusVegetative_Shoot_Mg_WS</t>
  </si>
  <si>
    <t>ALI2008_EV-1098_SeedlingPlusVegetative_Shoot_Mg_PRO60</t>
  </si>
  <si>
    <t>ALI2008_Agaiti2002_SeedlingPlusVegetative_Shoot_Mg_PRO30</t>
  </si>
  <si>
    <t>ALI2008_Agaiti2002_SeedlingPlusVegetative_Shoot_Mg_WS</t>
  </si>
  <si>
    <t>ALI2008_Agaiti2002_SeedlingPlusVegetative_Shoot_Mg_PRO60</t>
  </si>
  <si>
    <t>ALI2008_EV-1098_Seedling_Root_Mg_PRO30</t>
  </si>
  <si>
    <t>ALI2008_EV-1098_Seedling_Root_Mg_WS</t>
  </si>
  <si>
    <t>ALI2008_EV-1098_Seedling_Root_Mg_PRO60</t>
  </si>
  <si>
    <t>ALI2008_Agaiti2002_Seedling_Root_Mg_PRO30</t>
  </si>
  <si>
    <t>ALI2008_Agaiti2002_Seedling_Root_Mg_WS</t>
  </si>
  <si>
    <t>ALI2008_Agaiti2002_Seedling_Root_Mg_PRO60</t>
  </si>
  <si>
    <t>ALI2008_EV-1098_Vegetative_Root_Mg_PRO30</t>
  </si>
  <si>
    <t>ALI2008_EV-1098_Vegetative_Root_Mg_WS</t>
  </si>
  <si>
    <t>ALI2008_EV-1098_Vegetative_Root_Mg_PRO60</t>
  </si>
  <si>
    <t>ALI2008_Agaiti2002_Vegetative_Root_Mg_PRO30</t>
  </si>
  <si>
    <t>ALI2008_Agaiti2002_Vegetative_Root_Mg_WS</t>
  </si>
  <si>
    <t>ALI2008_Agaiti2002_Vegetative_Root_Mg_PRO60</t>
  </si>
  <si>
    <t>ALI2008_EV-1098_SeedlingPlusVegetative_Root_Mg_PRO30</t>
  </si>
  <si>
    <t>ALI2008_EV-1098_SeedlingPlusVegetative_Root_Mg_WS</t>
  </si>
  <si>
    <t>ALI2008_EV-1098_SeedlingPlusVegetative_Root_Mg_PRO60</t>
  </si>
  <si>
    <t>ALI2008_Agaiti2002_SeedlingPlusVegetative_Root_Mg_PRO30</t>
  </si>
  <si>
    <t>ALI2008_Agaiti2002_SeedlingPlusVegetative_Root_Mg_WS</t>
  </si>
  <si>
    <t>ALI2008_Agaiti2002_SeedlingPlusVegetative_Root_Mg_PRO60</t>
  </si>
  <si>
    <t>HAYAT2021</t>
  </si>
  <si>
    <t>HAYAT2021_Cd1_Leaf_K_PRO3</t>
  </si>
  <si>
    <t>Cajanus cajan</t>
  </si>
  <si>
    <t>Irrigation/root-zone</t>
  </si>
  <si>
    <t>Toxicity</t>
  </si>
  <si>
    <t>4 mg/mL Cd (as reported)</t>
  </si>
  <si>
    <t>Table 1</t>
  </si>
  <si>
    <t>Reported directly in table</t>
  </si>
  <si>
    <t>High</t>
  </si>
  <si>
    <t>HAYAT2021_Cd1_Leaf_K_CDONLY</t>
  </si>
  <si>
    <t>HAYAT2021_Cd1_Leaf_K_PRO6</t>
  </si>
  <si>
    <t>HAYAT2021_Cd1_Leaf_Ca_PRO3</t>
  </si>
  <si>
    <t>HAYAT2021_Cd1_Leaf_Ca_CDONLY</t>
  </si>
  <si>
    <t>HAYAT2021_Cd1_Leaf_Ca_PRO6</t>
  </si>
  <si>
    <t>HAYAT2021_Cd1_Leaf_Mg_PRO3</t>
  </si>
  <si>
    <t>HAYAT2021_Cd1_Leaf_Mg_CDONLY</t>
  </si>
  <si>
    <t>HAYAT2021_Cd1_Leaf_Mg_PRO6</t>
  </si>
  <si>
    <t>HAYAT2021_Cd1_Root_K_PRO3</t>
  </si>
  <si>
    <t>HAYAT2021_Cd1_Root_K_CDONLY</t>
  </si>
  <si>
    <t>HAYAT2021_Cd1_Root_K_PRO6</t>
  </si>
  <si>
    <t>HAYAT2021_Cd1_Root_Ca_PRO3</t>
  </si>
  <si>
    <t>HAYAT2021_Cd1_Root_Ca_CDONLY</t>
  </si>
  <si>
    <t>HAYAT2021_Cd1_Root_Ca_PRO6</t>
  </si>
  <si>
    <t>HAYAT2021_Cd1_Root_Mg_PRO3</t>
  </si>
  <si>
    <t>HAYAT2021_Cd1_Root_Mg_CDONLY</t>
  </si>
  <si>
    <t>HAYAT2021_Cd1_Root_Mg_PRO6</t>
  </si>
  <si>
    <t>HAYAT2021_Cd2_Leaf_K_PRO3</t>
  </si>
  <si>
    <t>8 mg/mL Cd (as reported)</t>
  </si>
  <si>
    <t>HAYAT2021_Cd2_Leaf_K_CDONLY</t>
  </si>
  <si>
    <t>HAYAT2021_Cd2_Leaf_K_PRO6</t>
  </si>
  <si>
    <t>HAYAT2021_Cd2_Leaf_Ca_PRO3</t>
  </si>
  <si>
    <t>HAYAT2021_Cd2_Leaf_Ca_CDONLY</t>
  </si>
  <si>
    <t>HAYAT2021_Cd2_Leaf_Ca_PRO6</t>
  </si>
  <si>
    <t>HAYAT2021_Cd2_Leaf_Mg_PRO3</t>
  </si>
  <si>
    <t>HAYAT2021_Cd2_Leaf_Mg_CDONLY</t>
  </si>
  <si>
    <t>HAYAT2021_Cd2_Leaf_Mg_PRO6</t>
  </si>
  <si>
    <t>HAYAT2021_Cd2_Root_K_PRO3</t>
  </si>
  <si>
    <t>HAYAT2021_Cd2_Root_K_CDONLY</t>
  </si>
  <si>
    <t>HAYAT2021_Cd2_Root_K_PRO6</t>
  </si>
  <si>
    <t>HAYAT2021_Cd2_Root_Ca_PRO3</t>
  </si>
  <si>
    <t>HAYAT2021_Cd2_Root_Ca_CDONLY</t>
  </si>
  <si>
    <t>HAYAT2021_Cd2_Root_Ca_PRO6</t>
  </si>
  <si>
    <t>HAYAT2021_Cd2_Root_Mg_PRO3</t>
  </si>
  <si>
    <t>HAYAT2021_Cd2_Root_Mg_CDONLY</t>
  </si>
  <si>
    <t>HAYAT2021_Cd2_Root_Mg_PRO6</t>
  </si>
  <si>
    <t>AHMED2020</t>
  </si>
  <si>
    <t>AHMED2020_NACL2_ARG150_N</t>
  </si>
  <si>
    <t>Plectranthus amboinicus</t>
  </si>
  <si>
    <t>Arginine</t>
  </si>
  <si>
    <t>2 g/L NaCl</t>
  </si>
  <si>
    <t>%</t>
  </si>
  <si>
    <t>Table 5</t>
  </si>
  <si>
    <t>AHMED2020_NACL2_N_ARG0</t>
  </si>
  <si>
    <t>AHMED2020_NACL2_ARG150_P</t>
  </si>
  <si>
    <t>AHMED2020_NACL2_P_ARG0</t>
  </si>
  <si>
    <t>AHMED2020_NACL2_ARG150_K</t>
  </si>
  <si>
    <t>AHMED2020_NACL2_K_ARG0</t>
  </si>
  <si>
    <t>AHMED2020_NACL2_ARG300_N</t>
  </si>
  <si>
    <t>AHMED2020_NACL2_ARG300_P</t>
  </si>
  <si>
    <t>AHMED2020_NACL2_ARG300_K</t>
  </si>
  <si>
    <t>AHMED2020_NACL4_ARG150_N</t>
  </si>
  <si>
    <t>4 g/L NaCl</t>
  </si>
  <si>
    <t>AHMED2020_NACL4_N_ARG0</t>
  </si>
  <si>
    <t>AHMED2020_NACL4_ARG150_P</t>
  </si>
  <si>
    <t>AHMED2020_NACL4_P_ARG0</t>
  </si>
  <si>
    <t>AHMED2020_NACL4_ARG150_K</t>
  </si>
  <si>
    <t>AHMED2020_NACL4_K_ARG0</t>
  </si>
  <si>
    <t>AHMED2020_NACL4_ARG300_N</t>
  </si>
  <si>
    <t>AHMED2020_NACL4_ARG300_P</t>
  </si>
  <si>
    <t>AHMED2020_NACL4_ARG300_K</t>
  </si>
  <si>
    <t>GAO2025</t>
  </si>
  <si>
    <t>GAO2025_Leaf_N_PNvsN</t>
  </si>
  <si>
    <t>Apium graveolens</t>
  </si>
  <si>
    <t>American Celery</t>
  </si>
  <si>
    <t>g kg^-1 DW</t>
  </si>
  <si>
    <t>Figures 1–2</t>
  </si>
  <si>
    <t>Moderate (violin/box plot)</t>
  </si>
  <si>
    <t>GAO2025_Leaf_N_N</t>
  </si>
  <si>
    <t>GAO2025_Petiole_N_PNvsN</t>
  </si>
  <si>
    <t>Petiole</t>
  </si>
  <si>
    <t>GAO2025_Petiole_N_N</t>
  </si>
  <si>
    <t>GAO2025_Root_N_PNvsN</t>
  </si>
  <si>
    <t>GAO2025_Root_N_N</t>
  </si>
  <si>
    <t>GAO2025_Leaf_P_PNvsN</t>
  </si>
  <si>
    <t>GAO2025_Leaf_P_N</t>
  </si>
  <si>
    <t>GAO2025_Petiole_P_PNvsN</t>
  </si>
  <si>
    <t>GAO2025_Petiole_P_N</t>
  </si>
  <si>
    <t>GAO2025_Root_P_PNvsN</t>
  </si>
  <si>
    <t>GAO2025_Root_P_N</t>
  </si>
  <si>
    <t>GAO2025_Leaf_K_PNvsN</t>
  </si>
  <si>
    <t>GAO2025_Leaf_K_N</t>
  </si>
  <si>
    <t>GAO2025_Petiole_K_PNvsN</t>
  </si>
  <si>
    <t>GAO2025_Petiole_K_N</t>
  </si>
  <si>
    <t>GAO2025_Root_K_PNvsN</t>
  </si>
  <si>
    <t>GAO2025_Root_K_N</t>
  </si>
  <si>
    <t>GAO2025_Leaf_Ca_PNvsN</t>
  </si>
  <si>
    <t>GAO2025_Leaf_Ca_N</t>
  </si>
  <si>
    <t>GAO2025_Petiole_Ca_PNvsN</t>
  </si>
  <si>
    <t>GAO2025_Petiole_Ca_N</t>
  </si>
  <si>
    <t>GAO2025_Root_Ca_PNvsN</t>
  </si>
  <si>
    <t>GAO2025_Root_Ca_N</t>
  </si>
  <si>
    <t>GAO2025_Leaf_Mg_PNvsN</t>
  </si>
  <si>
    <t>GAO2025_Leaf_Mg_N</t>
  </si>
  <si>
    <t>GAO2025_Petiole_Mg_PNvsN</t>
  </si>
  <si>
    <t>GAO2025_Petiole_Mg_N</t>
  </si>
  <si>
    <t>GAO2025_Root_Mg_PNvsN</t>
  </si>
  <si>
    <t>GAO2025_Root_Mg_N</t>
  </si>
  <si>
    <t>GAO2025_Leaf_Cu_PNvsN</t>
  </si>
  <si>
    <t>Cu</t>
  </si>
  <si>
    <t>mg kg^-1 DW</t>
  </si>
  <si>
    <t>GAO2025_Leaf_Cu_N</t>
  </si>
  <si>
    <t>GAO2025_Petiole_Cu_PNvsN</t>
  </si>
  <si>
    <t>GAO2025_Petiole_Cu_N</t>
  </si>
  <si>
    <t>GAO2025_Root_Cu_PNvsN</t>
  </si>
  <si>
    <t>GAO2025_Root_Cu_N</t>
  </si>
  <si>
    <t>GAO2025_Leaf_Fe_PNvsN</t>
  </si>
  <si>
    <t>Fe</t>
  </si>
  <si>
    <t>GAO2025_Leaf_Fe_N</t>
  </si>
  <si>
    <t>GAO2025_Petiole_Fe_PNvsN</t>
  </si>
  <si>
    <t>GAO2025_Petiole_Fe_N</t>
  </si>
  <si>
    <t>GAO2025_Root_Fe_PNvsN</t>
  </si>
  <si>
    <t>GAO2025_Root_Fe_N</t>
  </si>
  <si>
    <t>GAO2025_Leaf_Mn_PNvsN</t>
  </si>
  <si>
    <t>Mn</t>
  </si>
  <si>
    <t>GAO2025_Leaf_Mn_N</t>
  </si>
  <si>
    <t>GAO2025_Petiole_Mn_PNvsN</t>
  </si>
  <si>
    <t>GAO2025_Petiole_Mn_N</t>
  </si>
  <si>
    <t>GAO2025_Root_Mn_PNvsN</t>
  </si>
  <si>
    <t>GAO2025_Root_Mn_N</t>
  </si>
  <si>
    <t>GAO2025_Leaf_Zn_PNvsN</t>
  </si>
  <si>
    <t>Zn</t>
  </si>
  <si>
    <t>GAO2025_Leaf_Zn_N</t>
  </si>
  <si>
    <t>GAO2025_Petiole_Zn_PNvsN</t>
  </si>
  <si>
    <t>GAO2025_Petiole_Zn_N</t>
  </si>
  <si>
    <t>GAO2025_Root_Zn_PNvsN</t>
  </si>
  <si>
    <t>GAO2025_Root_Zn_N</t>
  </si>
  <si>
    <t>SHAHBAZ2013</t>
  </si>
  <si>
    <t>SHAHBAZ2013_L-888_Shoot_K_PRO10</t>
  </si>
  <si>
    <t>Solanum melongena</t>
  </si>
  <si>
    <t>L-888</t>
  </si>
  <si>
    <t>150 mM NaCl</t>
  </si>
  <si>
    <t>Figure 2</t>
  </si>
  <si>
    <t>Moderate</t>
  </si>
  <si>
    <t>SHAHBAZ2013_L-888_Shoot_K_PRO0</t>
  </si>
  <si>
    <t>SHAHBAZ2013_L-888_Shoot_K_PRO20</t>
  </si>
  <si>
    <t>SHAHBAZ2013_L-888_Root_K_PRO10</t>
  </si>
  <si>
    <t>SHAHBAZ2013_L-888_Root_K_PRO0</t>
  </si>
  <si>
    <t>SHAHBAZ2013_L-888_Root_K_PRO20</t>
  </si>
  <si>
    <t>SHAHBAZ2013_L-888_Shoot_Ca_PRO10</t>
  </si>
  <si>
    <t>SHAHBAZ2013_L-888_Shoot_Ca_PRO0</t>
  </si>
  <si>
    <t>SHAHBAZ2013_L-888_Shoot_Ca_PRO20</t>
  </si>
  <si>
    <t>SHAHBAZ2013_L-888_Root_Ca_PRO10</t>
  </si>
  <si>
    <t>SHAHBAZ2013_L-888_Root_Ca_PRO0</t>
  </si>
  <si>
    <t>SHAHBAZ2013_L-888_Root_Ca_PRO20</t>
  </si>
  <si>
    <t>SHAHBAZ2013_Round_Shoot_K_PRO10</t>
  </si>
  <si>
    <t>Round</t>
  </si>
  <si>
    <t>SHAHBAZ2013_Round_Shoot_K_PRO0</t>
  </si>
  <si>
    <t>SHAHBAZ2013_Round_Shoot_K_PRO20</t>
  </si>
  <si>
    <t>SHAHBAZ2013_Round_Root_K_PRO10</t>
  </si>
  <si>
    <t>SHAHBAZ2013_Round_Root_K_PRO0</t>
  </si>
  <si>
    <t>SHAHBAZ2013_Round_Root_K_PRO20</t>
  </si>
  <si>
    <t>SHAHBAZ2013_Round_Shoot_Ca_PRO10</t>
  </si>
  <si>
    <t>SHAHBAZ2013_Round_Shoot_Ca_PRO0</t>
  </si>
  <si>
    <t>SHAHBAZ2013_Round_Shoot_Ca_PRO20</t>
  </si>
  <si>
    <t>SHAHBAZ2013_Round_Root_Ca_PRO10</t>
  </si>
  <si>
    <t>SHAHBAZ2013_Round_Root_Ca_PRO0</t>
  </si>
  <si>
    <t>SHAHBAZ2013_Round_Root_Ca_PRO20</t>
  </si>
  <si>
    <t>ALFOSEA2020</t>
  </si>
  <si>
    <t>ALFOSEA2020_NO3-_ProPlusGlu</t>
  </si>
  <si>
    <t>Solanum lycopersicum</t>
  </si>
  <si>
    <t>Optima</t>
  </si>
  <si>
    <t>Proline+Glutamate mixture</t>
  </si>
  <si>
    <t>10 mL/L of 5% stock per AA</t>
  </si>
  <si>
    <t>reported formulation</t>
  </si>
  <si>
    <t>50 mM NaCl</t>
  </si>
  <si>
    <t>NO3-</t>
  </si>
  <si>
    <t>mg 100 mg^-1 DW</t>
  </si>
  <si>
    <t>Figure 3</t>
  </si>
  <si>
    <t>ALFOSEA2020_NO3-_SALT</t>
  </si>
  <si>
    <t>ALFOSEA2020_NO3-_MetPlusTrp</t>
  </si>
  <si>
    <t>Methionine+Tryptophan mixture</t>
  </si>
  <si>
    <t>ALFOSEA2020_NO3-_L-Met</t>
  </si>
  <si>
    <t>ALFOSEA2020_NO3-_L-Arg</t>
  </si>
  <si>
    <t>ALFOSEA2020_NO3-_MetPlusArg</t>
  </si>
  <si>
    <t>Methionine+Arginine mixture</t>
  </si>
  <si>
    <t>ALFOSEA2020_NO3-_L-Pro</t>
  </si>
  <si>
    <t>ALFOSEA2020_NO3-_L-Trp</t>
  </si>
  <si>
    <t>Tryptophan</t>
  </si>
  <si>
    <t>ALFOSEA2020_NO3-_Glu</t>
  </si>
  <si>
    <t>Glutamate</t>
  </si>
  <si>
    <t>ALFOSEA2020_K_ProPlusGlu</t>
  </si>
  <si>
    <t>ALFOSEA2020_K_SALT</t>
  </si>
  <si>
    <t>ALFOSEA2020_K_MetPlusTrp</t>
  </si>
  <si>
    <t>ALFOSEA2020_K_L-Met</t>
  </si>
  <si>
    <t>ALFOSEA2020_K_L-Arg</t>
  </si>
  <si>
    <t>ALFOSEA2020_K_MetPlusArg</t>
  </si>
  <si>
    <t>ALFOSEA2020_K_L-Pro</t>
  </si>
  <si>
    <t>ALFOSEA2020_K_L-Trp</t>
  </si>
  <si>
    <t>ALFOSEA2020_K_Glu</t>
  </si>
  <si>
    <t>SHAHID2021</t>
  </si>
  <si>
    <t>SHAHID2021_FH1275_Shoot_K_MET5</t>
  </si>
  <si>
    <t>FH1275</t>
  </si>
  <si>
    <t>80 mM NaCl</t>
  </si>
  <si>
    <t>Figures 2–3 + ANOVA Tables 1–2</t>
  </si>
  <si>
    <t>Mean digitized; variance reconstructed from residual MSE</t>
  </si>
  <si>
    <t>Moderate means / High variance source</t>
  </si>
  <si>
    <t>SHAHID2021_FH1275_Shoot_K_S</t>
  </si>
  <si>
    <t>SHAHID2021_FH1275_Shoot_K_MET10</t>
  </si>
  <si>
    <t>SHAHID2021_FH936_Shoot_K_MET5</t>
  </si>
  <si>
    <t>FH936</t>
  </si>
  <si>
    <t>SHAHID2021_FH936_Shoot_K_S</t>
  </si>
  <si>
    <t>SHAHID2021_FH936_Shoot_K_MET10</t>
  </si>
  <si>
    <t>SHAHID2021_FH1231_Shoot_K_MET5</t>
  </si>
  <si>
    <t>FH1231</t>
  </si>
  <si>
    <t>SHAHID2021_FH1231_Shoot_K_S</t>
  </si>
  <si>
    <t>SHAHID2021_FH1231_Shoot_K_MET10</t>
  </si>
  <si>
    <t>SHAHID2021_FH1227_Shoot_K_MET5</t>
  </si>
  <si>
    <t>FH1227</t>
  </si>
  <si>
    <t>SHAHID2021_FH1227_Shoot_K_S</t>
  </si>
  <si>
    <t>SHAHID2021_FH1227_Shoot_K_MET10</t>
  </si>
  <si>
    <t>SHAHID2021_FH1275_Root_K_MET5</t>
  </si>
  <si>
    <t>SHAHID2021_FH1275_Root_K_S</t>
  </si>
  <si>
    <t>SHAHID2021_FH1275_Root_K_MET10</t>
  </si>
  <si>
    <t>SHAHID2021_FH936_Root_K_MET5</t>
  </si>
  <si>
    <t>SHAHID2021_FH936_Root_K_S</t>
  </si>
  <si>
    <t>SHAHID2021_FH936_Root_K_MET10</t>
  </si>
  <si>
    <t>SHAHID2021_FH1231_Root_K_MET5</t>
  </si>
  <si>
    <t>SHAHID2021_FH1231_Root_K_S</t>
  </si>
  <si>
    <t>SHAHID2021_FH1231_Root_K_MET10</t>
  </si>
  <si>
    <t>SHAHID2021_FH1227_Root_K_MET5</t>
  </si>
  <si>
    <t>SHAHID2021_FH1227_Root_K_S</t>
  </si>
  <si>
    <t>SHAHID2021_FH1227_Root_K_MET10</t>
  </si>
  <si>
    <t>SHAHID2021_FH1275_Shoot_Ca_MET5</t>
  </si>
  <si>
    <t>SHAHID2021_FH1275_Shoot_Ca_S</t>
  </si>
  <si>
    <t>SHAHID2021_FH1275_Shoot_Ca_MET10</t>
  </si>
  <si>
    <t>SHAHID2021_FH936_Shoot_Ca_MET5</t>
  </si>
  <si>
    <t>SHAHID2021_FH936_Shoot_Ca_S</t>
  </si>
  <si>
    <t>SHAHID2021_FH936_Shoot_Ca_MET10</t>
  </si>
  <si>
    <t>SHAHID2021_FH1231_Shoot_Ca_MET5</t>
  </si>
  <si>
    <t>SHAHID2021_FH1231_Shoot_Ca_S</t>
  </si>
  <si>
    <t>SHAHID2021_FH1231_Shoot_Ca_MET10</t>
  </si>
  <si>
    <t>SHAHID2021_FH1227_Shoot_Ca_MET5</t>
  </si>
  <si>
    <t>SHAHID2021_FH1227_Shoot_Ca_S</t>
  </si>
  <si>
    <t>SHAHID2021_FH1227_Shoot_Ca_MET10</t>
  </si>
  <si>
    <t>SHAHID2021_FH1275_Root_Ca_MET5</t>
  </si>
  <si>
    <t>SHAHID2021_FH1275_Root_Ca_S</t>
  </si>
  <si>
    <t>SHAHID2021_FH1275_Root_Ca_MET10</t>
  </si>
  <si>
    <t>SHAHID2021_FH936_Root_Ca_MET5</t>
  </si>
  <si>
    <t>SHAHID2021_FH936_Root_Ca_S</t>
  </si>
  <si>
    <t>SHAHID2021_FH936_Root_Ca_MET10</t>
  </si>
  <si>
    <t>SHAHID2021_FH1231_Root_Ca_MET5</t>
  </si>
  <si>
    <t>SHAHID2021_FH1231_Root_Ca_S</t>
  </si>
  <si>
    <t>SHAHID2021_FH1231_Root_Ca_MET10</t>
  </si>
  <si>
    <t>SHAHID2021_FH1227_Root_Ca_MET5</t>
  </si>
  <si>
    <t>SHAHID2021_FH1227_Root_Ca_S</t>
  </si>
  <si>
    <t>SHAHID2021_FH1227_Root_Ca_MET10</t>
  </si>
  <si>
    <t>SHAHID2021_FH1275_Shoot_Mg_MET5</t>
  </si>
  <si>
    <t>SHAHID2021_FH1275_Shoot_Mg_S</t>
  </si>
  <si>
    <t>SHAHID2021_FH1275_Shoot_Mg_MET10</t>
  </si>
  <si>
    <t>SHAHID2021_FH936_Shoot_Mg_MET5</t>
  </si>
  <si>
    <t>SHAHID2021_FH936_Shoot_Mg_S</t>
  </si>
  <si>
    <t>SHAHID2021_FH936_Shoot_Mg_MET10</t>
  </si>
  <si>
    <t>SHAHID2021_FH1231_Shoot_Mg_MET5</t>
  </si>
  <si>
    <t>SHAHID2021_FH1231_Shoot_Mg_S</t>
  </si>
  <si>
    <t>SHAHID2021_FH1231_Shoot_Mg_MET10</t>
  </si>
  <si>
    <t>SHAHID2021_FH1227_Shoot_Mg_MET5</t>
  </si>
  <si>
    <t>SHAHID2021_FH1227_Shoot_Mg_S</t>
  </si>
  <si>
    <t>SHAHID2021_FH1227_Shoot_Mg_MET10</t>
  </si>
  <si>
    <t>SHAHID2021_FH1275_Root_Mg_MET5</t>
  </si>
  <si>
    <t>SHAHID2021_FH1275_Root_Mg_S</t>
  </si>
  <si>
    <t>SHAHID2021_FH1275_Root_Mg_MET10</t>
  </si>
  <si>
    <t>SHAHID2021_FH936_Root_Mg_MET5</t>
  </si>
  <si>
    <t>SHAHID2021_FH936_Root_Mg_S</t>
  </si>
  <si>
    <t>SHAHID2021_FH936_Root_Mg_MET10</t>
  </si>
  <si>
    <t>SHAHID2021_FH1231_Root_Mg_MET5</t>
  </si>
  <si>
    <t>SHAHID2021_FH1231_Root_Mg_S</t>
  </si>
  <si>
    <t>SHAHID2021_FH1231_Root_Mg_MET10</t>
  </si>
  <si>
    <t>SHAHID2021_FH1227_Root_Mg_MET5</t>
  </si>
  <si>
    <t>SHAHID2021_FH1227_Root_Mg_S</t>
  </si>
  <si>
    <t>SHAHID2021_FH1227_Root_Mg_MET10</t>
  </si>
  <si>
    <t>MAQSOOD2022</t>
  </si>
  <si>
    <t>MAQSOOD2022_Galaxy-13_K</t>
  </si>
  <si>
    <t>Triticum aestivum</t>
  </si>
  <si>
    <t>Galaxy-13</t>
  </si>
  <si>
    <t>35–40% field capacity</t>
  </si>
  <si>
    <t>Table 2</t>
  </si>
  <si>
    <t>MAQSOOD2022_Galaxy-13_K_D</t>
  </si>
  <si>
    <t>MAQSOOD2022_Galaxy-13_Ca</t>
  </si>
  <si>
    <t>MAQSOOD2022_Galaxy-13_Ca_D</t>
  </si>
  <si>
    <t>MAQSOOD2022_Galaxy-13_P</t>
  </si>
  <si>
    <t>MAQSOOD2022_Galaxy-13_P_D</t>
  </si>
  <si>
    <t>MAQSOOD2022_Johar-16_K</t>
  </si>
  <si>
    <t>Johar-16</t>
  </si>
  <si>
    <t>MAQSOOD2022_Johar-16_K_D</t>
  </si>
  <si>
    <t>MAQSOOD2022_Johar-16_Ca</t>
  </si>
  <si>
    <t>MAQSOOD2022_Johar-16_Ca_D</t>
  </si>
  <si>
    <t>MAQSOOD2022_Johar-16_P</t>
  </si>
  <si>
    <t>MAQSOOD2022_Johar-16_P_D</t>
  </si>
  <si>
    <t>WU2017</t>
  </si>
  <si>
    <t>WU2017_25_Shoot_K</t>
  </si>
  <si>
    <t>Onobrychis viciifolia</t>
  </si>
  <si>
    <t>Gansu</t>
  </si>
  <si>
    <t>Root-zone/nutrient solution</t>
  </si>
  <si>
    <t>25 mM NaCl</t>
  </si>
  <si>
    <t>mmol g^-1 DW</t>
  </si>
  <si>
    <t>Figure 3b</t>
  </si>
  <si>
    <t>WU2017_25_Shoot_K_SALT</t>
  </si>
  <si>
    <t>WU2017_25_Root_K</t>
  </si>
  <si>
    <t>WU2017_25_Root_K_SALT</t>
  </si>
  <si>
    <t>WU2017_100_Shoot_K</t>
  </si>
  <si>
    <t>WU2017_100_Shoot_K_SALT</t>
  </si>
  <si>
    <t>WU2017_100_Root_K</t>
  </si>
  <si>
    <t>WU2017_100_Root_K_SALT</t>
  </si>
  <si>
    <t>SUN2022</t>
  </si>
  <si>
    <t>SUN2022_NO3-N</t>
  </si>
  <si>
    <t>Prunus persica</t>
  </si>
  <si>
    <t>Lu Xing</t>
  </si>
  <si>
    <t>Leucine</t>
  </si>
  <si>
    <t>Soil/root-zone</t>
  </si>
  <si>
    <t>5 mM CuCl2·2H2O</t>
  </si>
  <si>
    <t>NO3-N</t>
  </si>
  <si>
    <t>mg g^-1</t>
  </si>
  <si>
    <t>Figure 6d-e</t>
  </si>
  <si>
    <t>High–moderate</t>
  </si>
  <si>
    <t>SUN2022_NO3-N_CU</t>
  </si>
  <si>
    <t>SUN2022_NH4-N</t>
  </si>
  <si>
    <t>NH4-N</t>
  </si>
  <si>
    <t>SUN2022_NH4-N_CU</t>
  </si>
  <si>
    <t>FARDUS2021</t>
  </si>
  <si>
    <t>FARDUS2021_Leaf_K</t>
  </si>
  <si>
    <t>Lens culinaris</t>
  </si>
  <si>
    <t>BARI Masur-7</t>
  </si>
  <si>
    <t>Pretreatment/root-zone</t>
  </si>
  <si>
    <t>110 mM NaCl</t>
  </si>
  <si>
    <t>µmol g^-1 DW</t>
  </si>
  <si>
    <t>FARDUS2021_Leaf_K_S</t>
  </si>
  <si>
    <t>FARDUS2021_Shoot_K</t>
  </si>
  <si>
    <t>FARDUS2021_Shoot_K_S</t>
  </si>
  <si>
    <t>FARDUS2021_Root_K</t>
  </si>
  <si>
    <t>FARDUS2021_Root_K_S</t>
  </si>
  <si>
    <t>GHAFOOR2026</t>
  </si>
  <si>
    <t>GHAFOOR2026_Root_K_PHE10</t>
  </si>
  <si>
    <t>Hyb-357</t>
  </si>
  <si>
    <t>Figure 4</t>
  </si>
  <si>
    <t>GHAFOOR2026_Root_K_DWS</t>
  </si>
  <si>
    <t>GHAFOOR2026_Root_K_PHE20</t>
  </si>
  <si>
    <t>GHAFOOR2026_Root_K_PHE30</t>
  </si>
  <si>
    <t>GHAFOOR2026_Root_K_PHE40</t>
  </si>
  <si>
    <t>GHAFOOR2026_Shoot_K_PHE10</t>
  </si>
  <si>
    <t>GHAFOOR2026_Shoot_K_DWS</t>
  </si>
  <si>
    <t>GHAFOOR2026_Shoot_K_PHE20</t>
  </si>
  <si>
    <t>GHAFOOR2026_Shoot_K_PHE30</t>
  </si>
  <si>
    <t>GHAFOOR2026_Shoot_K_PHE40</t>
  </si>
  <si>
    <t>GHAFOOR2026_Root_Ca_PHE10</t>
  </si>
  <si>
    <t>GHAFOOR2026_Root_Ca_DWS</t>
  </si>
  <si>
    <t>GHAFOOR2026_Root_Ca_PHE20</t>
  </si>
  <si>
    <t>GHAFOOR2026_Root_Ca_PHE30</t>
  </si>
  <si>
    <t>GHAFOOR2026_Root_Ca_PHE40</t>
  </si>
  <si>
    <t>GHAFOOR2026_Shoot_Ca_PHE10</t>
  </si>
  <si>
    <t>GHAFOOR2026_Shoot_Ca_DWS</t>
  </si>
  <si>
    <t>GHAFOOR2026_Shoot_Ca_PHE20</t>
  </si>
  <si>
    <t>GHAFOOR2026_Shoot_Ca_PHE30</t>
  </si>
  <si>
    <t>GHAFOOR2026_Shoot_Ca_PHE40</t>
  </si>
  <si>
    <t>GHAFOOR2026_Root_Nitrate_PHE10</t>
  </si>
  <si>
    <t>Nitrate</t>
  </si>
  <si>
    <t>GHAFOOR2026_Root_Nitrate_DWS</t>
  </si>
  <si>
    <t>GHAFOOR2026_Root_Nitrate_PHE20</t>
  </si>
  <si>
    <t>GHAFOOR2026_Root_Nitrate_PHE30</t>
  </si>
  <si>
    <t>GHAFOOR2026_Root_Nitrate_PHE40</t>
  </si>
  <si>
    <t>GHAFOOR2026_Shoot_Nitrate_PHE10</t>
  </si>
  <si>
    <t>GHAFOOR2026_Shoot_Nitrate_DWS</t>
  </si>
  <si>
    <t>GHAFOOR2026_Shoot_Nitrate_PHE20</t>
  </si>
  <si>
    <t>GHAFOOR2026_Shoot_Nitrate_PHE30</t>
  </si>
  <si>
    <t>GHAFOOR2026_Shoot_Nitrate_PHE40</t>
  </si>
  <si>
    <t>TURFAN2026</t>
  </si>
  <si>
    <t>TURFAN2026_Leaf_Mg_ASPARAGINE</t>
  </si>
  <si>
    <t>Efsun F1</t>
  </si>
  <si>
    <t>Asparagine</t>
  </si>
  <si>
    <t>250 mM NaCl</t>
  </si>
  <si>
    <t>Figure 1</t>
  </si>
  <si>
    <t>Digitized from figure; calibrated to Table 1 treatment means</t>
  </si>
  <si>
    <t>TURFAN2026_Leaf_Mg_NACL</t>
  </si>
  <si>
    <t>TURFAN2026_Leaf_Mg_PHENYLALANINE</t>
  </si>
  <si>
    <t>TURFAN2026_Leaf_Mg_TRYPTOPHAN</t>
  </si>
  <si>
    <t>TURFAN2026_Petiole_Mg_ASPARAGINE</t>
  </si>
  <si>
    <t>TURFAN2026_Petiole_Mg_NACL</t>
  </si>
  <si>
    <t>TURFAN2026_Petiole_Mg_PHENYLALANINE</t>
  </si>
  <si>
    <t>TURFAN2026_Petiole_Mg_TRYPTOPHAN</t>
  </si>
  <si>
    <t>TURFAN2026_Root_Mg_ASPARAGINE</t>
  </si>
  <si>
    <t>TURFAN2026_Root_Mg_NACL</t>
  </si>
  <si>
    <t>TURFAN2026_Root_Mg_PHENYLALANINE</t>
  </si>
  <si>
    <t>TURFAN2026_Root_Mg_TRYPTOPHAN</t>
  </si>
  <si>
    <t>TURFAN2026_Leaf_Ca_ASPARAGINE</t>
  </si>
  <si>
    <t>TURFAN2026_Leaf_Ca_NACL</t>
  </si>
  <si>
    <t>TURFAN2026_Leaf_Ca_PHENYLALANINE</t>
  </si>
  <si>
    <t>TURFAN2026_Leaf_Ca_TRYPTOPHAN</t>
  </si>
  <si>
    <t>TURFAN2026_Petiole_Ca_ASPARAGINE</t>
  </si>
  <si>
    <t>TURFAN2026_Petiole_Ca_NACL</t>
  </si>
  <si>
    <t>TURFAN2026_Petiole_Ca_PHENYLALANINE</t>
  </si>
  <si>
    <t>TURFAN2026_Petiole_Ca_TRYPTOPHAN</t>
  </si>
  <si>
    <t>TURFAN2026_Root_Ca_ASPARAGINE</t>
  </si>
  <si>
    <t>TURFAN2026_Root_Ca_NACL</t>
  </si>
  <si>
    <t>TURFAN2026_Root_Ca_PHENYLALANINE</t>
  </si>
  <si>
    <t>TURFAN2026_Root_Ca_TRYPTOPHAN</t>
  </si>
  <si>
    <t>TURFAN2026_Leaf_K_ASPARAGINE</t>
  </si>
  <si>
    <t>TURFAN2026_Leaf_K_NACL</t>
  </si>
  <si>
    <t>TURFAN2026_Leaf_K_PHENYLALANINE</t>
  </si>
  <si>
    <t>TURFAN2026_Leaf_K_TRYPTOPHAN</t>
  </si>
  <si>
    <t>TURFAN2026_Petiole_K_ASPARAGINE</t>
  </si>
  <si>
    <t>TURFAN2026_Petiole_K_NACL</t>
  </si>
  <si>
    <t>TURFAN2026_Petiole_K_PHENYLALANINE</t>
  </si>
  <si>
    <t>TURFAN2026_Petiole_K_TRYPTOPHAN</t>
  </si>
  <si>
    <t>TURFAN2026_Root_K_ASPARAGINE</t>
  </si>
  <si>
    <t>TURFAN2026_Root_K_NACL</t>
  </si>
  <si>
    <t>TURFAN2026_Root_K_PHENYLALANINE</t>
  </si>
  <si>
    <t>TURFAN2026_Root_K_TRYPTOPHAN</t>
  </si>
  <si>
    <t>TURFAN2026_Leaf_P_ASPARAGINE</t>
  </si>
  <si>
    <t>TURFAN2026_Leaf_P_NACL</t>
  </si>
  <si>
    <t>TURFAN2026_Leaf_P_PHENYLALANINE</t>
  </si>
  <si>
    <t>TURFAN2026_Leaf_P_TRYPTOPHAN</t>
  </si>
  <si>
    <t>TURFAN2026_Petiole_P_ASPARAGINE</t>
  </si>
  <si>
    <t>TURFAN2026_Petiole_P_NACL</t>
  </si>
  <si>
    <t>TURFAN2026_Petiole_P_PHENYLALANINE</t>
  </si>
  <si>
    <t>TURFAN2026_Petiole_P_TRYPTOPHAN</t>
  </si>
  <si>
    <t>TURFAN2026_Root_P_ASPARAGINE</t>
  </si>
  <si>
    <t>TURFAN2026_Root_P_NACL</t>
  </si>
  <si>
    <t>TURFAN2026_Root_P_PHENYLALANINE</t>
  </si>
  <si>
    <t>TURFAN2026_Root_P_TRYPTOPHAN</t>
  </si>
  <si>
    <t>TURFAN2026_Leaf_S_ASPARAGINE</t>
  </si>
  <si>
    <t>TURFAN2026_Leaf_S_NACL</t>
  </si>
  <si>
    <t>TURFAN2026_Leaf_S_PHENYLALANINE</t>
  </si>
  <si>
    <t>TURFAN2026_Leaf_S_TRYPTOPHAN</t>
  </si>
  <si>
    <t>TURFAN2026_Petiole_S_ASPARAGINE</t>
  </si>
  <si>
    <t>TURFAN2026_Petiole_S_NACL</t>
  </si>
  <si>
    <t>TURFAN2026_Petiole_S_PHENYLALANINE</t>
  </si>
  <si>
    <t>TURFAN2026_Petiole_S_TRYPTOPHAN</t>
  </si>
  <si>
    <t>TURFAN2026_Root_S_ASPARAGINE</t>
  </si>
  <si>
    <t>TURFAN2026_Root_S_NACL</t>
  </si>
  <si>
    <t>TURFAN2026_Root_S_PHENYLALANINE</t>
  </si>
  <si>
    <t>TURFAN2026_Root_S_TRYPTOPHAN</t>
  </si>
  <si>
    <t>SELOVIC2023</t>
  </si>
  <si>
    <t>SELOVIC2023_Root_Fe_PRO10</t>
  </si>
  <si>
    <t>Lactuca sativa</t>
  </si>
  <si>
    <t>Seed priming</t>
  </si>
  <si>
    <t>0.25 mM Cd(NO3)2</t>
  </si>
  <si>
    <t>mg/kg DW</t>
  </si>
  <si>
    <t>Table 3</t>
  </si>
  <si>
    <t>SELOVIC2023_Root_Fe_HYDRO_CD</t>
  </si>
  <si>
    <t>SELOVIC2023_Root_Fe_PRO20</t>
  </si>
  <si>
    <t>SELOVIC2023_Shoot_Fe_PRO10</t>
  </si>
  <si>
    <t>SELOVIC2023_Shoot_Fe_HYDRO_CD</t>
  </si>
  <si>
    <t>SELOVIC2023_Shoot_Fe_PRO20</t>
  </si>
  <si>
    <t>SELOVIC2023_Root_Zn_PRO10</t>
  </si>
  <si>
    <t>SELOVIC2023_Root_Zn_HYDRO_CD</t>
  </si>
  <si>
    <t>SELOVIC2023_Root_Zn_PRO20</t>
  </si>
  <si>
    <t>SELOVIC2023_Shoot_Zn_PRO10</t>
  </si>
  <si>
    <t>SELOVIC2023_Shoot_Zn_HYDRO_CD</t>
  </si>
  <si>
    <t>SELOVIC2023_Shoot_Zn_PRO20</t>
  </si>
  <si>
    <t>NOREEN2018</t>
  </si>
  <si>
    <t>NOREEN2018_FSD-83_Shoot_Ca</t>
  </si>
  <si>
    <t>FSD-83</t>
  </si>
  <si>
    <t>400 µM CuSO4·5H2O</t>
  </si>
  <si>
    <t>Tables 3–4</t>
  </si>
  <si>
    <t>Means reported; variance reconstructed from L×P×C LSD</t>
  </si>
  <si>
    <t>High means / Reconstructed variance</t>
  </si>
  <si>
    <t>NOREEN2018_FSD-83_Shoot_Ca_CU400_PRO0</t>
  </si>
  <si>
    <t>NOREEN2018_MH-97_Shoot_Ca</t>
  </si>
  <si>
    <t>MH-97</t>
  </si>
  <si>
    <t>NOREEN2018_MH-97_Shoot_Ca_CU400_PRO0</t>
  </si>
  <si>
    <t>NOREEN2018_Punjab-96_Shoot_Ca</t>
  </si>
  <si>
    <t>Punjab-96</t>
  </si>
  <si>
    <t>NOREEN2018_Punjab-96_Shoot_Ca_CU400_PRO0</t>
  </si>
  <si>
    <t>NOREEN2018_FSD-83_Shoot_Mg</t>
  </si>
  <si>
    <t>NOREEN2018_FSD-83_Shoot_Mg_CU400_PRO0</t>
  </si>
  <si>
    <t>NOREEN2018_MH-97_Shoot_Mg</t>
  </si>
  <si>
    <t>NOREEN2018_MH-97_Shoot_Mg_CU400_PRO0</t>
  </si>
  <si>
    <t>NOREEN2018_Punjab-96_Shoot_Mg</t>
  </si>
  <si>
    <t>NOREEN2018_Punjab-96_Shoot_Mg_CU400_PRO0</t>
  </si>
  <si>
    <t>NOREEN2018_FSD-83_Shoot_K</t>
  </si>
  <si>
    <t>NOREEN2018_FSD-83_Shoot_K_CU400_PRO0</t>
  </si>
  <si>
    <t>NOREEN2018_MH-97_Shoot_K</t>
  </si>
  <si>
    <t>NOREEN2018_MH-97_Shoot_K_CU400_PRO0</t>
  </si>
  <si>
    <t>NOREEN2018_Punjab-96_Shoot_K</t>
  </si>
  <si>
    <t>NOREEN2018_Punjab-96_Shoot_K_CU400_PRO0</t>
  </si>
  <si>
    <t>NOREEN2018_FSD-83_Root_Ca</t>
  </si>
  <si>
    <t>NOREEN2018_FSD-83_Root_Ca_CU400_PRO0</t>
  </si>
  <si>
    <t>NOREEN2018_MH-97_Root_Ca</t>
  </si>
  <si>
    <t>NOREEN2018_MH-97_Root_Ca_CU400_PRO0</t>
  </si>
  <si>
    <t>NOREEN2018_Punjab-96_Root_Ca</t>
  </si>
  <si>
    <t>NOREEN2018_Punjab-96_Root_Ca_CU400_PRO0</t>
  </si>
  <si>
    <t>NOREEN2018_FSD-83_Root_Mg</t>
  </si>
  <si>
    <t>NOREEN2018_FSD-83_Root_Mg_CU400_PRO0</t>
  </si>
  <si>
    <t>NOREEN2018_MH-97_Root_Mg</t>
  </si>
  <si>
    <t>NOREEN2018_MH-97_Root_Mg_CU400_PRO0</t>
  </si>
  <si>
    <t>NOREEN2018_Punjab-96_Root_Mg</t>
  </si>
  <si>
    <t>NOREEN2018_Punjab-96_Root_Mg_CU400_PRO0</t>
  </si>
  <si>
    <t>NOREEN2018_FSD-83_Root_K</t>
  </si>
  <si>
    <t>NOREEN2018_FSD-83_Root_K_CU400_PRO0</t>
  </si>
  <si>
    <t>NOREEN2018_MH-97_Root_K</t>
  </si>
  <si>
    <t>NOREEN2018_MH-97_Root_K_CU400_PRO0</t>
  </si>
  <si>
    <t>NOREEN2018_Punjab-96_Root_K</t>
  </si>
  <si>
    <t>NOREEN2018_Punjab-96_Root_K_CU400_PRO0</t>
  </si>
  <si>
    <t>BADRAN2014</t>
  </si>
  <si>
    <t>BADRAN2014_NACL75_Ca</t>
  </si>
  <si>
    <t>Misr1</t>
  </si>
  <si>
    <t>Glycine</t>
  </si>
  <si>
    <t>Nutrient solution/root-zone</t>
  </si>
  <si>
    <t>75 mM NaCl</t>
  </si>
  <si>
    <t>mg g^-1 FW</t>
  </si>
  <si>
    <t>BADRAN2014_NACL75_Ca_GLY0</t>
  </si>
  <si>
    <t>BADRAN2014_NACL75_K</t>
  </si>
  <si>
    <t>BADRAN2014_NACL75_K_GLY0</t>
  </si>
  <si>
    <t>BADRAN2014_NACL150_Ca</t>
  </si>
  <si>
    <t>BADRAN2014_NACL150_Ca_GLY0</t>
  </si>
  <si>
    <t>BADRAN2014_NACL150_K</t>
  </si>
  <si>
    <t>BADRAN2014_NACL150_K_GLY0</t>
  </si>
  <si>
    <t>BADRAN2014_NACL225_Ca</t>
  </si>
  <si>
    <t>225 mM NaCl</t>
  </si>
  <si>
    <t>BADRAN2014_NACL225_Ca_GLY0</t>
  </si>
  <si>
    <t>BADRAN2014_NACL225_K</t>
  </si>
  <si>
    <t>BADRAN2014_NACL225_K_GLY0</t>
  </si>
  <si>
    <t>HUANG2009</t>
  </si>
  <si>
    <t>HUANG2009_LEAF_K</t>
  </si>
  <si>
    <t>Cucumis sativus</t>
  </si>
  <si>
    <t>Jinchun No. 2</t>
  </si>
  <si>
    <t>Figure 4B</t>
  </si>
  <si>
    <t>HUANG2009_LEAF_K_NACL</t>
  </si>
  <si>
    <t>BUSHRA2023</t>
  </si>
  <si>
    <t>BUSHRA2023_Root_P_T2</t>
  </si>
  <si>
    <t>Punjab 2011</t>
  </si>
  <si>
    <t>Soil</t>
  </si>
  <si>
    <t>30% water holding capacity</t>
  </si>
  <si>
    <t>Figures 4–5</t>
  </si>
  <si>
    <t>BUSHRA2023_Root_P_T1_DROUGHT</t>
  </si>
  <si>
    <t>BUSHRA2023_Root_P_T3</t>
  </si>
  <si>
    <t>BUSHRA2023_Root_P_T4</t>
  </si>
  <si>
    <t>BUSHRA2023_Root_P_T5</t>
  </si>
  <si>
    <t>BUSHRA2023_Shoot_P_T2</t>
  </si>
  <si>
    <t>BUSHRA2023_Shoot_P_T1_DROUGHT</t>
  </si>
  <si>
    <t>BUSHRA2023_Shoot_P_T3</t>
  </si>
  <si>
    <t>BUSHRA2023_Shoot_P_T4</t>
  </si>
  <si>
    <t>BUSHRA2023_Shoot_P_T5</t>
  </si>
  <si>
    <t>BUSHRA2023_Shoot_N_T2</t>
  </si>
  <si>
    <t>BUSHRA2023_Shoot_N_T1_DROUGHT</t>
  </si>
  <si>
    <t>BUSHRA2023_Shoot_N_T3</t>
  </si>
  <si>
    <t>BUSHRA2023_Shoot_N_T4</t>
  </si>
  <si>
    <t>BUSHRA2023_Shoot_N_T5</t>
  </si>
  <si>
    <t>BUSHRA2023_Root_N_T2</t>
  </si>
  <si>
    <t>BUSHRA2023_Root_N_T1_DROUGHT</t>
  </si>
  <si>
    <t>BUSHRA2023_Root_N_T3</t>
  </si>
  <si>
    <t>BUSHRA2023_Root_N_T4</t>
  </si>
  <si>
    <t>BUSHRA2023_Root_N_T5</t>
  </si>
  <si>
    <t>ABDELKADER2023</t>
  </si>
  <si>
    <t>ABDELKADER2023_K_HISTIDINE</t>
  </si>
  <si>
    <t>Dachny</t>
  </si>
  <si>
    <t>Histidine</t>
  </si>
  <si>
    <t>g/L</t>
  </si>
  <si>
    <t>µg/g FW</t>
  </si>
  <si>
    <t>Figure 2C</t>
  </si>
  <si>
    <t>Text + digitized from figure</t>
  </si>
  <si>
    <t>High mean / Moderate SD</t>
  </si>
  <si>
    <t>ABDELKADER2023_K_SALT</t>
  </si>
  <si>
    <t>ABDELKADER2023_K_LYSINE</t>
  </si>
  <si>
    <t>Lysine</t>
  </si>
  <si>
    <t>ABDELKADER2023_K_PHENYLALANINE</t>
  </si>
  <si>
    <t>ABDELKADER2023_K_THREONINE</t>
  </si>
  <si>
    <t>Threonine</t>
  </si>
  <si>
    <t>ZOUARI2016</t>
  </si>
  <si>
    <t>ZOUARI2016_Cd1_Leaf_K_PRO10</t>
  </si>
  <si>
    <t>Olea europaea</t>
  </si>
  <si>
    <t>Chemlali</t>
  </si>
  <si>
    <t>10 mg CdCl2 kg^-1 soil</t>
  </si>
  <si>
    <t>ZOUARI2016_Cd1_Leaf_K_CDONLY</t>
  </si>
  <si>
    <t>ZOUARI2016_Cd1_Leaf_K_PRO20</t>
  </si>
  <si>
    <t>ZOUARI2016_Cd1_Leaf_Ca_PRO10</t>
  </si>
  <si>
    <t>ZOUARI2016_Cd1_Leaf_Ca_CDONLY</t>
  </si>
  <si>
    <t>ZOUARI2016_Cd1_Leaf_Ca_PRO20</t>
  </si>
  <si>
    <t>ZOUARI2016_Cd1_Leaf_Mg_PRO10</t>
  </si>
  <si>
    <t>ZOUARI2016_Cd1_Leaf_Mg_CDONLY</t>
  </si>
  <si>
    <t>ZOUARI2016_Cd1_Leaf_Mg_PRO20</t>
  </si>
  <si>
    <t>ZOUARI2016_Cd1_Root_K_PRO10</t>
  </si>
  <si>
    <t>ZOUARI2016_Cd1_Root_K_CDONLY</t>
  </si>
  <si>
    <t>ZOUARI2016_Cd1_Root_K_PRO20</t>
  </si>
  <si>
    <t>ZOUARI2016_Cd1_Root_Ca_PRO10</t>
  </si>
  <si>
    <t>ZOUARI2016_Cd1_Root_Ca_CDONLY</t>
  </si>
  <si>
    <t>ZOUARI2016_Cd1_Root_Ca_PRO20</t>
  </si>
  <si>
    <t>ZOUARI2016_Cd1_Root_Mg_PRO10</t>
  </si>
  <si>
    <t>ZOUARI2016_Cd1_Root_Mg_CDONLY</t>
  </si>
  <si>
    <t>ZOUARI2016_Cd1_Root_Mg_PRO20</t>
  </si>
  <si>
    <t>ZOUARI2016_Cd2_Leaf_K_PRO10</t>
  </si>
  <si>
    <t>30 mg CdCl2 kg^-1 soil</t>
  </si>
  <si>
    <t>ZOUARI2016_Cd2_Leaf_K_CDONLY</t>
  </si>
  <si>
    <t>ZOUARI2016_Cd2_Leaf_K_PRO20</t>
  </si>
  <si>
    <t>ZOUARI2016_Cd2_Leaf_Ca_PRO10</t>
  </si>
  <si>
    <t>ZOUARI2016_Cd2_Leaf_Ca_CDONLY</t>
  </si>
  <si>
    <t>ZOUARI2016_Cd2_Leaf_Ca_PRO20</t>
  </si>
  <si>
    <t>ZOUARI2016_Cd2_Leaf_Mg_PRO10</t>
  </si>
  <si>
    <t>ZOUARI2016_Cd2_Leaf_Mg_CDONLY</t>
  </si>
  <si>
    <t>ZOUARI2016_Cd2_Leaf_Mg_PRO20</t>
  </si>
  <si>
    <t>ZOUARI2016_Cd2_Root_K_PRO10</t>
  </si>
  <si>
    <t>ZOUARI2016_Cd2_Root_K_CDONLY</t>
  </si>
  <si>
    <t>ZOUARI2016_Cd2_Root_K_PRO20</t>
  </si>
  <si>
    <t>ZOUARI2016_Cd2_Root_Ca_PRO10</t>
  </si>
  <si>
    <t>ZOUARI2016_Cd2_Root_Ca_CDONLY</t>
  </si>
  <si>
    <t>ZOUARI2016_Cd2_Root_Ca_PRO20</t>
  </si>
  <si>
    <t>ZOUARI2016_Cd2_Root_Mg_PRO10</t>
  </si>
  <si>
    <t>ZOUARI2016_Cd2_Root_Mg_CDONLY</t>
  </si>
  <si>
    <t>ZOUARI2016_Cd2_Root_Mg_PRO20</t>
  </si>
  <si>
    <t>ALSHAHARNI2026</t>
  </si>
  <si>
    <t>ALSHAHARNI2026_N_GLU0.5</t>
  </si>
  <si>
    <t>Vigna radiata</t>
  </si>
  <si>
    <t>Plant sample (organ not explicitly specified)</t>
  </si>
  <si>
    <t>Figure 2C-D + Results text</t>
  </si>
  <si>
    <t>Digitized / percentage-constrained</t>
  </si>
  <si>
    <t>ALSHAHARNI2026_N_NACL</t>
  </si>
  <si>
    <t>ALSHAHARNI2026_N_GLU1</t>
  </si>
  <si>
    <t>ALSHAHARNI2026_N_GLU2</t>
  </si>
  <si>
    <t>ALSHAHARNI2026_N_GLU5</t>
  </si>
  <si>
    <t>ALSHAHARNI2026_K_GLU0.5</t>
  </si>
  <si>
    <t>ALSHAHARNI2026_K_NACL</t>
  </si>
  <si>
    <t>ALSHAHARNI2026_K_GLU1</t>
  </si>
  <si>
    <t>ALSHAHARNI2026_K_GLU2</t>
  </si>
  <si>
    <t>ALSHAHARNI2026_K_GLU5</t>
  </si>
  <si>
    <t>ELHAKEM2026</t>
  </si>
  <si>
    <t>ELHAKEM2026_WFC75_K</t>
  </si>
  <si>
    <t>Mentha × piperita</t>
  </si>
  <si>
    <t>Not specified</t>
  </si>
  <si>
    <t>75% WFC</t>
  </si>
  <si>
    <t>Figure 4B,D,E</t>
  </si>
  <si>
    <t>Vector mean extraction + digitized SE</t>
  </si>
  <si>
    <t>ELHAKEM2026_WFC75_K_NOPRO</t>
  </si>
  <si>
    <t>ELHAKEM2026_WFC75_Ca</t>
  </si>
  <si>
    <t>ELHAKEM2026_WFC75_Ca_NOPRO</t>
  </si>
  <si>
    <t>ELHAKEM2026_WFC75_Mg</t>
  </si>
  <si>
    <t>ELHAKEM2026_WFC75_Mg_NOPRO</t>
  </si>
  <si>
    <t>ELHAKEM2026_WFC50_K</t>
  </si>
  <si>
    <t>50% WFC</t>
  </si>
  <si>
    <t>ELHAKEM2026_WFC50_K_NOPRO</t>
  </si>
  <si>
    <t>ELHAKEM2026_WFC50_Ca</t>
  </si>
  <si>
    <t>ELHAKEM2026_WFC50_Ca_NOPRO</t>
  </si>
  <si>
    <t>ELHAKEM2026_WFC50_Mg</t>
  </si>
  <si>
    <t>ELHAKEM2026_WFC50_Mg_NOPRO</t>
  </si>
  <si>
    <t>ELHAKEM2026_WFC25_K</t>
  </si>
  <si>
    <t>25% WFC</t>
  </si>
  <si>
    <t>ELHAKEM2026_WFC25_K_NOPRO</t>
  </si>
  <si>
    <t>ELHAKEM2026_WFC25_Ca</t>
  </si>
  <si>
    <t>ELHAKEM2026_WFC25_Ca_NOPRO</t>
  </si>
  <si>
    <t>ELHAKEM2026_WFC25_Mg</t>
  </si>
  <si>
    <t>ELHAKEM2026_WFC25_Mg_NOPRO</t>
  </si>
  <si>
    <t>MAHBOOB2016</t>
  </si>
  <si>
    <t>MAHBOOB2016_Khirman_NACL60_PRO50</t>
  </si>
  <si>
    <t>Khirman</t>
  </si>
  <si>
    <t>60 mM NaCl</t>
  </si>
  <si>
    <t>MAHBOOB2016_Khirman_NACL60_K_PRO0</t>
  </si>
  <si>
    <t>MAHBOOB2016_Khirman_NACL60_PRO100</t>
  </si>
  <si>
    <t>MAHBOOB2016_Khirman_NACL120_PRO50</t>
  </si>
  <si>
    <t>120 mM NaCl</t>
  </si>
  <si>
    <t>MAHBOOB2016_Khirman_NACL120_K_PRO0</t>
  </si>
  <si>
    <t>MAHBOOB2016_Khirman_NACL120_PRO100</t>
  </si>
  <si>
    <t>MAHBOOB2016_ESW-9525_NACL60_PRO50</t>
  </si>
  <si>
    <t>ESW-9525</t>
  </si>
  <si>
    <t>MAHBOOB2016_ESW-9525_NACL60_K_PRO0</t>
  </si>
  <si>
    <t>MAHBOOB2016_ESW-9525_NACL60_PRO100</t>
  </si>
  <si>
    <t>MAHBOOB2016_ESW-9525_NACL120_PRO50</t>
  </si>
  <si>
    <t>MAHBOOB2016_ESW-9525_NACL120_K_PRO0</t>
  </si>
  <si>
    <t>MAHBOOB2016_ESW-9525_NACL120_PRO100</t>
  </si>
  <si>
    <t>ZOUARI2016_DATEPALM</t>
  </si>
  <si>
    <t>ZOUARI2016_DATEPALM_SP1_Leaf_K</t>
  </si>
  <si>
    <t>Phoenix dactylifera</t>
  </si>
  <si>
    <t>Deglet Nour</t>
  </si>
  <si>
    <t>ZOUARI2016_DATEPALM_SP1_Leaf_K_CDONLY</t>
  </si>
  <si>
    <t>ZOUARI2016_DATEPALM_SP1_Leaf_Ca</t>
  </si>
  <si>
    <t>ZOUARI2016_DATEPALM_SP1_Leaf_Ca_CDONLY</t>
  </si>
  <si>
    <t>ZOUARI2016_DATEPALM_SP1_Leaf_Mg</t>
  </si>
  <si>
    <t>ZOUARI2016_DATEPALM_SP1_Leaf_Mg_CDONLY</t>
  </si>
  <si>
    <t>ZOUARI2016_DATEPALM_SP1_Root_K</t>
  </si>
  <si>
    <t>ZOUARI2016_DATEPALM_SP1_Root_K_CDONLY</t>
  </si>
  <si>
    <t>ZOUARI2016_DATEPALM_SP1_Root_Ca</t>
  </si>
  <si>
    <t>ZOUARI2016_DATEPALM_SP1_Root_Ca_CDONLY</t>
  </si>
  <si>
    <t>ZOUARI2016_DATEPALM_SP1_Root_Mg</t>
  </si>
  <si>
    <t>ZOUARI2016_DATEPALM_SP1_Root_Mg_CDONLY</t>
  </si>
  <si>
    <t>ZOUARI2016_DATEPALM_SP2_Leaf_K</t>
  </si>
  <si>
    <t>ZOUARI2016_DATEPALM_SP2_Leaf_K_CDONLY</t>
  </si>
  <si>
    <t>ZOUARI2016_DATEPALM_SP2_Leaf_Ca</t>
  </si>
  <si>
    <t>ZOUARI2016_DATEPALM_SP2_Leaf_Ca_CDONLY</t>
  </si>
  <si>
    <t>ZOUARI2016_DATEPALM_SP2_Leaf_Mg</t>
  </si>
  <si>
    <t>ZOUARI2016_DATEPALM_SP2_Leaf_Mg_CDONLY</t>
  </si>
  <si>
    <t>ZOUARI2016_DATEPALM_SP2_Root_K</t>
  </si>
  <si>
    <t>ZOUARI2016_DATEPALM_SP2_Root_K_CDONLY</t>
  </si>
  <si>
    <t>ZOUARI2016_DATEPALM_SP2_Root_Ca</t>
  </si>
  <si>
    <t>ZOUARI2016_DATEPALM_SP2_Root_Ca_CDONLY</t>
  </si>
  <si>
    <t>ZOUARI2016_DATEPALM_SP2_Root_Mg</t>
  </si>
  <si>
    <t>ZOUARI2016_DATEPALM_SP2_Root_Mg_CDONLY</t>
  </si>
  <si>
    <t>GENC2021</t>
  </si>
  <si>
    <t>GENC2021_Root_K_PRO1</t>
  </si>
  <si>
    <t>Bayraktar-2000</t>
  </si>
  <si>
    <t>1000 µM Cd(NO3)2·4H2O</t>
  </si>
  <si>
    <t>ppm DW</t>
  </si>
  <si>
    <t>GENC2021_Root_K_CD_PRO0</t>
  </si>
  <si>
    <t>GENC2021_Root_K_PRO10</t>
  </si>
  <si>
    <t>GENC2021_Root_K_PRO20</t>
  </si>
  <si>
    <t>GENC2021_Shoot_K_PRO1</t>
  </si>
  <si>
    <t>GENC2021_Shoot_K_CD_PRO0</t>
  </si>
  <si>
    <t>GENC2021_Shoot_K_PRO10</t>
  </si>
  <si>
    <t>GENC2021_Shoot_K_PRO20</t>
  </si>
  <si>
    <t>GENC2021_Root_Ca_PRO1</t>
  </si>
  <si>
    <t>GENC2021_Root_Ca_CD_PRO0</t>
  </si>
  <si>
    <t>GENC2021_Root_Ca_PRO10</t>
  </si>
  <si>
    <t>GENC2021_Root_Ca_PRO20</t>
  </si>
  <si>
    <t>GENC2021_Shoot_Ca_PRO1</t>
  </si>
  <si>
    <t>GENC2021_Shoot_Ca_CD_PRO0</t>
  </si>
  <si>
    <t>GENC2021_Shoot_Ca_PRO10</t>
  </si>
  <si>
    <t>GENC2021_Shoot_Ca_PRO20</t>
  </si>
  <si>
    <t>GENC2021_Root_Mg_PRO1</t>
  </si>
  <si>
    <t>GENC2021_Root_Mg_CD_PRO0</t>
  </si>
  <si>
    <t>GENC2021_Root_Mg_PRO10</t>
  </si>
  <si>
    <t>GENC2021_Root_Mg_PRO20</t>
  </si>
  <si>
    <t>GENC2021_Shoot_Mg_PRO1</t>
  </si>
  <si>
    <t>GENC2021_Shoot_Mg_CD_PRO0</t>
  </si>
  <si>
    <t>GENC2021_Shoot_Mg_PRO10</t>
  </si>
  <si>
    <t>GENC2021_Shoot_Mg_PRO20</t>
  </si>
  <si>
    <t>KHAJEHZADEH2022</t>
  </si>
  <si>
    <t>KHAJEHZADEH2022_D55_A150_G0_K</t>
  </si>
  <si>
    <t>Pistacia vera</t>
  </si>
  <si>
    <t>Shahpsand</t>
  </si>
  <si>
    <t>55-day irrigation interval</t>
  </si>
  <si>
    <t>Table 6 + ANOVA Table 1</t>
  </si>
  <si>
    <t>Mean reported; variance reconstructed from sub-error MSE</t>
  </si>
  <si>
    <t>High mean / Reconstructed variance</t>
  </si>
  <si>
    <t>KHAJEHZADEH2022_D55_A0_G0_K</t>
  </si>
  <si>
    <t>KHAJEHZADEH2022_D55_A300_G0_K</t>
  </si>
  <si>
    <t>KHAJEHZADEH2022_D55_A0_G150_K</t>
  </si>
  <si>
    <t>Glutamine</t>
  </si>
  <si>
    <t>KHAJEHZADEH2022_D55_A150_G150_K</t>
  </si>
  <si>
    <t>Asparagine+Glutamine mixture</t>
  </si>
  <si>
    <t>Asn150+Gln150</t>
  </si>
  <si>
    <t>mg/L components</t>
  </si>
  <si>
    <t>KHAJEHZADEH2022_D55_A300_G150_K</t>
  </si>
  <si>
    <t>Asn300+Gln150</t>
  </si>
  <si>
    <t>KHAJEHZADEH2022_D55_A0_G300_K</t>
  </si>
  <si>
    <t>KHAJEHZADEH2022_D55_A150_G300_K</t>
  </si>
  <si>
    <t>Asn150+Gln300</t>
  </si>
  <si>
    <t>KHAJEHZADEH2022_D55_A300_G300_K</t>
  </si>
  <si>
    <t>Asn300+Gln300</t>
  </si>
  <si>
    <t>KHAJEHZADEH2022_D75_A150_G0_K</t>
  </si>
  <si>
    <t>75-day irrigation interval</t>
  </si>
  <si>
    <t>KHAJEHZADEH2022_D75_A0_G0_K</t>
  </si>
  <si>
    <t>KHAJEHZADEH2022_D75_A300_G0_K</t>
  </si>
  <si>
    <t>KHAJEHZADEH2022_D75_A0_G150_K</t>
  </si>
  <si>
    <t>KHAJEHZADEH2022_D75_A150_G150_K</t>
  </si>
  <si>
    <t>KHAJEHZADEH2022_D75_A300_G150_K</t>
  </si>
  <si>
    <t>KHAJEHZADEH2022_D75_A0_G300_K</t>
  </si>
  <si>
    <t>KHAJEHZADEH2022_D75_A150_G300_K</t>
  </si>
  <si>
    <t>KHAJEHZADEH2022_D75_A300_G300_K</t>
  </si>
  <si>
    <t>CACEFO2021</t>
  </si>
  <si>
    <t>CACEFO2021_Wildtype_N</t>
  </si>
  <si>
    <t>Nicotiana tabacum</t>
  </si>
  <si>
    <t>Petit Havana SR1</t>
  </si>
  <si>
    <t>9 d water withholding (~20% moisture of irrigated pots)</t>
  </si>
  <si>
    <t>Figure 5</t>
  </si>
  <si>
    <t>CACEFO2021_Wildtype_N_WD0</t>
  </si>
  <si>
    <t>CACEFO2021_Wildtype_P</t>
  </si>
  <si>
    <t>CACEFO2021_Wildtype_P_WD0</t>
  </si>
  <si>
    <t>CACEFO2021_Wildtype_K</t>
  </si>
  <si>
    <t>CACEFO2021_Wildtype_K_WD0</t>
  </si>
  <si>
    <t>CACEFO2021_Wildtype_Ca</t>
  </si>
  <si>
    <t>CACEFO2021_Wildtype_Ca_WD0</t>
  </si>
  <si>
    <t>CACEFO2021_Wildtype_Mg</t>
  </si>
  <si>
    <t>CACEFO2021_Wildtype_Mg_WD0</t>
  </si>
  <si>
    <t>CACEFO2021_Wildtype_S</t>
  </si>
  <si>
    <t>CACEFO2021_Wildtype_S_WD0</t>
  </si>
  <si>
    <t>CACEFO2021_Wildtype_B</t>
  </si>
  <si>
    <t>B</t>
  </si>
  <si>
    <t>CACEFO2021_Wildtype_B_WD0</t>
  </si>
  <si>
    <t>CACEFO2021_Wildtype_Cu</t>
  </si>
  <si>
    <t>CACEFO2021_Wildtype_Cu_WD0</t>
  </si>
  <si>
    <t>CACEFO2021_Wildtype_Fe</t>
  </si>
  <si>
    <t>CACEFO2021_Wildtype_Fe_WD0</t>
  </si>
  <si>
    <t>CACEFO2021_Wildtype_Mn</t>
  </si>
  <si>
    <t>CACEFO2021_Wildtype_Mn_WD0</t>
  </si>
  <si>
    <t>CACEFO2021_Wildtype_Zn</t>
  </si>
  <si>
    <t>CACEFO2021_Wildtype_Zn_WD0</t>
  </si>
  <si>
    <t>CACEFO2021_Transgenic_N</t>
  </si>
  <si>
    <t>VaP5CSF129A transgenic</t>
  </si>
  <si>
    <t>CACEFO2021_Transgenic_N_WD0</t>
  </si>
  <si>
    <t>CACEFO2021_Transgenic_P</t>
  </si>
  <si>
    <t>CACEFO2021_Transgenic_P_WD0</t>
  </si>
  <si>
    <t>CACEFO2021_Transgenic_K</t>
  </si>
  <si>
    <t>CACEFO2021_Transgenic_K_WD0</t>
  </si>
  <si>
    <t>CACEFO2021_Transgenic_Ca</t>
  </si>
  <si>
    <t>CACEFO2021_Transgenic_Ca_WD0</t>
  </si>
  <si>
    <t>CACEFO2021_Transgenic_Mg</t>
  </si>
  <si>
    <t>CACEFO2021_Transgenic_Mg_WD0</t>
  </si>
  <si>
    <t>CACEFO2021_Transgenic_S</t>
  </si>
  <si>
    <t>CACEFO2021_Transgenic_S_WD0</t>
  </si>
  <si>
    <t>CACEFO2021_Transgenic_B</t>
  </si>
  <si>
    <t>CACEFO2021_Transgenic_B_WD0</t>
  </si>
  <si>
    <t>CACEFO2021_Transgenic_Cu</t>
  </si>
  <si>
    <t>CACEFO2021_Transgenic_Cu_WD0</t>
  </si>
  <si>
    <t>CACEFO2021_Transgenic_Fe</t>
  </si>
  <si>
    <t>CACEFO2021_Transgenic_Fe_WD0</t>
  </si>
  <si>
    <t>CACEFO2021_Transgenic_Mn</t>
  </si>
  <si>
    <t>CACEFO2021_Transgenic_Mn_WD0</t>
  </si>
  <si>
    <t>CACEFO2021_Transgenic_Zn</t>
  </si>
  <si>
    <t>CACEFO2021_Transgenic_Zn_WD0</t>
  </si>
  <si>
    <t>KOC2024</t>
  </si>
  <si>
    <t>KOC2024_ST_Shoot_K_PRO10</t>
  </si>
  <si>
    <t>Oryza sativa</t>
  </si>
  <si>
    <t>YNU31-2-4 (ST)</t>
  </si>
  <si>
    <t>mg g^-1 DM</t>
  </si>
  <si>
    <t>Figure 2B</t>
  </si>
  <si>
    <t>Moderate (figure digitization; SD approximated)</t>
  </si>
  <si>
    <t>KOC2024_ST_SALT_PRO0</t>
  </si>
  <si>
    <t>KOC2024_ST_Root_K_PRO10</t>
  </si>
  <si>
    <t>KOC2024_SS_Shoot_K_PRO10</t>
  </si>
  <si>
    <t>YNU31-2-4 Sister Line (SS)</t>
  </si>
  <si>
    <t>KOC2024_SS_SALT_PRO0</t>
  </si>
  <si>
    <t>KOC2024_SS_Root_K_PRO10</t>
  </si>
  <si>
    <t>YAN2025</t>
  </si>
  <si>
    <t>YAN2025_Root_K_PRO150</t>
  </si>
  <si>
    <t>Glycine max</t>
  </si>
  <si>
    <t>Zhonghuang 13</t>
  </si>
  <si>
    <t>YAN2025_SALT_PRO0</t>
  </si>
  <si>
    <t>YAN2025_Stem_K_PRO150</t>
  </si>
  <si>
    <t>Stem</t>
  </si>
  <si>
    <t>YAN2025_Leaf_K_PRO150</t>
  </si>
  <si>
    <t>YAN2025_Root_Mg_PRO150</t>
  </si>
  <si>
    <t>Figure 4C</t>
  </si>
  <si>
    <t>YAN2025_Stem_Mg_PRO150</t>
  </si>
  <si>
    <t>YAN2025_Leaf_Mg_PRO150</t>
  </si>
  <si>
    <t>YAN2025_Root_Ca_PRO150</t>
  </si>
  <si>
    <t>Figure 4D</t>
  </si>
  <si>
    <t>YAN2025_Stem_Ca_PRO150</t>
  </si>
  <si>
    <t>YAN2025_Leaf_Ca_PRO150</t>
  </si>
  <si>
    <t>Figure(s)</t>
  </si>
  <si>
    <t>Outcomes</t>
  </si>
  <si>
    <t>n</t>
  </si>
  <si>
    <t>Error</t>
  </si>
  <si>
    <t>Status</t>
  </si>
  <si>
    <t>Fig. 1</t>
  </si>
  <si>
    <t>K, Ca – shoot/root</t>
  </si>
  <si>
    <t>SE</t>
  </si>
  <si>
    <t>COMPLETED – vector extraction</t>
  </si>
  <si>
    <t>Fig. 2</t>
  </si>
  <si>
    <t>N, P – shoot/root</t>
  </si>
  <si>
    <t>Fig. 3</t>
  </si>
  <si>
    <t>Mg – shoot/root</t>
  </si>
  <si>
    <t>Comparator</t>
  </si>
  <si>
    <t>WS under 60% FC</t>
  </si>
  <si>
    <t>30 and 60 mM Pro vs WS</t>
  </si>
  <si>
    <t>Procedural water-spray control</t>
  </si>
  <si>
    <t>Raw bars extracted</t>
  </si>
  <si>
    <t>480 bars total across 10 panels</t>
  </si>
  <si>
    <t>Means and error bars extracted from PDF vector geometry</t>
  </si>
  <si>
    <t>Effects ready</t>
  </si>
  <si>
    <t>120 drought effects</t>
  </si>
  <si>
    <t>Added to EFFECTS_READY with lnRR and vi formulas</t>
  </si>
  <si>
    <t>Application_stage</t>
  </si>
  <si>
    <t>Foliar_treatment</t>
  </si>
  <si>
    <t>Water_status</t>
  </si>
  <si>
    <t>Mean</t>
  </si>
  <si>
    <t>Error_type</t>
  </si>
  <si>
    <t>Seedling</t>
  </si>
  <si>
    <t>NS</t>
  </si>
  <si>
    <t>Vector extraction from PDF</t>
  </si>
  <si>
    <t>Drought</t>
  </si>
  <si>
    <t>WS</t>
  </si>
  <si>
    <t>30</t>
  </si>
  <si>
    <t>60</t>
  </si>
  <si>
    <t>Vegetative</t>
  </si>
  <si>
    <t>Seedling+Vegetative</t>
  </si>
  <si>
    <t>Stress_code</t>
  </si>
  <si>
    <t>SD</t>
  </si>
  <si>
    <t>Cd1</t>
  </si>
  <si>
    <t>Cd only</t>
  </si>
  <si>
    <t>Pro 3 mM</t>
  </si>
  <si>
    <t>Pro 6 mM</t>
  </si>
  <si>
    <t>Cd2</t>
  </si>
  <si>
    <t>NaCl_g_L</t>
  </si>
  <si>
    <t>Arginine_mg_L</t>
  </si>
  <si>
    <t>Author_year</t>
  </si>
  <si>
    <t>Cultivar_genotype</t>
  </si>
  <si>
    <t>Crop_group</t>
  </si>
  <si>
    <t>System</t>
  </si>
  <si>
    <t>Amino_acid_intervention</t>
  </si>
  <si>
    <t>Primary_outcomes</t>
  </si>
  <si>
    <t>Data_source</t>
  </si>
  <si>
    <t>Variance_source</t>
  </si>
  <si>
    <t>Main_effects_ready</t>
  </si>
  <si>
    <t>Key_note</t>
  </si>
  <si>
    <t>Ali et al., 2008</t>
  </si>
  <si>
    <t>EV-1098; Agaiti 2002</t>
  </si>
  <si>
    <t>Agricultural</t>
  </si>
  <si>
    <t>Pots / wire-house</t>
  </si>
  <si>
    <t>Proline 30, 60 mM</t>
  </si>
  <si>
    <t>N, P, K, Ca, Mg</t>
  </si>
  <si>
    <t>SE reported; vector digitization</t>
  </si>
  <si>
    <t>READY</t>
  </si>
  <si>
    <t>WS procedural spray control used; 3 application timings; roots and shoots.</t>
  </si>
  <si>
    <t>Hayat et al., 2021</t>
  </si>
  <si>
    <t>Agricultural / legume</t>
  </si>
  <si>
    <t>Pot experiment</t>
  </si>
  <si>
    <t>Proline 3, 6 mM</t>
  </si>
  <si>
    <t>Cd1 4; Cd2 8 mg/mL as reported</t>
  </si>
  <si>
    <t>K, Ca, Mg</t>
  </si>
  <si>
    <t>SD reported</t>
  </si>
  <si>
    <t>Leaf/root concentrations; Cd units preserved as reported.</t>
  </si>
  <si>
    <t>Saddique et al., 2022</t>
  </si>
  <si>
    <t>Desi Palak; VRI-2019</t>
  </si>
  <si>
    <t>Horticultural</t>
  </si>
  <si>
    <t>Met, Phe, Pro, Tyr, identifiable mixture; 250 mg/L each</t>
  </si>
  <si>
    <t>K, Ca</t>
  </si>
  <si>
    <t>SE reported; digitized</t>
  </si>
  <si>
    <t>Na complementary; mixture total = 1000 mg/L.</t>
  </si>
  <si>
    <t>Aboryia et al., 2022</t>
  </si>
  <si>
    <t>Agricultural / industrial</t>
  </si>
  <si>
    <t>Pots / 2 seasons</t>
  </si>
  <si>
    <t>Proline 300, 450 ppm</t>
  </si>
  <si>
    <t>Diluted seawater 5000, 10000, 15000 ppm</t>
  </si>
  <si>
    <t>N, P, K</t>
  </si>
  <si>
    <t>10000 and 15000 ppm = main; 5000 ppm flagged for sensitivity.</t>
  </si>
  <si>
    <t>Ahmed et al., 2020</t>
  </si>
  <si>
    <t>Aromatic / medicinal</t>
  </si>
  <si>
    <t>Arginine 150, 300 mg/L</t>
  </si>
  <si>
    <t>NaCl 2 and 4 g/L</t>
  </si>
  <si>
    <t>Two seasons averaged by authors; years not treated as independent.</t>
  </si>
  <si>
    <t>Gao et al., 2025</t>
  </si>
  <si>
    <t>Pot / greenhouse</t>
  </si>
  <si>
    <t>Proline 0.3 mM</t>
  </si>
  <si>
    <t>N, P, K, Ca, Mg, Cu, Fe, Mn, Zn</t>
  </si>
  <si>
    <t>PN vs N; leaf/petiole/root. Possible overlap with Gao et al. 2023 should remain flagged.</t>
  </si>
  <si>
    <t>Shahbaz et al., 2013</t>
  </si>
  <si>
    <t>L-888; Round</t>
  </si>
  <si>
    <t>Pot / wire-house</t>
  </si>
  <si>
    <t>Proline 10, 20 mM</t>
  </si>
  <si>
    <t>Water-sprayed 0 mM Pro control under same salinity.</t>
  </si>
  <si>
    <t>Alfosea-Simón et al., 2020</t>
  </si>
  <si>
    <t>Hydroponic / growth chamber</t>
  </si>
  <si>
    <t>Met, Arg, Pro, Glu, Trp and binary mixtures</t>
  </si>
  <si>
    <t>K, NO3-</t>
  </si>
  <si>
    <t>Dose preserved as 10 mL/L of 5% stock per AA because effective molarity is ambiguous.</t>
  </si>
  <si>
    <t>Shahid et al., 2021</t>
  </si>
  <si>
    <t>FH1275; FH936; FH1231; FH1227</t>
  </si>
  <si>
    <t>Methionine 5, 10 mg/L</t>
  </si>
  <si>
    <t>Figures 2–3 + Tables 1–2</t>
  </si>
  <si>
    <t>Pooled residual MSE reconstructed</t>
  </si>
  <si>
    <t>Means digitized; SD pooled from residual MSE. Include sensitivity excluding reconstructed variance.</t>
  </si>
  <si>
    <t>Maqsood et al., 2022</t>
  </si>
  <si>
    <t>Galaxy-13; Johar-16</t>
  </si>
  <si>
    <t>Methionine 4 mM</t>
  </si>
  <si>
    <t>K, Ca, P</t>
  </si>
  <si>
    <t>SE reported</t>
  </si>
  <si>
    <t>Table-specific n=4 used for ionic outcomes; Methods elsewhere mentions 3 reps, retained as reporting inconsistency.</t>
  </si>
  <si>
    <t>Wu et al., 2017</t>
  </si>
  <si>
    <t>Forage legume</t>
  </si>
  <si>
    <t>Growth chamber</t>
  </si>
  <si>
    <t>Proline 2.5 mM</t>
  </si>
  <si>
    <t>25, 100 mM NaCl</t>
  </si>
  <si>
    <t>Three plants pooled per replicate; n=8.</t>
  </si>
  <si>
    <t>Sun et al., 2022</t>
  </si>
  <si>
    <t>Fruit tree</t>
  </si>
  <si>
    <t>Leucine 10 mM</t>
  </si>
  <si>
    <t>NO3-N, NH4-N</t>
  </si>
  <si>
    <t>SD reported; digitized</t>
  </si>
  <si>
    <t>Leaf N forms kept separate; Cu+Leu vs Cu.</t>
  </si>
  <si>
    <t>Fardus et al., 2021</t>
  </si>
  <si>
    <t>Pulse crop</t>
  </si>
  <si>
    <t>Petri/growth chamber</t>
  </si>
  <si>
    <t>L-glutamate 10 mM</t>
  </si>
  <si>
    <t>Ca/Mg mentioned in supplement but not added without supplied numeric supplement.</t>
  </si>
  <si>
    <t>Ghafoor et al., 2026</t>
  </si>
  <si>
    <t>Phenylalanine 10,20,30,40 mM</t>
  </si>
  <si>
    <t>K, Ca, nitrate</t>
  </si>
  <si>
    <t>DWS under salinity used as procedural comparator.</t>
  </si>
  <si>
    <t>Turfan et al., 2026</t>
  </si>
  <si>
    <t>ASN 2.4; PHE 4.6; TRP 3.6 mM</t>
  </si>
  <si>
    <t>Mg, Ca, K, P, S</t>
  </si>
  <si>
    <t>Organ-specific bars; calibration cross-checked against exact treatment averages in Table 1.</t>
  </si>
  <si>
    <t>Selović et al., 2023</t>
  </si>
  <si>
    <t>In vitro / growth chamber</t>
  </si>
  <si>
    <t>Fe, Zn</t>
  </si>
  <si>
    <t>Hydro-primed + Cd used as procedural comparator.</t>
  </si>
  <si>
    <t>Noreen et al., 2018</t>
  </si>
  <si>
    <t>FSD-83; MH-97; Punjab-96</t>
  </si>
  <si>
    <t>Proline 80 mM</t>
  </si>
  <si>
    <t>SD reconstructed from L×P×C LSD</t>
  </si>
  <si>
    <t>Variance reconstruction uses df_error=36; sensitivity excluding reconstructed variance required.</t>
  </si>
  <si>
    <t>Badran et al., 2014</t>
  </si>
  <si>
    <t>Pot / nutrient solution</t>
  </si>
  <si>
    <t>Glycine 5 mM</t>
  </si>
  <si>
    <t>75, 150, 225 mM NaCl</t>
  </si>
  <si>
    <t>Figure reports mean±SE n=6; shoot concentrations on fresh-weight basis.</t>
  </si>
  <si>
    <t>Huang et al., 2009</t>
  </si>
  <si>
    <t>Hydroponic greenhouse</t>
  </si>
  <si>
    <t>Proline 10 mM</t>
  </si>
  <si>
    <t>Water spray is matched procedural control; K response approximately null.</t>
  </si>
  <si>
    <t>ATTA2024</t>
  </si>
  <si>
    <t>Atta et al., 2024</t>
  </si>
  <si>
    <t>Punjab-11; Ghazi-11</t>
  </si>
  <si>
    <t>100 mg kg^-1 Ni</t>
  </si>
  <si>
    <t>Figure 6</t>
  </si>
  <si>
    <t>Error-bar type not reported</t>
  </si>
  <si>
    <t>PENDING_VARIANCE</t>
  </si>
  <si>
    <t>Means extracted, but SD/SE identity is not supported by the paper. Not appended to EFFECTS_READY.</t>
  </si>
  <si>
    <t>Bushra et al., 2023</t>
  </si>
  <si>
    <t>Proline 30 mM; 1 or 2 applications</t>
  </si>
  <si>
    <t>Soil or foliar</t>
  </si>
  <si>
    <t>30% WHC</t>
  </si>
  <si>
    <t>N, P</t>
  </si>
  <si>
    <t>T5 remains 30 mM per application, not 60 mM cumulative; control T1 under drought.</t>
  </si>
  <si>
    <t>Abdelkader et al., 2023</t>
  </si>
  <si>
    <t>His, Lys, Phe, Thr 0.5 g/L</t>
  </si>
  <si>
    <t>SD reported; text + digitized</t>
  </si>
  <si>
    <t>K is primary; Na, Cl and Na/K retained only as complementary variables.</t>
  </si>
  <si>
    <t>Zouari et al., 2016</t>
  </si>
  <si>
    <t>10, 30 mg CdCl2 kg^-1 soil</t>
  </si>
  <si>
    <t>Table-specific n=5 used for macronutrient outcomes.</t>
  </si>
  <si>
    <t>Alshaharni, 2026</t>
  </si>
  <si>
    <t>L-glutamate 0.5, 1, 2, 5 mM</t>
  </si>
  <si>
    <t>N, K</t>
  </si>
  <si>
    <t>Figure 2C-D</t>
  </si>
  <si>
    <t>SE reported; means digitized/percentage-constrained</t>
  </si>
  <si>
    <t>Organ not explicitly specified in mineral methods/results; coded as plant sample.</t>
  </si>
  <si>
    <t>Elhakem &amp; Hassan, 2026</t>
  </si>
  <si>
    <t>75, 50, 25% WFC</t>
  </si>
  <si>
    <t>SE reported; vector mean extraction</t>
  </si>
  <si>
    <t>Three independent pots per ionic treatment; 95% WFC excluded from main stress analysis.</t>
  </si>
  <si>
    <t>Mahboob et al., 2016</t>
  </si>
  <si>
    <t>Khirman; ESW-9525</t>
  </si>
  <si>
    <t>Growth chamber / sand</t>
  </si>
  <si>
    <t>Proline 50, 100 mM</t>
  </si>
  <si>
    <t>60, 120 mM NaCl</t>
  </si>
  <si>
    <t>Common SE reported</t>
  </si>
  <si>
    <t>Leaf K; water-spray comparator.</t>
  </si>
  <si>
    <t>Proline 20 mM</t>
  </si>
  <si>
    <t>Leaves and roots; exact table values.</t>
  </si>
  <si>
    <t>Genç, 2021</t>
  </si>
  <si>
    <t>Proline 1, 10, 20 mM</t>
  </si>
  <si>
    <t>Root and shoot; graphical extraction QC moderate.</t>
  </si>
  <si>
    <t>Khajehzadeh et al., 2022</t>
  </si>
  <si>
    <t>Field orchard</t>
  </si>
  <si>
    <t>Asparagine and glutamine 150/300 mg L^-1; mixtures</t>
  </si>
  <si>
    <t>55, 75 day irrigation intervals</t>
  </si>
  <si>
    <t>SD reconstructed from sub-error MSE=0.01</t>
  </si>
  <si>
    <t>35-day interval excluded from main analysis.</t>
  </si>
  <si>
    <t>Cacefo et al., 2021</t>
  </si>
  <si>
    <t>WT; VaP5CSF129A transgenic</t>
  </si>
  <si>
    <t>Industrial/model crop</t>
  </si>
  <si>
    <t>Greenhouse pot experiment</t>
  </si>
  <si>
    <t>9 d withholding; ~20% moisture of irrigated pots</t>
  </si>
  <si>
    <t>N, P, K, Ca, Mg, S, B, Cu, Fe, Mn, Zn</t>
  </si>
  <si>
    <t>Two genotypes retained separately; transgenic flagged for sensitivity.</t>
  </si>
  <si>
    <t>Koc et al., 2024</t>
  </si>
  <si>
    <t>YNU31-2-4 (ST); Sister Line (SS)</t>
  </si>
  <si>
    <t>Pot / controlled greenhouse</t>
  </si>
  <si>
    <t>Two near-isogenic genotypes retained separately; shoot and root K; same salt control within genotype.</t>
  </si>
  <si>
    <t>Yan et al., 2025</t>
  </si>
  <si>
    <t>Hydroponic / incubator</t>
  </si>
  <si>
    <t>Proline 150 mM</t>
  </si>
  <si>
    <t>Figure 4B-D</t>
  </si>
  <si>
    <t>Root, stem and leaf outcomes share the same +NaCl control; figure-based means and SD.</t>
  </si>
  <si>
    <t>BASE MAESTRA – META-ANÁLISIS DE AMINOÁCIDOS Y NUTRICIÓN MINERAL</t>
  </si>
  <si>
    <t>Indicador</t>
  </si>
  <si>
    <t>Valor</t>
  </si>
  <si>
    <t>Estudios incorporados</t>
  </si>
  <si>
    <t>Efectos listos</t>
  </si>
  <si>
    <t>Datos de tablas directas</t>
  </si>
  <si>
    <t>Efectos digitalizados</t>
  </si>
  <si>
    <t>Estudios con datos listos</t>
  </si>
  <si>
    <t>Effects</t>
  </si>
  <si>
    <t>Variance</t>
  </si>
  <si>
    <t>Main/Sensitivity</t>
  </si>
  <si>
    <t>12 main + 6 sensitivity</t>
  </si>
  <si>
    <t>TOTAL</t>
  </si>
  <si>
    <t>Figures 2–3 + ANOVA</t>
  </si>
  <si>
    <t>Residual MSE</t>
  </si>
  <si>
    <t>Main + variance sensitivity</t>
  </si>
  <si>
    <t>LSD→SD</t>
  </si>
  <si>
    <t>Unknown</t>
  </si>
  <si>
    <t>Pending variance type</t>
  </si>
  <si>
    <t>PENDING</t>
  </si>
  <si>
    <t>TOTAL READY</t>
  </si>
  <si>
    <t>Table 6 + ANOVA</t>
  </si>
  <si>
    <t>MSE→SD</t>
  </si>
  <si>
    <t>Main + genotype sensitivity</t>
  </si>
  <si>
    <t>PN</t>
  </si>
  <si>
    <t>Pro_mM</t>
  </si>
  <si>
    <t>+salt</t>
  </si>
  <si>
    <t>Pro+Glu</t>
  </si>
  <si>
    <t>Met+Trp</t>
  </si>
  <si>
    <t>L-Met</t>
  </si>
  <si>
    <t>L-Arg</t>
  </si>
  <si>
    <t>Met+Arg</t>
  </si>
  <si>
    <t>L-Pro</t>
  </si>
  <si>
    <t>L-Trp</t>
  </si>
  <si>
    <t>Glu</t>
  </si>
  <si>
    <t>Genotype</t>
  </si>
  <si>
    <t>Pooled_SD</t>
  </si>
  <si>
    <t>Residual_MSE</t>
  </si>
  <si>
    <t>df_error</t>
  </si>
  <si>
    <t>Figures 2–3</t>
  </si>
  <si>
    <t>Pooled residual MSE</t>
  </si>
  <si>
    <t>SM1</t>
  </si>
  <si>
    <t>SM2</t>
  </si>
  <si>
    <t>D</t>
  </si>
  <si>
    <t>D+Met</t>
  </si>
  <si>
    <t>Stress</t>
  </si>
  <si>
    <t>Salt</t>
  </si>
  <si>
    <t>Salt+Pro</t>
  </si>
  <si>
    <t>Cu+Leu</t>
  </si>
  <si>
    <t>S+L-Glu</t>
  </si>
  <si>
    <t>DWS</t>
  </si>
  <si>
    <t>PAN10</t>
  </si>
  <si>
    <t>PAN20</t>
  </si>
  <si>
    <t>PAN30</t>
  </si>
  <si>
    <t>PAN40</t>
  </si>
  <si>
    <t>NaCl</t>
  </si>
  <si>
    <t>ASN+NaCl</t>
  </si>
  <si>
    <t>PHE+NaCl</t>
  </si>
  <si>
    <t>TRP+NaCl</t>
  </si>
  <si>
    <t>Hydro+Cd</t>
  </si>
  <si>
    <t>Pro10+Cd</t>
  </si>
  <si>
    <t>Pro20+Cd</t>
  </si>
  <si>
    <t>Variance_type</t>
  </si>
  <si>
    <t>LSD_LxPxC</t>
  </si>
  <si>
    <t>Cu400+Pro0</t>
  </si>
  <si>
    <t>SD pooled reconstructed</t>
  </si>
  <si>
    <t>Cu400+Pro80</t>
  </si>
  <si>
    <t>NaCl_mM</t>
  </si>
  <si>
    <t>No glycine</t>
  </si>
  <si>
    <t>5 mM glycine</t>
  </si>
  <si>
    <t>NaCl+10 mM Pro</t>
  </si>
  <si>
    <t>Error_bar_type</t>
  </si>
  <si>
    <t>Status_note</t>
  </si>
  <si>
    <t>Punjab-11</t>
  </si>
  <si>
    <t>Ni only (T2)</t>
  </si>
  <si>
    <t>Mean digitized; error-bar type not stated</t>
  </si>
  <si>
    <t>Ni+Pro (T3)</t>
  </si>
  <si>
    <t>Ghazi-11</t>
  </si>
  <si>
    <t>Treatment_code</t>
  </si>
  <si>
    <t>T1</t>
  </si>
  <si>
    <t>T2</t>
  </si>
  <si>
    <t>Soil 7d</t>
  </si>
  <si>
    <t>T3</t>
  </si>
  <si>
    <t>Foliar 7d</t>
  </si>
  <si>
    <t>T4</t>
  </si>
  <si>
    <t>Foliar 14d</t>
  </si>
  <si>
    <t>T5</t>
  </si>
  <si>
    <t>Foliar 7+14d</t>
  </si>
  <si>
    <t>Mean_K</t>
  </si>
  <si>
    <t>Salt+Histidine</t>
  </si>
  <si>
    <t>Salt+Lysine</t>
  </si>
  <si>
    <t>Salt+Phenylalanine</t>
  </si>
  <si>
    <t>Salt+Threonine</t>
  </si>
  <si>
    <t>Cd_code</t>
  </si>
  <si>
    <t>Pro10</t>
  </si>
  <si>
    <t>Pro20</t>
  </si>
  <si>
    <t>Glu_mM</t>
  </si>
  <si>
    <t>NaCl+Glu</t>
  </si>
  <si>
    <t>WFC_percent</t>
  </si>
  <si>
    <t>No Pro</t>
  </si>
  <si>
    <t>10 mM Pro</t>
  </si>
  <si>
    <t>Proline_mM</t>
  </si>
  <si>
    <t>SP1</t>
  </si>
  <si>
    <t>Cd+Pro20</t>
  </si>
  <si>
    <t>SP2</t>
  </si>
  <si>
    <t>Irrigation_days</t>
  </si>
  <si>
    <t>Glutamine_mg_L</t>
  </si>
  <si>
    <t>Asparagine_mg_L</t>
  </si>
  <si>
    <t>SD pooled from sub-error MSE=0.01</t>
  </si>
  <si>
    <t>Table 6</t>
  </si>
  <si>
    <t>Wild type</t>
  </si>
  <si>
    <t>WD-0 mM</t>
  </si>
  <si>
    <t>WD-10 mM</t>
  </si>
  <si>
    <t>Transgenic</t>
  </si>
  <si>
    <t>AUDITORÍA DE EFFECTS_READY ANTES DEL META-ANÁLISIS</t>
  </si>
  <si>
    <t>Resultado</t>
  </si>
  <si>
    <t>Prioridad</t>
  </si>
  <si>
    <t>Hallazgo</t>
  </si>
  <si>
    <t>Implicación</t>
  </si>
  <si>
    <t>Acción antes del modelo</t>
  </si>
  <si>
    <t>Estado</t>
  </si>
  <si>
    <t>Filas en EFFECTS_READY</t>
  </si>
  <si>
    <t>CRÍTICA</t>
  </si>
  <si>
    <t>Dependencia entre tamaños del efecto</t>
  </si>
  <si>
    <t>Las 575 filas NO son observaciones independientes. Study_ID y Shared_Control_ID no capturan por sí solos toda la correlación entre nutrientes/órganos medidos en las mismas unidades.</t>
  </si>
  <si>
    <t>Agregar Experiment_ID/Cluster_ID y usar modelo multinivel/RVE o matriz V con covarianzas.</t>
  </si>
  <si>
    <t>PENDIENTE</t>
  </si>
  <si>
    <t>Estudios cuantitativos únicos</t>
  </si>
  <si>
    <t>Dosis no armonizada</t>
  </si>
  <si>
    <t>Dose mezcla mM, mg/L, ppm, g/L y texto; 24 filas son no numéricas.</t>
  </si>
  <si>
    <t>Crear Dose_mM para AA individuales y campos separados para mezclas antes de meta-regresión de dosis.</t>
  </si>
  <si>
    <t>Filas marcadas Main</t>
  </si>
  <si>
    <t>ALTA</t>
  </si>
  <si>
    <t>Varianzas reconstruidas</t>
  </si>
  <si>
    <t>82 efectos dependen de MSE/LSD reconstruido (SHAHID2021, NOREEN2018, KHAJEHZADEH2022).</t>
  </si>
  <si>
    <t>Mantener, pero ejecutar sensibilidad excluyéndolos.</t>
  </si>
  <si>
    <t>CONTROLADO</t>
  </si>
  <si>
    <t>Filas de sensibilidad</t>
  </si>
  <si>
    <t>Digitalización</t>
  </si>
  <si>
    <t>Gran parte de la evidencia proviene de figuras, no tablas.</t>
  </si>
  <si>
    <t>Sensibilidad por Extraction_method/QC y revisión de efectos influyentes.</t>
  </si>
  <si>
    <t>Shared_Control_ID únicos</t>
  </si>
  <si>
    <t>Outcome no armonizado</t>
  </si>
  <si>
    <t>NO3-, Nitrate y NH4-N aparecen como nutrientes separados, aunque son formas de N.</t>
  </si>
  <si>
    <t>Añadir Nutrient_std=N y Chemical_form antes de subgrupos por nutriente.</t>
  </si>
  <si>
    <t>Controles compartidos con &gt;1 efecto</t>
  </si>
  <si>
    <t>Efectos extremos TURFAN2026</t>
  </si>
  <si>
    <t>Varios lnRR &gt;2 (RR &gt;7–14). El propio artículo reporta aumentos de 6–10 veces con TRP, por lo que no deben eliminarse automáticamente.</t>
  </si>
  <si>
    <t>Verificar digitalización y aplicar diagnóstico de influencia/leave-one-study-out.</t>
  </si>
  <si>
    <t>REVISAR</t>
  </si>
  <si>
    <t>Máximo de efectos compartiendo un control</t>
  </si>
  <si>
    <t>MEDIA</t>
  </si>
  <si>
    <t>Análisis principal vs sensibilidad</t>
  </si>
  <si>
    <t>6 filas ABORYIA2022 están marcadas Sensitivity-low-stress.</t>
  </si>
  <si>
    <t>Para el modelo principal filtrar Analysis_flag='Main' (569 filas).</t>
  </si>
  <si>
    <t>LISTO</t>
  </si>
  <si>
    <t>Efectos con varianza reconstruida</t>
  </si>
  <si>
    <t>Está en STUDIES pero no en EFFECTS_READY por tipo de barra no identificado.</t>
  </si>
  <si>
    <t>Mantener fuera del cuantitativo hasta resolver SD/SE.</t>
  </si>
  <si>
    <t>Efectos digitalizados/vectoriales</t>
  </si>
  <si>
    <t>Genotipo transgénico CACEFO2021</t>
  </si>
  <si>
    <t>Los efectos del transgénico y WT están ambos como Main.</t>
  </si>
  <si>
    <t>Conservar, pero añadir bandera Genotype_type y sensibilidad sin transgénico.</t>
  </si>
  <si>
    <t>Efectos con dosis no numérica</t>
  </si>
  <si>
    <t>Múltiples publicaciones/experimentos</t>
  </si>
  <si>
    <t>Study_ID identifica publicación, pero no existe Experiment_ID formal.</t>
  </si>
  <si>
    <t>Auditar posibles publicaciones del mismo experimento y crear Experiment_ID.</t>
  </si>
  <si>
    <t>Effects_total</t>
  </si>
  <si>
    <t>Sensitivity</t>
  </si>
  <si>
    <t>Direct_table</t>
  </si>
  <si>
    <t>Digitized_vector</t>
  </si>
  <si>
    <t>Reconstructed_variance</t>
  </si>
  <si>
    <t>Shared_controls</t>
  </si>
  <si>
    <t>Max_abs_lnRR</t>
  </si>
  <si>
    <t>Max_abs_RR</t>
  </si>
  <si>
    <t>QC_types</t>
  </si>
  <si>
    <t>RR</t>
  </si>
  <si>
    <t>Publication_ID</t>
  </si>
  <si>
    <t>Experiment_ID</t>
  </si>
  <si>
    <t>Biological_cluster_ID</t>
  </si>
  <si>
    <t>Contrast_ID</t>
  </si>
  <si>
    <t>Control_Group_ID</t>
  </si>
  <si>
    <t>Procedure_stage</t>
  </si>
  <si>
    <t>Nutrient_std</t>
  </si>
  <si>
    <t>Chemical_form</t>
  </si>
  <si>
    <t>Outcome_type_std</t>
  </si>
  <si>
    <t>Dose_original</t>
  </si>
  <si>
    <t>Dose_unit_original</t>
  </si>
  <si>
    <t>Dose_mM</t>
  </si>
  <si>
    <t>Dose_normalization_status</t>
  </si>
  <si>
    <t>Genotype_type</t>
  </si>
  <si>
    <t>Variance_source_std</t>
  </si>
  <si>
    <t>Data_source_std</t>
  </si>
  <si>
    <t>Primary_model_include</t>
  </si>
  <si>
    <t>Flag_low_stress</t>
  </si>
  <si>
    <t>Flag_reconstructed_variance</t>
  </si>
  <si>
    <t>Flag_digitized</t>
  </si>
  <si>
    <t>Flag_transgenic</t>
  </si>
  <si>
    <t>Flag_extreme_abs_lnRR_ge1</t>
  </si>
  <si>
    <t>Dependency_note</t>
  </si>
  <si>
    <t>SADDIQUE2022|Desi Palak|100 mM NaCl|NA</t>
  </si>
  <si>
    <t>SADDIQUE2022|Desi Palak|100 mM NaCl|NA|Methionine|250|mg/L|Foliar</t>
  </si>
  <si>
    <t>Total/elemental</t>
  </si>
  <si>
    <t>Tissue mineral concentration/content</t>
  </si>
  <si>
    <t>Converted from mg/L or aqueous ppm</t>
  </si>
  <si>
    <t>Conventional/non-transgenic or not specified</t>
  </si>
  <si>
    <t>Reported SE</t>
  </si>
  <si>
    <t>Figure digitization</t>
  </si>
  <si>
    <t>Effects within the same Biological_cluster_ID may share plants, controls, organs and/or repeated outcome measurements; do not treat as independent.</t>
  </si>
  <si>
    <t>SADDIQUE2022|Desi Palak|100 mM NaCl|NA|Phenylalanine|250|mg/L|Foliar</t>
  </si>
  <si>
    <t>SADDIQUE2022|Desi Palak|100 mM NaCl|NA|Proline|250|mg/L|Foliar</t>
  </si>
  <si>
    <t>SADDIQUE2022|Desi Palak|100 mM NaCl|NA|Tyrosine|250|mg/L|Foliar</t>
  </si>
  <si>
    <t>SADDIQUE2022|Desi Palak|100 mM NaCl|NA|Met+Phe+Pro+Tyr mixture|1000|mg/L total|Foliar</t>
  </si>
  <si>
    <t>Not normalized: mixture/formulation/non-numeric dose</t>
  </si>
  <si>
    <t>SADDIQUE2022|VRI-2019|100 mM NaCl|NA</t>
  </si>
  <si>
    <t>SADDIQUE2022|VRI-2019|100 mM NaCl|NA|Methionine|250|mg/L|Foliar</t>
  </si>
  <si>
    <t>SADDIQUE2022|VRI-2019|100 mM NaCl|NA|Phenylalanine|250|mg/L|Foliar</t>
  </si>
  <si>
    <t>SADDIQUE2022|VRI-2019|100 mM NaCl|NA|Proline|250|mg/L|Foliar</t>
  </si>
  <si>
    <t>SADDIQUE2022|VRI-2019|100 mM NaCl|NA|Tyrosine|250|mg/L|Foliar</t>
  </si>
  <si>
    <t>SADDIQUE2022|VRI-2019|100 mM NaCl|NA|Met+Phe+Pro+Tyr mixture|1000|mg/L total|Foliar</t>
  </si>
  <si>
    <t>ABORYIA2022|NA|5000 ppm diluted seawater|NA</t>
  </si>
  <si>
    <t>ABORYIA2022|NA|5000 ppm diluted seawater|NA|Proline|300|ppm|Foliar</t>
  </si>
  <si>
    <t>ABORYIA2022|NA|5000 ppm diluted seawater|NA|Proline|450|ppm|Foliar</t>
  </si>
  <si>
    <t>ABORYIA2022|NA|10000 ppm diluted seawater|NA</t>
  </si>
  <si>
    <t>ABORYIA2022|NA|10000 ppm diluted seawater|NA|Proline|300|ppm|Foliar</t>
  </si>
  <si>
    <t>ABORYIA2022|NA|10000 ppm diluted seawater|NA|Proline|450|ppm|Foliar</t>
  </si>
  <si>
    <t>ABORYIA2022|NA|15000 ppm diluted seawater|NA</t>
  </si>
  <si>
    <t>ABORYIA2022|NA|15000 ppm diluted seawater|NA|Proline|300|ppm|Foliar</t>
  </si>
  <si>
    <t>ABORYIA2022|NA|15000 ppm diluted seawater|NA|Proline|450|ppm|Foliar</t>
  </si>
  <si>
    <t>ALI2008|EV-1098|60% field capacity|Seedling</t>
  </si>
  <si>
    <t>ALI2008|EV-1098|60% field capacity|Seedling|Proline|30|mM|Foliar</t>
  </si>
  <si>
    <t>Direct mM</t>
  </si>
  <si>
    <t>Vector digitization</t>
  </si>
  <si>
    <t>ALI2008|EV-1098|60% field capacity|Seedling|Proline|60|mM|Foliar</t>
  </si>
  <si>
    <t>ALI2008|Agaiti 2002|60% field capacity|Seedling</t>
  </si>
  <si>
    <t>ALI2008|Agaiti 2002|60% field capacity|Seedling|Proline|30|mM|Foliar</t>
  </si>
  <si>
    <t>ALI2008|Agaiti 2002|60% field capacity|Seedling|Proline|60|mM|Foliar</t>
  </si>
  <si>
    <t>ALI2008|EV-1098|60% field capacity|Vegetative</t>
  </si>
  <si>
    <t>ALI2008|EV-1098|60% field capacity|Vegetative|Proline|30|mM|Foliar</t>
  </si>
  <si>
    <t>ALI2008|EV-1098|60% field capacity|Vegetative|Proline|60|mM|Foliar</t>
  </si>
  <si>
    <t>ALI2008|Agaiti 2002|60% field capacity|Vegetative</t>
  </si>
  <si>
    <t>ALI2008|Agaiti 2002|60% field capacity|Vegetative|Proline|30|mM|Foliar</t>
  </si>
  <si>
    <t>ALI2008|Agaiti 2002|60% field capacity|Vegetative|Proline|60|mM|Foliar</t>
  </si>
  <si>
    <t>ALI2008|EV-1098|60% field capacity|Seedling+Vegetative</t>
  </si>
  <si>
    <t>ALI2008|EV-1098|60% field capacity|Seedling+Vegetative|Proline|30|mM|Foliar</t>
  </si>
  <si>
    <t>ALI2008|EV-1098|60% field capacity|Seedling+Vegetative|Proline|60|mM|Foliar</t>
  </si>
  <si>
    <t>ALI2008|Agaiti 2002|60% field capacity|Seedling+Vegetative</t>
  </si>
  <si>
    <t>ALI2008|Agaiti 2002|60% field capacity|Seedling+Vegetative|Proline|30|mM|Foliar</t>
  </si>
  <si>
    <t>ALI2008|Agaiti 2002|60% field capacity|Seedling+Vegetative|Proline|60|mM|Foliar</t>
  </si>
  <si>
    <t>HAYAT2021|NA|4 mg/mL Cd (as reported)|NA</t>
  </si>
  <si>
    <t>HAYAT2021|NA|4 mg/mL Cd (as reported)|NA|Proline|3|mM|Irrigation/root-zone</t>
  </si>
  <si>
    <t>Reported SD</t>
  </si>
  <si>
    <t>Direct table</t>
  </si>
  <si>
    <t>HAYAT2021|NA|4 mg/mL Cd (as reported)|NA|Proline|6|mM|Irrigation/root-zone</t>
  </si>
  <si>
    <t>HAYAT2021|NA|8 mg/mL Cd (as reported)|NA</t>
  </si>
  <si>
    <t>HAYAT2021|NA|8 mg/mL Cd (as reported)|NA|Proline|3|mM|Irrigation/root-zone</t>
  </si>
  <si>
    <t>HAYAT2021|NA|8 mg/mL Cd (as reported)|NA|Proline|6|mM|Irrigation/root-zone</t>
  </si>
  <si>
    <t>AHMED2020|NA|2 g/L NaCl|NA</t>
  </si>
  <si>
    <t>AHMED2020|NA|2 g/L NaCl|NA|Arginine|150|mg/L|Foliar</t>
  </si>
  <si>
    <t>AHMED2020|NA|2 g/L NaCl|NA|Arginine|300|mg/L|Foliar</t>
  </si>
  <si>
    <t>AHMED2020|NA|4 g/L NaCl|NA</t>
  </si>
  <si>
    <t>AHMED2020|NA|4 g/L NaCl|NA|Arginine|150|mg/L|Foliar</t>
  </si>
  <si>
    <t>AHMED2020|NA|4 g/L NaCl|NA|Arginine|300|mg/L|Foliar</t>
  </si>
  <si>
    <t>GAO2025|American Celery|100 mM NaCl|NA</t>
  </si>
  <si>
    <t>GAO2025|American Celery|100 mM NaCl|NA|Proline|0.3|mM|Foliar</t>
  </si>
  <si>
    <t>SHAHBAZ2013|L-888|150 mM NaCl|NA</t>
  </si>
  <si>
    <t>SHAHBAZ2013|L-888|150 mM NaCl|NA|Proline|10|mM|Foliar</t>
  </si>
  <si>
    <t>SHAHBAZ2013|L-888|150 mM NaCl|NA|Proline|20|mM|Foliar</t>
  </si>
  <si>
    <t>SHAHBAZ2013|Round|150 mM NaCl|NA</t>
  </si>
  <si>
    <t>SHAHBAZ2013|Round|150 mM NaCl|NA|Proline|10|mM|Foliar</t>
  </si>
  <si>
    <t>SHAHBAZ2013|Round|150 mM NaCl|NA|Proline|20|mM|Foliar</t>
  </si>
  <si>
    <t>ALFOSEA2020|Optima|50 mM NaCl|NA</t>
  </si>
  <si>
    <t>ALFOSEA2020|Optima|50 mM NaCl|NA|Proline+Glutamate mixture|10 mL/L of 5% stock per AA|reported formulation|Foliar</t>
  </si>
  <si>
    <t>ALFOSEA2020|Optima|50 mM NaCl|NA|Methionine+Tryptophan mixture|10 mL/L of 5% stock per AA|reported formulation|Foliar</t>
  </si>
  <si>
    <t>ALFOSEA2020|Optima|50 mM NaCl|NA|Methionine|10 mL/L of 5% stock per AA|reported formulation|Foliar</t>
  </si>
  <si>
    <t>ALFOSEA2020|Optima|50 mM NaCl|NA|Arginine|10 mL/L of 5% stock per AA|reported formulation|Foliar</t>
  </si>
  <si>
    <t>ALFOSEA2020|Optima|50 mM NaCl|NA|Methionine+Arginine mixture|10 mL/L of 5% stock per AA|reported formulation|Foliar</t>
  </si>
  <si>
    <t>ALFOSEA2020|Optima|50 mM NaCl|NA|Proline|10 mL/L of 5% stock per AA|reported formulation|Foliar</t>
  </si>
  <si>
    <t>ALFOSEA2020|Optima|50 mM NaCl|NA|Tryptophan|10 mL/L of 5% stock per AA|reported formulation|Foliar</t>
  </si>
  <si>
    <t>ALFOSEA2020|Optima|50 mM NaCl|NA|Glutamate|10 mL/L of 5% stock per AA|reported formulation|Foliar</t>
  </si>
  <si>
    <t>SHAHID2021|FH1275|80 mM NaCl|NA</t>
  </si>
  <si>
    <t>SHAHID2021|FH1275|80 mM NaCl|NA|Methionine|5|mg/L|Foliar</t>
  </si>
  <si>
    <t>Reconstructed (MSE/LSD)</t>
  </si>
  <si>
    <t>SHAHID2021|FH1275|80 mM NaCl|NA|Methionine|10|mg/L|Foliar</t>
  </si>
  <si>
    <t>SHAHID2021|FH936|80 mM NaCl|NA</t>
  </si>
  <si>
    <t>SHAHID2021|FH936|80 mM NaCl|NA|Methionine|5|mg/L|Foliar</t>
  </si>
  <si>
    <t>SHAHID2021|FH936|80 mM NaCl|NA|Methionine|10|mg/L|Foliar</t>
  </si>
  <si>
    <t>SHAHID2021|FH1231|80 mM NaCl|NA</t>
  </si>
  <si>
    <t>SHAHID2021|FH1231|80 mM NaCl|NA|Methionine|5|mg/L|Foliar</t>
  </si>
  <si>
    <t>SHAHID2021|FH1231|80 mM NaCl|NA|Methionine|10|mg/L|Foliar</t>
  </si>
  <si>
    <t>SHAHID2021|FH1227|80 mM NaCl|NA</t>
  </si>
  <si>
    <t>SHAHID2021|FH1227|80 mM NaCl|NA|Methionine|5|mg/L|Foliar</t>
  </si>
  <si>
    <t>SHAHID2021|FH1227|80 mM NaCl|NA|Methionine|10|mg/L|Foliar</t>
  </si>
  <si>
    <t>MAQSOOD2022|Galaxy-13|35–40% field capacity|NA</t>
  </si>
  <si>
    <t>MAQSOOD2022|Galaxy-13|35–40% field capacity|NA|Methionine|4|mM|Foliar</t>
  </si>
  <si>
    <t>MAQSOOD2022|Johar-16|35–40% field capacity|NA</t>
  </si>
  <si>
    <t>MAQSOOD2022|Johar-16|35–40% field capacity|NA|Methionine|4|mM|Foliar</t>
  </si>
  <si>
    <t>WU2017|Gansu|25 mM NaCl|NA</t>
  </si>
  <si>
    <t>WU2017|Gansu|25 mM NaCl|NA|Proline|2.5|mM|Root-zone/nutrient solution</t>
  </si>
  <si>
    <t>WU2017|Gansu|100 mM NaCl|NA</t>
  </si>
  <si>
    <t>WU2017|Gansu|100 mM NaCl|NA|Proline|2.5|mM|Root-zone/nutrient solution</t>
  </si>
  <si>
    <t>SUN2022|Lu Xing|5 mM CuCl2·2H2O|NA</t>
  </si>
  <si>
    <t>SUN2022|Lu Xing|5 mM CuCl2·2H2O|NA|Leucine|10|mM|Soil/root-zone</t>
  </si>
  <si>
    <t>Nitrate-N</t>
  </si>
  <si>
    <t>Ammonium-N</t>
  </si>
  <si>
    <t>FARDUS2021|BARI Masur-7|110 mM NaCl|NA</t>
  </si>
  <si>
    <t>FARDUS2021|BARI Masur-7|110 mM NaCl|NA|Glutamate|10|mM|Pretreatment/root-zone</t>
  </si>
  <si>
    <t>GHAFOOR2026|Hyb-357|100 mM NaCl|NA</t>
  </si>
  <si>
    <t>GHAFOOR2026|Hyb-357|100 mM NaCl|NA|Phenylalanine|10|mM|Foliar</t>
  </si>
  <si>
    <t>GHAFOOR2026|Hyb-357|100 mM NaCl|NA|Phenylalanine|20|mM|Foliar</t>
  </si>
  <si>
    <t>GHAFOOR2026|Hyb-357|100 mM NaCl|NA|Phenylalanine|30|mM|Foliar</t>
  </si>
  <si>
    <t>GHAFOOR2026|Hyb-357|100 mM NaCl|NA|Phenylalanine|40|mM|Foliar</t>
  </si>
  <si>
    <t>TURFAN2026|Efsun F1|250 mM NaCl|NA</t>
  </si>
  <si>
    <t>TURFAN2026|Efsun F1|250 mM NaCl|NA|Asparagine|2.4|mM|Foliar</t>
  </si>
  <si>
    <t>TURFAN2026|Efsun F1|250 mM NaCl|NA|Phenylalanine|4.6|mM|Foliar</t>
  </si>
  <si>
    <t>TURFAN2026|Efsun F1|250 mM NaCl|NA|Tryptophan|3.6|mM|Foliar</t>
  </si>
  <si>
    <t>SELOVIC2023|NA|0.25 mM Cd(NO3)2|NA</t>
  </si>
  <si>
    <t>SELOVIC2023|NA|0.25 mM Cd(NO3)2|NA|Proline|10|mM|Seed priming</t>
  </si>
  <si>
    <t>SELOVIC2023|NA|0.25 mM Cd(NO3)2|NA|Proline|20|mM|Seed priming</t>
  </si>
  <si>
    <t>NOREEN2018|FSD-83|400 µM CuSO4·5H2O|NA</t>
  </si>
  <si>
    <t>NOREEN2018|FSD-83|400 µM CuSO4·5H2O|NA|Proline|80|mM|Foliar</t>
  </si>
  <si>
    <t>Reported means + reconstructed variance</t>
  </si>
  <si>
    <t>NOREEN2018|MH-97|400 µM CuSO4·5H2O|NA</t>
  </si>
  <si>
    <t>NOREEN2018|MH-97|400 µM CuSO4·5H2O|NA|Proline|80|mM|Foliar</t>
  </si>
  <si>
    <t>NOREEN2018|Punjab-96|400 µM CuSO4·5H2O|NA</t>
  </si>
  <si>
    <t>NOREEN2018|Punjab-96|400 µM CuSO4·5H2O|NA|Proline|80|mM|Foliar</t>
  </si>
  <si>
    <t>BADRAN2014|Misr1|75 mM NaCl|NA</t>
  </si>
  <si>
    <t>BADRAN2014|Misr1|75 mM NaCl|NA|Glycine|5|mM|Nutrient solution/root-zone</t>
  </si>
  <si>
    <t>BADRAN2014|Misr1|150 mM NaCl|NA</t>
  </si>
  <si>
    <t>BADRAN2014|Misr1|150 mM NaCl|NA|Glycine|5|mM|Nutrient solution/root-zone</t>
  </si>
  <si>
    <t>BADRAN2014|Misr1|225 mM NaCl|NA</t>
  </si>
  <si>
    <t>BADRAN2014|Misr1|225 mM NaCl|NA|Glycine|5|mM|Nutrient solution/root-zone</t>
  </si>
  <si>
    <t>HUANG2009|Jinchun No. 2|100 mM NaCl|NA</t>
  </si>
  <si>
    <t>HUANG2009|Jinchun No. 2|100 mM NaCl|NA|Proline|10|mM|Foliar</t>
  </si>
  <si>
    <t>BUSHRA2023|Punjab 2011|30% water holding capacity|Soil 7d</t>
  </si>
  <si>
    <t>BUSHRA2023|Punjab 2011|30% water holding capacity|Soil 7d|Proline|30|mM|Soil</t>
  </si>
  <si>
    <t>BUSHRA2023|Punjab 2011|30% water holding capacity|Foliar 7d</t>
  </si>
  <si>
    <t>BUSHRA2023|Punjab 2011|30% water holding capacity|Foliar 7d|Proline|30|mM|Foliar</t>
  </si>
  <si>
    <t>BUSHRA2023|Punjab 2011|30% water holding capacity|Foliar 14d</t>
  </si>
  <si>
    <t>BUSHRA2023|Punjab 2011|30% water holding capacity|Foliar 14d|Proline|30|mM|Foliar</t>
  </si>
  <si>
    <t>BUSHRA2023|Punjab 2011|30% water holding capacity|Foliar 7+14d</t>
  </si>
  <si>
    <t>BUSHRA2023|Punjab 2011|30% water holding capacity|Foliar 7+14d|Proline|30|mM|Foliar</t>
  </si>
  <si>
    <t>ABDELKADER2023|Dachny|50 mM NaCl|NA</t>
  </si>
  <si>
    <t>ABDELKADER2023|Dachny|50 mM NaCl|NA|Histidine|0.5|g/L|Foliar</t>
  </si>
  <si>
    <t>Converted from g/L</t>
  </si>
  <si>
    <t>ABDELKADER2023|Dachny|50 mM NaCl|NA|Lysine|0.5|g/L|Foliar</t>
  </si>
  <si>
    <t>ABDELKADER2023|Dachny|50 mM NaCl|NA|Phenylalanine|0.5|g/L|Foliar</t>
  </si>
  <si>
    <t>ABDELKADER2023|Dachny|50 mM NaCl|NA|Threonine|0.5|g/L|Foliar</t>
  </si>
  <si>
    <t>ZOUARI2016|Chemlali|10 mg CdCl2 kg^-1 soil|NA</t>
  </si>
  <si>
    <t>ZOUARI2016|Chemlali|10 mg CdCl2 kg^-1 soil|NA|Proline|10|mM|Irrigation/root-zone</t>
  </si>
  <si>
    <t>ZOUARI2016|Chemlali|10 mg CdCl2 kg^-1 soil|NA|Proline|20|mM|Irrigation/root-zone</t>
  </si>
  <si>
    <t>ZOUARI2016|Chemlali|30 mg CdCl2 kg^-1 soil|NA</t>
  </si>
  <si>
    <t>ZOUARI2016|Chemlali|30 mg CdCl2 kg^-1 soil|NA|Proline|10|mM|Irrigation/root-zone</t>
  </si>
  <si>
    <t>ZOUARI2016|Chemlali|30 mg CdCl2 kg^-1 soil|NA|Proline|20|mM|Irrigation/root-zone</t>
  </si>
  <si>
    <t>ALSHAHARNI2026|NA|100 mM NaCl|NA</t>
  </si>
  <si>
    <t>ALSHAHARNI2026|NA|100 mM NaCl|NA|Glutamate|0.5|mM|Root-zone/nutrient solution</t>
  </si>
  <si>
    <t>ALSHAHARNI2026|NA|100 mM NaCl|NA|Glutamate|1|mM|Root-zone/nutrient solution</t>
  </si>
  <si>
    <t>ALSHAHARNI2026|NA|100 mM NaCl|NA|Glutamate|2|mM|Root-zone/nutrient solution</t>
  </si>
  <si>
    <t>ALSHAHARNI2026|NA|100 mM NaCl|NA|Glutamate|5|mM|Root-zone/nutrient solution</t>
  </si>
  <si>
    <t>ELHAKEM2026|Not specified|75% WFC|NA</t>
  </si>
  <si>
    <t>ELHAKEM2026|Not specified|75% WFC|NA|Proline|10|mM|Foliar</t>
  </si>
  <si>
    <t>ELHAKEM2026|Not specified|50% WFC|NA</t>
  </si>
  <si>
    <t>ELHAKEM2026|Not specified|50% WFC|NA|Proline|10|mM|Foliar</t>
  </si>
  <si>
    <t>ELHAKEM2026|Not specified|25% WFC|NA</t>
  </si>
  <si>
    <t>ELHAKEM2026|Not specified|25% WFC|NA|Proline|10|mM|Foliar</t>
  </si>
  <si>
    <t>MAHBOOB2016|Khirman|60 mM NaCl|NA</t>
  </si>
  <si>
    <t>MAHBOOB2016|Khirman|60 mM NaCl|NA|Proline|50|mM|Foliar</t>
  </si>
  <si>
    <t>MAHBOOB2016|Khirman|60 mM NaCl|NA|Proline|100|mM|Foliar</t>
  </si>
  <si>
    <t>MAHBOOB2016|Khirman|120 mM NaCl|NA</t>
  </si>
  <si>
    <t>MAHBOOB2016|Khirman|120 mM NaCl|NA|Proline|50|mM|Foliar</t>
  </si>
  <si>
    <t>MAHBOOB2016|Khirman|120 mM NaCl|NA|Proline|100|mM|Foliar</t>
  </si>
  <si>
    <t>MAHBOOB2016|ESW-9525|60 mM NaCl|NA</t>
  </si>
  <si>
    <t>MAHBOOB2016|ESW-9525|60 mM NaCl|NA|Proline|50|mM|Foliar</t>
  </si>
  <si>
    <t>MAHBOOB2016|ESW-9525|60 mM NaCl|NA|Proline|100|mM|Foliar</t>
  </si>
  <si>
    <t>MAHBOOB2016|ESW-9525|120 mM NaCl|NA</t>
  </si>
  <si>
    <t>MAHBOOB2016|ESW-9525|120 mM NaCl|NA|Proline|50|mM|Foliar</t>
  </si>
  <si>
    <t>MAHBOOB2016|ESW-9525|120 mM NaCl|NA|Proline|100|mM|Foliar</t>
  </si>
  <si>
    <t>ZOUARI2016_DATEPALM|Deglet Nour|10 mg CdCl2 kg^-1 soil|NA</t>
  </si>
  <si>
    <t>ZOUARI2016_DATEPALM|Deglet Nour|10 mg CdCl2 kg^-1 soil|NA|Proline|20|mM|Irrigation/root-zone</t>
  </si>
  <si>
    <t>ZOUARI2016_DATEPALM|Deglet Nour|30 mg CdCl2 kg^-1 soil|NA</t>
  </si>
  <si>
    <t>ZOUARI2016_DATEPALM|Deglet Nour|30 mg CdCl2 kg^-1 soil|NA|Proline|20|mM|Irrigation/root-zone</t>
  </si>
  <si>
    <t>GENC2021|Bayraktar-2000|1000 µM Cd(NO3)2·4H2O|NA</t>
  </si>
  <si>
    <t>GENC2021|Bayraktar-2000|1000 µM Cd(NO3)2·4H2O|NA|Proline|1|mM|Root-zone/nutrient solution</t>
  </si>
  <si>
    <t>GENC2021|Bayraktar-2000|1000 µM Cd(NO3)2·4H2O|NA|Proline|10|mM|Root-zone/nutrient solution</t>
  </si>
  <si>
    <t>GENC2021|Bayraktar-2000|1000 µM Cd(NO3)2·4H2O|NA|Proline|20|mM|Root-zone/nutrient solution</t>
  </si>
  <si>
    <t>KHAJEHZADEH2022|Shahpsand|55-day irrigation interval|NA</t>
  </si>
  <si>
    <t>KHAJEHZADEH2022|Shahpsand|55-day irrigation interval|NA|Asparagine|150|mg/L|Foliar</t>
  </si>
  <si>
    <t>KHAJEHZADEH2022|Shahpsand|55-day irrigation interval|NA|Asparagine|300|mg/L|Foliar</t>
  </si>
  <si>
    <t>KHAJEHZADEH2022|Shahpsand|55-day irrigation interval|NA|Glutamine|150|mg/L|Foliar</t>
  </si>
  <si>
    <t>KHAJEHZADEH2022|Shahpsand|55-day irrigation interval|NA|Asparagine+Glutamine mixture|Asn150+Gln150|mg/L components|Foliar</t>
  </si>
  <si>
    <t>KHAJEHZADEH2022|Shahpsand|55-day irrigation interval|NA|Asparagine+Glutamine mixture|Asn300+Gln150|mg/L components|Foliar</t>
  </si>
  <si>
    <t>KHAJEHZADEH2022|Shahpsand|55-day irrigation interval|NA|Glutamine|300|mg/L|Foliar</t>
  </si>
  <si>
    <t>KHAJEHZADEH2022|Shahpsand|55-day irrigation interval|NA|Asparagine+Glutamine mixture|Asn150+Gln300|mg/L components|Foliar</t>
  </si>
  <si>
    <t>KHAJEHZADEH2022|Shahpsand|55-day irrigation interval|NA|Asparagine+Glutamine mixture|Asn300+Gln300|mg/L components|Foliar</t>
  </si>
  <si>
    <t>KHAJEHZADEH2022|Shahpsand|75-day irrigation interval|NA</t>
  </si>
  <si>
    <t>KHAJEHZADEH2022|Shahpsand|75-day irrigation interval|NA|Asparagine|150|mg/L|Foliar</t>
  </si>
  <si>
    <t>KHAJEHZADEH2022|Shahpsand|75-day irrigation interval|NA|Asparagine|300|mg/L|Foliar</t>
  </si>
  <si>
    <t>KHAJEHZADEH2022|Shahpsand|75-day irrigation interval|NA|Glutamine|150|mg/L|Foliar</t>
  </si>
  <si>
    <t>KHAJEHZADEH2022|Shahpsand|75-day irrigation interval|NA|Asparagine+Glutamine mixture|Asn150+Gln150|mg/L components|Foliar</t>
  </si>
  <si>
    <t>KHAJEHZADEH2022|Shahpsand|75-day irrigation interval|NA|Asparagine+Glutamine mixture|Asn300+Gln150|mg/L components|Foliar</t>
  </si>
  <si>
    <t>KHAJEHZADEH2022|Shahpsand|75-day irrigation interval|NA|Glutamine|300|mg/L|Foliar</t>
  </si>
  <si>
    <t>KHAJEHZADEH2022|Shahpsand|75-day irrigation interval|NA|Asparagine+Glutamine mixture|Asn150+Gln300|mg/L components|Foliar</t>
  </si>
  <si>
    <t>KHAJEHZADEH2022|Shahpsand|75-day irrigation interval|NA|Asparagine+Glutamine mixture|Asn300+Gln300|mg/L components|Foliar</t>
  </si>
  <si>
    <t>CACEFO2021|Petit Havana SR1|9 d water withholding (~20% moisture of irrigated pots)|NA</t>
  </si>
  <si>
    <t>CACEFO2021|Petit Havana SR1|9 d water withholding (~20% moisture of irrigated pots)|NA|Proline|10|mM|Foliar</t>
  </si>
  <si>
    <t>CACEFO2021|VaP5CSF129A transgenic|9 d water withholding (~20% moisture of irrigated pots)|NA</t>
  </si>
  <si>
    <t>CACEFO2021|VaP5CSF129A transgenic|9 d water withholding (~20% moisture of irrigated pots)|NA|Proline|10|mM|Foliar</t>
  </si>
  <si>
    <t>Proline-overproducing transgenic</t>
  </si>
  <si>
    <t>KOC2024|YNU31-2-4 (ST)|75 mM NaCl</t>
  </si>
  <si>
    <t>KOC2024|YNU31-2-4 (ST)|75 mM NaCl|Proline|10|mM|Irrigation/root-zone</t>
  </si>
  <si>
    <t>Already mM</t>
  </si>
  <si>
    <t>Effects within the same Biological_cluster_ID and/or Control_Group_ID share experimental units or controls; do not treat as independent.</t>
  </si>
  <si>
    <t>KOC2024|YNU31-2-4 Sister Line (SS)|75 mM NaCl</t>
  </si>
  <si>
    <t>KOC2024|YNU31-2-4 Sister Line (SS)|75 mM NaCl|Proline|10|mM|Irrigation/root-zone</t>
  </si>
  <si>
    <t>YAN2025|Zhonghuang 13|100 mM NaCl</t>
  </si>
  <si>
    <t>YAN2025|Zhonghuang 13|100 mM NaCl|Proline|150|mM|Nutrient solution/root-zone</t>
  </si>
  <si>
    <t>Molecular_weight</t>
  </si>
  <si>
    <t>Use</t>
  </si>
  <si>
    <t>g/mol</t>
  </si>
  <si>
    <t>Used only for individual-AA dose normalization</t>
  </si>
  <si>
    <t>GUÍA PARA EL META-ANÁLISIS – USAR META_ANALYSIS_READY</t>
  </si>
  <si>
    <t>Paso</t>
  </si>
  <si>
    <t>Variable/criterio</t>
  </si>
  <si>
    <t>Uso recomendado</t>
  </si>
  <si>
    <t>Comentario</t>
  </si>
  <si>
    <t>1</t>
  </si>
  <si>
    <t>Filtrar = 1</t>
  </si>
  <si>
    <t>Deja 569 efectos del análisis principal; excluye 6 efectos de baja intensidad de estrés.</t>
  </si>
  <si>
    <t>2</t>
  </si>
  <si>
    <t>Nivel publicación</t>
  </si>
  <si>
    <t>Identifica cada artículo.</t>
  </si>
  <si>
    <t>3</t>
  </si>
  <si>
    <t>Nivel experimento provisional</t>
  </si>
  <si>
    <t>Actualmente igual a Study_ID. Debe cambiarse solo si confirmamos publicaciones distintas del mismo experimento.</t>
  </si>
  <si>
    <t>4</t>
  </si>
  <si>
    <t>Nivel de dependencia biológica</t>
  </si>
  <si>
    <t>Agrupa efectos de mismo estudio/cultivar/estrés/etapa; usar como nivel aleatorio o cluster RVE.</t>
  </si>
  <si>
    <t>5</t>
  </si>
  <si>
    <t>Tratamiento vs control</t>
  </si>
  <si>
    <t>Agrupa múltiples nutrientes/órganos obtenidos del mismo contraste.</t>
  </si>
  <si>
    <t>6</t>
  </si>
  <si>
    <t>Control biológico amplio</t>
  </si>
  <si>
    <t>Complementa Shared_Control_ID, que es outcome-específico.</t>
  </si>
  <si>
    <t>7</t>
  </si>
  <si>
    <t>Nutrient_std + Chemical_form</t>
  </si>
  <si>
    <t>Subgrupos por nutriente</t>
  </si>
  <si>
    <t>NO3-/NO3-N/NH4-N se armonizan como N, preservando la forma química.</t>
  </si>
  <si>
    <t>8</t>
  </si>
  <si>
    <t>Meta-regresión de dosis</t>
  </si>
  <si>
    <t>Usar solo cuando Dose_normalization_status indica conversión válida; no forzar mezclas/formulaciones.</t>
  </si>
  <si>
    <t>9</t>
  </si>
  <si>
    <t>Sensibilidad</t>
  </si>
  <si>
    <t>Repetir análisis excluyendo filas =1.</t>
  </si>
  <si>
    <t>10</t>
  </si>
  <si>
    <t>Comparar modelo completo con datos no digitalizados/alta calidad.</t>
  </si>
  <si>
    <t>11</t>
  </si>
  <si>
    <t>Repetir sin el genotipo transgénico de CACEFO2021.</t>
  </si>
  <si>
    <t>Modelo sugerido</t>
  </si>
  <si>
    <t>Descripción</t>
  </si>
  <si>
    <t>Efecto</t>
  </si>
  <si>
    <t>Varianza muestral</t>
  </si>
  <si>
    <t>Estructura mínima</t>
  </si>
  <si>
    <t>Efectos anidados en Biological_cluster_ID y Publication_ID</t>
  </si>
  <si>
    <t>Alternativa robusta</t>
  </si>
  <si>
    <t>Robust variance estimation (RVE) con cluster = Biological_cluster_ID</t>
  </si>
  <si>
    <t>Controles compartidos</t>
  </si>
  <si>
    <t>No asumir independencia; Shared_Control_ID y Control_Group_ID deben considerarse al construir V/cluster.</t>
  </si>
  <si>
    <t>Extremos</t>
  </si>
  <si>
    <t>Flag_extreme_abs_lnRR_ge1 es solo una señal para diagnóstico de influencia; NO es criterio de exclusión.</t>
  </si>
  <si>
    <t>Sigue fuera de META_ANALYSIS_READY hasta resolver si sus barras son SD o SE.</t>
  </si>
  <si>
    <t>RESUMEN DE LA BASE ESTADÍSTICA ACTUALIZADA</t>
  </si>
  <si>
    <t>Efectos totales</t>
  </si>
  <si>
    <t>Efectos análisis principal</t>
  </si>
  <si>
    <t>Efectos baja intensidad (sensibilidad)</t>
  </si>
  <si>
    <t>Efectos varianza reconstruida</t>
  </si>
  <si>
    <t>Efectos genotipo transgénico</t>
  </si>
  <si>
    <t>Efectos |lnRR| ≥ 1 para revisión de influencia</t>
  </si>
  <si>
    <t>Pendiente; no incluido</t>
  </si>
  <si>
    <t>NOTE</t>
  </si>
  <si>
    <t>Means and SD were digitized/approximated from the published figures. Verify against raw author data if it becomes available.</t>
  </si>
  <si>
    <t>Actualización</t>
  </si>
  <si>
    <t>Efectos previos</t>
  </si>
  <si>
    <t>Nuevos efectos KOC2024</t>
  </si>
  <si>
    <t>Nuevos efectos YAN2025</t>
  </si>
  <si>
    <t>Study_ID únicos previos</t>
  </si>
  <si>
    <t>Study_ID únicos actualizados</t>
  </si>
  <si>
    <t>Nota</t>
  </si>
  <si>
    <t>Los 13 nuevos efectos fueron digitalizados de figuras; las SD se aproximaron a partir de las barras de error reportadas como 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</si>
</sst>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203864"/>
      </patternFill>
    </fill>
    <fill>
      <patternFill patternType="solid">
        <fgColor rgb="FFC65911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C0504D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8064A2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ED7D31"/>
      </patternFill>
    </fill>
    <fill>
      <patternFill patternType="solid">
        <fgColor rgb="FF5B9BD5"/>
      </patternFill>
    </fill>
    <fill>
      <patternFill patternType="solid">
        <fgColor rgb="FFC00000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5B9BD5"/>
      </patternFill>
    </fill>
    <fill>
      <patternFill patternType="solid">
        <fgColor rgb="FFA5A5A5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8064A2"/>
      </patternFill>
    </fill>
    <fill>
      <patternFill patternType="solid">
        <fgColor rgb="FF5B9BD5"/>
      </patternFill>
    </fill>
    <fill>
      <patternFill patternType="solid">
        <fgColor rgb="FFFFC000"/>
      </patternFill>
    </fill>
    <fill>
      <patternFill patternType="solid">
        <fgColor rgb="FFA5A5A5"/>
      </patternFill>
    </fill>
    <fill>
      <patternFill patternType="solid">
        <fgColor rgb="FF4472C4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C6E0B4"/>
      </patternFill>
    </fill>
    <fill>
      <patternFill patternType="solid">
        <fgColor rgb="FF4472C4"/>
      </patternFill>
    </fill>
    <fill>
      <patternFill patternType="solid">
        <fgColor rgb="FFC65911"/>
      </patternFill>
    </fill>
    <fill>
      <patternFill patternType="solid">
        <fgColor rgb="FF203864"/>
      </patternFill>
    </fill>
    <fill>
      <patternFill patternType="solid">
        <fgColor rgb="FF5B9BD5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C6E0B4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/>
    <xf numFmtId="164" fontId="0" fillId="0" borderId="0" xfId="0" applyNumberFormat="1" applyFont="1" applyFill="1" applyBorder="1"/>
    <xf numFmtId="0" fontId="3" fillId="4" borderId="0" xfId="0" applyNumberFormat="1" applyFont="1" applyFill="1" applyBorder="1"/>
    <xf numFmtId="0" fontId="3" fillId="5" borderId="0" xfId="0" applyNumberFormat="1" applyFont="1" applyFill="1" applyBorder="1" applyAlignment="1">
      <alignment horizontal="center" wrapText="1"/>
    </xf>
    <xf numFmtId="165" fontId="0" fillId="0" borderId="0" xfId="0" applyNumberFormat="1" applyFont="1" applyFill="1" applyBorder="1"/>
    <xf numFmtId="0" fontId="3" fillId="6" borderId="0" xfId="0" applyNumberFormat="1" applyFont="1" applyFill="1" applyBorder="1" applyAlignment="1">
      <alignment horizontal="center" wrapText="1"/>
    </xf>
    <xf numFmtId="0" fontId="3" fillId="7" borderId="0" xfId="0" applyNumberFormat="1" applyFont="1" applyFill="1" applyBorder="1" applyAlignment="1">
      <alignment wrapText="1"/>
    </xf>
    <xf numFmtId="0" fontId="3" fillId="8" borderId="0" xfId="0" applyNumberFormat="1" applyFont="1" applyFill="1" applyBorder="1" applyAlignment="1">
      <alignment horizontal="center" wrapText="1"/>
    </xf>
    <xf numFmtId="0" fontId="3" fillId="9" borderId="0" xfId="0" applyNumberFormat="1" applyFont="1" applyFill="1" applyBorder="1" applyAlignment="1">
      <alignment horizontal="center" wrapText="1"/>
    </xf>
    <xf numFmtId="0" fontId="3" fillId="10" borderId="0" xfId="0" applyNumberFormat="1" applyFont="1" applyFill="1" applyBorder="1" applyAlignment="1">
      <alignment horizontal="center" wrapText="1"/>
    </xf>
    <xf numFmtId="0" fontId="2" fillId="12" borderId="0" xfId="0" applyNumberFormat="1" applyFont="1" applyFill="1" applyBorder="1"/>
    <xf numFmtId="0" fontId="3" fillId="13" borderId="0" xfId="0" applyNumberFormat="1" applyFont="1" applyFill="1" applyBorder="1"/>
    <xf numFmtId="0" fontId="3" fillId="14" borderId="0" xfId="0" applyNumberFormat="1" applyFont="1" applyFill="1" applyBorder="1" applyAlignment="1">
      <alignment horizontal="center" wrapText="1"/>
    </xf>
    <xf numFmtId="0" fontId="3" fillId="15" borderId="0" xfId="0" applyNumberFormat="1" applyFont="1" applyFill="1" applyBorder="1" applyAlignment="1">
      <alignment horizontal="center" wrapText="1"/>
    </xf>
    <xf numFmtId="0" fontId="3" fillId="16" borderId="0" xfId="0" applyNumberFormat="1" applyFont="1" applyFill="1" applyBorder="1" applyAlignment="1">
      <alignment horizontal="center" wrapText="1"/>
    </xf>
    <xf numFmtId="0" fontId="3" fillId="17" borderId="0" xfId="0" applyNumberFormat="1" applyFont="1" applyFill="1" applyBorder="1" applyAlignment="1">
      <alignment horizontal="center" wrapText="1"/>
    </xf>
    <xf numFmtId="0" fontId="3" fillId="18" borderId="0" xfId="0" applyNumberFormat="1" applyFont="1" applyFill="1" applyBorder="1" applyAlignment="1">
      <alignment horizontal="center" wrapText="1"/>
    </xf>
    <xf numFmtId="0" fontId="3" fillId="19" borderId="0" xfId="0" applyNumberFormat="1" applyFont="1" applyFill="1" applyBorder="1"/>
    <xf numFmtId="0" fontId="3" fillId="20" borderId="0" xfId="0" applyNumberFormat="1" applyFont="1" applyFill="1" applyBorder="1" applyAlignment="1">
      <alignment wrapText="1"/>
    </xf>
    <xf numFmtId="0" fontId="3" fillId="21" borderId="0" xfId="0" applyNumberFormat="1" applyFont="1" applyFill="1" applyBorder="1" applyAlignment="1">
      <alignment wrapText="1"/>
    </xf>
    <xf numFmtId="0" fontId="3" fillId="22" borderId="0" xfId="0" applyNumberFormat="1" applyFont="1" applyFill="1" applyBorder="1" applyAlignment="1">
      <alignment wrapText="1"/>
    </xf>
    <xf numFmtId="0" fontId="3" fillId="23" borderId="0" xfId="0" applyNumberFormat="1" applyFont="1" applyFill="1" applyBorder="1" applyAlignment="1">
      <alignment wrapText="1"/>
    </xf>
    <xf numFmtId="0" fontId="3" fillId="24" borderId="0" xfId="0" applyNumberFormat="1" applyFont="1" applyFill="1" applyBorder="1" applyAlignment="1">
      <alignment wrapText="1"/>
    </xf>
    <xf numFmtId="0" fontId="3" fillId="25" borderId="0" xfId="0" applyNumberFormat="1" applyFont="1" applyFill="1" applyBorder="1"/>
    <xf numFmtId="0" fontId="3" fillId="26" borderId="0" xfId="0" applyNumberFormat="1" applyFont="1" applyFill="1" applyBorder="1" applyAlignment="1">
      <alignment horizontal="center" wrapText="1"/>
    </xf>
    <xf numFmtId="0" fontId="3" fillId="27" borderId="0" xfId="0" applyNumberFormat="1" applyFont="1" applyFill="1" applyBorder="1" applyAlignment="1">
      <alignment horizontal="center" wrapText="1"/>
    </xf>
    <xf numFmtId="0" fontId="3" fillId="28" borderId="0" xfId="0" applyNumberFormat="1" applyFont="1" applyFill="1" applyBorder="1" applyAlignment="1">
      <alignment horizontal="center" wrapText="1"/>
    </xf>
    <xf numFmtId="0" fontId="3" fillId="29" borderId="0" xfId="0" applyNumberFormat="1" applyFont="1" applyFill="1" applyBorder="1" applyAlignment="1">
      <alignment horizontal="center" wrapText="1"/>
    </xf>
    <xf numFmtId="0" fontId="3" fillId="30" borderId="0" xfId="0" applyNumberFormat="1" applyFont="1" applyFill="1" applyBorder="1" applyAlignment="1">
      <alignment horizontal="center" wrapText="1"/>
    </xf>
    <xf numFmtId="0" fontId="3" fillId="31" borderId="0" xfId="0" applyNumberFormat="1" applyFont="1" applyFill="1" applyBorder="1"/>
    <xf numFmtId="0" fontId="3" fillId="32" borderId="0" xfId="0" applyNumberFormat="1" applyFont="1" applyFill="1" applyBorder="1" applyAlignment="1">
      <alignment horizontal="center" wrapText="1"/>
    </xf>
    <xf numFmtId="0" fontId="3" fillId="33" borderId="0" xfId="0" applyNumberFormat="1" applyFont="1" applyFill="1" applyBorder="1" applyAlignment="1">
      <alignment horizontal="center" wrapText="1"/>
    </xf>
    <xf numFmtId="0" fontId="3" fillId="34" borderId="0" xfId="0" applyNumberFormat="1" applyFont="1" applyFill="1" applyBorder="1" applyAlignment="1">
      <alignment horizontal="center" wrapText="1"/>
    </xf>
    <xf numFmtId="0" fontId="3" fillId="35" borderId="0" xfId="0" applyNumberFormat="1" applyFont="1" applyFill="1" applyBorder="1" applyAlignment="1">
      <alignment horizontal="center" wrapText="1"/>
    </xf>
    <xf numFmtId="0" fontId="3" fillId="36" borderId="0" xfId="0" applyNumberFormat="1" applyFont="1" applyFill="1" applyBorder="1" applyAlignment="1">
      <alignment horizontal="center" wrapText="1"/>
    </xf>
    <xf numFmtId="0" fontId="3" fillId="37" borderId="0" xfId="0" applyNumberFormat="1" applyFont="1" applyFill="1" applyBorder="1"/>
    <xf numFmtId="0" fontId="3" fillId="38" borderId="0" xfId="0" applyNumberFormat="1" applyFont="1" applyFill="1" applyBorder="1" applyAlignment="1">
      <alignment wrapText="1"/>
    </xf>
    <xf numFmtId="0" fontId="3" fillId="39" borderId="0" xfId="0" applyNumberFormat="1" applyFont="1" applyFill="1" applyBorder="1" applyAlignment="1">
      <alignment wrapText="1"/>
    </xf>
    <xf numFmtId="0" fontId="3" fillId="40" borderId="0" xfId="0" applyNumberFormat="1" applyFont="1" applyFill="1" applyBorder="1" applyAlignment="1">
      <alignment wrapText="1"/>
    </xf>
    <xf numFmtId="0" fontId="3" fillId="41" borderId="0" xfId="0" applyNumberFormat="1" applyFont="1" applyFill="1" applyBorder="1" applyAlignment="1">
      <alignment wrapText="1"/>
    </xf>
    <xf numFmtId="0" fontId="3" fillId="42" borderId="0" xfId="0" applyNumberFormat="1" applyFont="1" applyFill="1" applyBorder="1" applyAlignment="1">
      <alignment wrapText="1"/>
    </xf>
    <xf numFmtId="0" fontId="3" fillId="43" borderId="0" xfId="0" applyNumberFormat="1" applyFont="1" applyFill="1" applyBorder="1"/>
    <xf numFmtId="0" fontId="2" fillId="45" borderId="0" xfId="0" applyNumberFormat="1" applyFont="1" applyFill="1" applyBorder="1"/>
    <xf numFmtId="0" fontId="2" fillId="46" borderId="0" xfId="0" applyNumberFormat="1" applyFont="1" applyFill="1" applyBorder="1"/>
    <xf numFmtId="0" fontId="3" fillId="47" borderId="0" xfId="0" applyNumberFormat="1" applyFont="1" applyFill="1" applyBorder="1"/>
    <xf numFmtId="164" fontId="3" fillId="47" borderId="0" xfId="0" applyNumberFormat="1" applyFont="1" applyFill="1" applyBorder="1"/>
    <xf numFmtId="0" fontId="3" fillId="48" borderId="0" xfId="0" applyNumberFormat="1" applyFont="1" applyFill="1" applyBorder="1"/>
    <xf numFmtId="165" fontId="3" fillId="48" borderId="0" xfId="0" applyNumberFormat="1" applyFont="1" applyFill="1" applyBorder="1"/>
    <xf numFmtId="0" fontId="3" fillId="49" borderId="0" xfId="0" applyNumberFormat="1" applyFont="1" applyFill="1" applyBorder="1" applyAlignment="1">
      <alignment horizontal="center" vertical="center" wrapText="1"/>
    </xf>
    <xf numFmtId="0" fontId="3" fillId="50" borderId="0" xfId="0" applyNumberFormat="1" applyFont="1" applyFill="1" applyBorder="1"/>
    <xf numFmtId="0" fontId="2" fillId="52" borderId="0" xfId="0" applyNumberFormat="1" applyFont="1" applyFill="1" applyBorder="1"/>
    <xf numFmtId="0" fontId="2" fillId="53" borderId="0" xfId="0" applyNumberFormat="1" applyFont="1" applyFill="1" applyBorder="1"/>
    <xf numFmtId="165" fontId="0" fillId="0" borderId="0" xfId="0" applyNumberFormat="1" applyFont="1" applyFill="1" applyBorder="1" applyAlignment="1">
      <alignment wrapText="1"/>
    </xf>
    <xf numFmtId="0" fontId="3" fillId="54" borderId="0" xfId="0" applyNumberFormat="1" applyFont="1" applyFill="1" applyBorder="1" applyAlignment="1">
      <alignment wrapText="1"/>
    </xf>
    <xf numFmtId="0" fontId="3" fillId="54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wrapText="1"/>
    </xf>
    <xf numFmtId="0" fontId="1" fillId="11" borderId="0" xfId="0" applyNumberFormat="1" applyFont="1" applyFill="1" applyBorder="1" applyAlignment="1">
      <alignment horizontal="center" wrapText="1"/>
    </xf>
    <xf numFmtId="0" fontId="1" fillId="44" borderId="0" xfId="0" applyNumberFormat="1" applyFont="1" applyFill="1" applyBorder="1" applyAlignment="1">
      <alignment horizontal="center" wrapText="1"/>
    </xf>
    <xf numFmtId="0" fontId="1" fillId="51" borderId="0" xfId="0" applyNumberFormat="1" applyFont="1" applyFill="1" applyBorder="1" applyAlignment="1">
      <alignment horizontal="center" wrapText="1"/>
    </xf>
    <xf numFmtId="0" fontId="1" fillId="51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/>
  </sheetViews>
  <sheetFormatPr baseColWidth="10" defaultColWidth="9" defaultRowHeight="13.5"/>
  <cols>
    <col min="1" max="1" width="22" customWidth="1"/>
    <col min="2" max="8" width="18" customWidth="1"/>
  </cols>
  <sheetData>
    <row r="1" spans="1:8" ht="17.649999999999999">
      <c r="A1" s="58" t="s">
        <v>0</v>
      </c>
      <c r="B1" s="58"/>
      <c r="C1" s="58"/>
      <c r="D1" s="58"/>
      <c r="E1" s="58"/>
      <c r="F1" s="58"/>
      <c r="G1" s="58"/>
      <c r="H1" s="58"/>
    </row>
    <row r="2" spans="1:8" ht="67.900000000000006">
      <c r="A2" s="1" t="s">
        <v>1</v>
      </c>
      <c r="B2" s="2" t="s">
        <v>2</v>
      </c>
      <c r="C2" s="2"/>
      <c r="D2" s="2"/>
      <c r="E2" s="2"/>
      <c r="F2" s="2"/>
      <c r="G2" s="2"/>
      <c r="H2" s="2"/>
    </row>
    <row r="3" spans="1:8" ht="81.400000000000006">
      <c r="A3" s="1" t="s">
        <v>3</v>
      </c>
      <c r="B3" s="2" t="s">
        <v>4</v>
      </c>
      <c r="C3" s="2"/>
      <c r="D3" s="2"/>
      <c r="E3" s="2"/>
      <c r="F3" s="2"/>
      <c r="G3" s="2"/>
      <c r="H3" s="2"/>
    </row>
    <row r="4" spans="1:8" ht="94.9">
      <c r="A4" s="1" t="s">
        <v>5</v>
      </c>
      <c r="B4" s="2" t="s">
        <v>6</v>
      </c>
      <c r="C4" s="2"/>
      <c r="D4" s="2"/>
      <c r="E4" s="2"/>
      <c r="F4" s="2"/>
      <c r="G4" s="2"/>
      <c r="H4" s="2"/>
    </row>
    <row r="5" spans="1:8" ht="27.4">
      <c r="A5" s="1" t="s">
        <v>7</v>
      </c>
      <c r="B5" s="2" t="s">
        <v>8</v>
      </c>
      <c r="C5" s="2"/>
      <c r="D5" s="2"/>
      <c r="E5" s="2"/>
      <c r="F5" s="2"/>
      <c r="G5" s="2"/>
      <c r="H5" s="2"/>
    </row>
    <row r="6" spans="1:8" ht="67.900000000000006">
      <c r="A6" s="1" t="s">
        <v>9</v>
      </c>
      <c r="B6" s="2" t="s">
        <v>10</v>
      </c>
      <c r="C6" s="2"/>
      <c r="D6" s="2"/>
      <c r="E6" s="2"/>
      <c r="F6" s="2"/>
      <c r="G6" s="2"/>
      <c r="H6" s="2"/>
    </row>
    <row r="7" spans="1:8" ht="40.9">
      <c r="A7" s="1" t="s">
        <v>11</v>
      </c>
      <c r="B7" s="2" t="s">
        <v>12</v>
      </c>
      <c r="C7" s="2"/>
      <c r="D7" s="2"/>
      <c r="E7" s="2"/>
      <c r="F7" s="2"/>
      <c r="G7" s="2"/>
      <c r="H7" s="2"/>
    </row>
    <row r="8" spans="1:8" ht="40.9">
      <c r="A8" s="1" t="s">
        <v>13</v>
      </c>
      <c r="B8" s="2" t="s">
        <v>14</v>
      </c>
      <c r="C8" s="2"/>
      <c r="D8" s="2"/>
      <c r="E8" s="2"/>
      <c r="F8" s="2"/>
      <c r="G8" s="2"/>
      <c r="H8" s="2"/>
    </row>
    <row r="9" spans="1:8" ht="108.4">
      <c r="A9" s="1" t="s">
        <v>15</v>
      </c>
      <c r="B9" s="2" t="s">
        <v>16</v>
      </c>
      <c r="C9" s="2"/>
      <c r="D9" s="2"/>
      <c r="E9" s="2"/>
      <c r="F9" s="2"/>
      <c r="G9" s="2"/>
      <c r="H9" s="2"/>
    </row>
    <row r="10" spans="1:8" ht="81.400000000000006">
      <c r="A10" s="1" t="s">
        <v>17</v>
      </c>
      <c r="B10" s="2" t="s">
        <v>18</v>
      </c>
      <c r="C10" s="2"/>
      <c r="D10" s="2"/>
      <c r="E10" s="2"/>
      <c r="F10" s="2"/>
      <c r="G10" s="2"/>
      <c r="H10" s="2"/>
    </row>
    <row r="11" spans="1:8" ht="94.9">
      <c r="A11" s="1" t="s">
        <v>19</v>
      </c>
      <c r="B11" s="2" t="s">
        <v>20</v>
      </c>
      <c r="C11" s="2"/>
      <c r="D11" s="2"/>
      <c r="E11" s="2"/>
      <c r="F11" s="2"/>
      <c r="G11" s="2"/>
      <c r="H11" s="2"/>
    </row>
    <row r="12" spans="1:8" ht="13.9">
      <c r="A12" s="1" t="s">
        <v>21</v>
      </c>
      <c r="B12" s="2" t="s">
        <v>22</v>
      </c>
      <c r="C12" s="2"/>
      <c r="D12" s="2"/>
      <c r="E12" s="2"/>
      <c r="F12" s="2"/>
      <c r="G12" s="2"/>
      <c r="H12" s="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workbookViewId="0"/>
  </sheetViews>
  <sheetFormatPr baseColWidth="10" defaultColWidth="9" defaultRowHeight="13.5"/>
  <cols>
    <col min="1" max="1" width="5.125" customWidth="1"/>
    <col min="2" max="2" width="7" customWidth="1"/>
    <col min="3" max="3" width="8.5" customWidth="1"/>
    <col min="4" max="4" width="8.125" customWidth="1"/>
    <col min="5" max="5" width="12.25" customWidth="1"/>
    <col min="6" max="6" width="9.625" customWidth="1"/>
  </cols>
  <sheetData>
    <row r="1" spans="1:6" ht="13.9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</row>
    <row r="2" spans="1:6">
      <c r="A2" t="s">
        <v>29</v>
      </c>
      <c r="B2" t="s">
        <v>30</v>
      </c>
      <c r="C2" t="s">
        <v>31</v>
      </c>
      <c r="D2" t="s">
        <v>32</v>
      </c>
      <c r="E2" s="4">
        <v>12.435</v>
      </c>
      <c r="F2" s="4">
        <v>0.217</v>
      </c>
    </row>
    <row r="3" spans="1:6">
      <c r="A3" t="s">
        <v>29</v>
      </c>
      <c r="B3" t="s">
        <v>30</v>
      </c>
      <c r="C3" t="s">
        <v>31</v>
      </c>
      <c r="D3" t="s">
        <v>33</v>
      </c>
      <c r="E3" s="4">
        <v>12.087</v>
      </c>
      <c r="F3" s="4">
        <v>0.47799999999999998</v>
      </c>
    </row>
    <row r="4" spans="1:6">
      <c r="A4" t="s">
        <v>29</v>
      </c>
      <c r="B4" t="s">
        <v>30</v>
      </c>
      <c r="C4" t="s">
        <v>34</v>
      </c>
      <c r="D4" t="s">
        <v>32</v>
      </c>
      <c r="E4" s="4">
        <v>7.0869999999999997</v>
      </c>
      <c r="F4" s="4">
        <v>0.217</v>
      </c>
    </row>
    <row r="5" spans="1:6">
      <c r="A5" t="s">
        <v>29</v>
      </c>
      <c r="B5" t="s">
        <v>30</v>
      </c>
      <c r="C5" t="s">
        <v>34</v>
      </c>
      <c r="D5" t="s">
        <v>33</v>
      </c>
      <c r="E5" s="4">
        <v>6.7389999999999999</v>
      </c>
      <c r="F5" s="4">
        <v>0.30399999999999999</v>
      </c>
    </row>
    <row r="6" spans="1:6">
      <c r="A6" t="s">
        <v>29</v>
      </c>
      <c r="B6" t="s">
        <v>30</v>
      </c>
      <c r="C6" t="s">
        <v>35</v>
      </c>
      <c r="D6" t="s">
        <v>32</v>
      </c>
      <c r="E6" s="4">
        <v>9.7829999999999995</v>
      </c>
      <c r="F6" s="4">
        <v>0.39100000000000001</v>
      </c>
    </row>
    <row r="7" spans="1:6">
      <c r="A7" t="s">
        <v>29</v>
      </c>
      <c r="B7" t="s">
        <v>30</v>
      </c>
      <c r="C7" t="s">
        <v>35</v>
      </c>
      <c r="D7" t="s">
        <v>33</v>
      </c>
      <c r="E7" s="4">
        <v>9.9570000000000007</v>
      </c>
      <c r="F7" s="4">
        <v>0.47799999999999998</v>
      </c>
    </row>
    <row r="8" spans="1:6">
      <c r="A8" t="s">
        <v>29</v>
      </c>
      <c r="B8" t="s">
        <v>30</v>
      </c>
      <c r="C8" t="s">
        <v>36</v>
      </c>
      <c r="D8" t="s">
        <v>32</v>
      </c>
      <c r="E8" s="4">
        <v>10.609</v>
      </c>
      <c r="F8" s="4">
        <v>0.39100000000000001</v>
      </c>
    </row>
    <row r="9" spans="1:6">
      <c r="A9" t="s">
        <v>29</v>
      </c>
      <c r="B9" t="s">
        <v>30</v>
      </c>
      <c r="C9" t="s">
        <v>36</v>
      </c>
      <c r="D9" t="s">
        <v>33</v>
      </c>
      <c r="E9" s="4">
        <v>10.522</v>
      </c>
      <c r="F9" s="4">
        <v>0.217</v>
      </c>
    </row>
    <row r="10" spans="1:6">
      <c r="A10" t="s">
        <v>29</v>
      </c>
      <c r="B10" t="s">
        <v>30</v>
      </c>
      <c r="C10" t="s">
        <v>37</v>
      </c>
      <c r="D10" t="s">
        <v>32</v>
      </c>
      <c r="E10" s="4">
        <v>10.130000000000001</v>
      </c>
      <c r="F10" s="4">
        <v>0.47799999999999998</v>
      </c>
    </row>
    <row r="11" spans="1:6">
      <c r="A11" t="s">
        <v>29</v>
      </c>
      <c r="B11" t="s">
        <v>30</v>
      </c>
      <c r="C11" t="s">
        <v>37</v>
      </c>
      <c r="D11" t="s">
        <v>33</v>
      </c>
      <c r="E11" s="4">
        <v>10.260999999999999</v>
      </c>
      <c r="F11" s="4">
        <v>0.47799999999999998</v>
      </c>
    </row>
    <row r="12" spans="1:6">
      <c r="A12" t="s">
        <v>29</v>
      </c>
      <c r="B12" t="s">
        <v>30</v>
      </c>
      <c r="C12" t="s">
        <v>38</v>
      </c>
      <c r="D12" t="s">
        <v>32</v>
      </c>
      <c r="E12" s="4">
        <v>9.9570000000000007</v>
      </c>
      <c r="F12" s="4">
        <v>0.30399999999999999</v>
      </c>
    </row>
    <row r="13" spans="1:6">
      <c r="A13" t="s">
        <v>29</v>
      </c>
      <c r="B13" t="s">
        <v>30</v>
      </c>
      <c r="C13" t="s">
        <v>38</v>
      </c>
      <c r="D13" t="s">
        <v>33</v>
      </c>
      <c r="E13" s="4">
        <v>9.7829999999999995</v>
      </c>
      <c r="F13" s="4">
        <v>0.217</v>
      </c>
    </row>
    <row r="14" spans="1:6">
      <c r="A14" t="s">
        <v>29</v>
      </c>
      <c r="B14" t="s">
        <v>30</v>
      </c>
      <c r="C14" t="s">
        <v>39</v>
      </c>
      <c r="D14" t="s">
        <v>32</v>
      </c>
      <c r="E14" s="4">
        <v>10.609</v>
      </c>
      <c r="F14" s="4">
        <v>0.13</v>
      </c>
    </row>
    <row r="15" spans="1:6">
      <c r="A15" t="s">
        <v>29</v>
      </c>
      <c r="B15" t="s">
        <v>30</v>
      </c>
      <c r="C15" t="s">
        <v>39</v>
      </c>
      <c r="D15" t="s">
        <v>33</v>
      </c>
      <c r="E15" s="4">
        <v>11.348000000000001</v>
      </c>
      <c r="F15" s="4">
        <v>0.39100000000000001</v>
      </c>
    </row>
    <row r="16" spans="1:6">
      <c r="A16" t="s">
        <v>29</v>
      </c>
      <c r="B16" t="s">
        <v>40</v>
      </c>
      <c r="C16" t="s">
        <v>31</v>
      </c>
      <c r="D16" t="s">
        <v>32</v>
      </c>
      <c r="E16" s="4">
        <v>13.436</v>
      </c>
      <c r="F16" s="4">
        <v>0.82799999999999996</v>
      </c>
    </row>
    <row r="17" spans="1:6">
      <c r="A17" t="s">
        <v>29</v>
      </c>
      <c r="B17" t="s">
        <v>40</v>
      </c>
      <c r="C17" t="s">
        <v>31</v>
      </c>
      <c r="D17" t="s">
        <v>33</v>
      </c>
      <c r="E17" s="4">
        <v>12.791</v>
      </c>
      <c r="F17" s="4">
        <v>1.288</v>
      </c>
    </row>
    <row r="18" spans="1:6">
      <c r="A18" t="s">
        <v>29</v>
      </c>
      <c r="B18" t="s">
        <v>40</v>
      </c>
      <c r="C18" t="s">
        <v>34</v>
      </c>
      <c r="D18" t="s">
        <v>32</v>
      </c>
      <c r="E18" s="4">
        <v>9.4789999999999992</v>
      </c>
      <c r="F18" s="4">
        <v>0.46</v>
      </c>
    </row>
    <row r="19" spans="1:6">
      <c r="A19" t="s">
        <v>29</v>
      </c>
      <c r="B19" t="s">
        <v>40</v>
      </c>
      <c r="C19" t="s">
        <v>34</v>
      </c>
      <c r="D19" t="s">
        <v>33</v>
      </c>
      <c r="E19" s="4">
        <v>8.9260000000000002</v>
      </c>
      <c r="F19" s="4">
        <v>1.012</v>
      </c>
    </row>
    <row r="20" spans="1:6">
      <c r="A20" t="s">
        <v>29</v>
      </c>
      <c r="B20" t="s">
        <v>40</v>
      </c>
      <c r="C20" t="s">
        <v>35</v>
      </c>
      <c r="D20" t="s">
        <v>32</v>
      </c>
      <c r="E20" s="4">
        <v>21.626000000000001</v>
      </c>
      <c r="F20" s="4">
        <v>0.27600000000000002</v>
      </c>
    </row>
    <row r="21" spans="1:6">
      <c r="A21" t="s">
        <v>29</v>
      </c>
      <c r="B21" t="s">
        <v>40</v>
      </c>
      <c r="C21" t="s">
        <v>35</v>
      </c>
      <c r="D21" t="s">
        <v>33</v>
      </c>
      <c r="E21" s="4">
        <v>19.233000000000001</v>
      </c>
      <c r="F21" s="4">
        <v>0.27600000000000002</v>
      </c>
    </row>
    <row r="22" spans="1:6">
      <c r="A22" t="s">
        <v>29</v>
      </c>
      <c r="B22" t="s">
        <v>40</v>
      </c>
      <c r="C22" t="s">
        <v>36</v>
      </c>
      <c r="D22" t="s">
        <v>32</v>
      </c>
      <c r="E22" s="4">
        <v>19.509</v>
      </c>
      <c r="F22" s="4">
        <v>0.184</v>
      </c>
    </row>
    <row r="23" spans="1:6">
      <c r="A23" t="s">
        <v>29</v>
      </c>
      <c r="B23" t="s">
        <v>40</v>
      </c>
      <c r="C23" t="s">
        <v>36</v>
      </c>
      <c r="D23" t="s">
        <v>33</v>
      </c>
      <c r="E23" s="4">
        <v>20.428999999999998</v>
      </c>
      <c r="F23" s="4">
        <v>0.27600000000000002</v>
      </c>
    </row>
    <row r="24" spans="1:6">
      <c r="A24" t="s">
        <v>29</v>
      </c>
      <c r="B24" t="s">
        <v>40</v>
      </c>
      <c r="C24" t="s">
        <v>37</v>
      </c>
      <c r="D24" t="s">
        <v>32</v>
      </c>
      <c r="E24" s="4">
        <v>18.129000000000001</v>
      </c>
      <c r="F24" s="4">
        <v>0.184</v>
      </c>
    </row>
    <row r="25" spans="1:6">
      <c r="A25" t="s">
        <v>29</v>
      </c>
      <c r="B25" t="s">
        <v>40</v>
      </c>
      <c r="C25" t="s">
        <v>37</v>
      </c>
      <c r="D25" t="s">
        <v>33</v>
      </c>
      <c r="E25" s="4">
        <v>17.484999999999999</v>
      </c>
      <c r="F25" s="4">
        <v>0.27600000000000002</v>
      </c>
    </row>
    <row r="26" spans="1:6">
      <c r="A26" t="s">
        <v>29</v>
      </c>
      <c r="B26" t="s">
        <v>40</v>
      </c>
      <c r="C26" t="s">
        <v>38</v>
      </c>
      <c r="D26" t="s">
        <v>32</v>
      </c>
      <c r="E26" s="4">
        <v>18.312999999999999</v>
      </c>
      <c r="F26" s="4">
        <v>0.46</v>
      </c>
    </row>
    <row r="27" spans="1:6">
      <c r="A27" t="s">
        <v>29</v>
      </c>
      <c r="B27" t="s">
        <v>40</v>
      </c>
      <c r="C27" t="s">
        <v>38</v>
      </c>
      <c r="D27" t="s">
        <v>33</v>
      </c>
      <c r="E27" s="4">
        <v>17.760999999999999</v>
      </c>
      <c r="F27" s="4">
        <v>0.36799999999999999</v>
      </c>
    </row>
    <row r="28" spans="1:6">
      <c r="A28" t="s">
        <v>29</v>
      </c>
      <c r="B28" t="s">
        <v>40</v>
      </c>
      <c r="C28" t="s">
        <v>39</v>
      </c>
      <c r="D28" t="s">
        <v>32</v>
      </c>
      <c r="E28" s="4">
        <v>22.454000000000001</v>
      </c>
      <c r="F28" s="4">
        <v>0.184</v>
      </c>
    </row>
    <row r="29" spans="1:6">
      <c r="A29" t="s">
        <v>29</v>
      </c>
      <c r="B29" t="s">
        <v>40</v>
      </c>
      <c r="C29" t="s">
        <v>39</v>
      </c>
      <c r="D29" t="s">
        <v>33</v>
      </c>
      <c r="E29" s="4">
        <v>23.19</v>
      </c>
      <c r="F29" s="4">
        <v>0.82799999999999996</v>
      </c>
    </row>
    <row r="30" spans="1:6">
      <c r="A30" t="s">
        <v>41</v>
      </c>
      <c r="B30" t="s">
        <v>30</v>
      </c>
      <c r="C30" t="s">
        <v>31</v>
      </c>
      <c r="D30" t="s">
        <v>32</v>
      </c>
      <c r="E30" s="4">
        <v>11.247</v>
      </c>
      <c r="F30" s="4">
        <v>0.33200000000000002</v>
      </c>
    </row>
    <row r="31" spans="1:6">
      <c r="A31" t="s">
        <v>41</v>
      </c>
      <c r="B31" t="s">
        <v>30</v>
      </c>
      <c r="C31" t="s">
        <v>31</v>
      </c>
      <c r="D31" t="s">
        <v>33</v>
      </c>
      <c r="E31" s="4">
        <v>11.247</v>
      </c>
      <c r="F31" s="4">
        <v>0.56899999999999995</v>
      </c>
    </row>
    <row r="32" spans="1:6">
      <c r="A32" t="s">
        <v>41</v>
      </c>
      <c r="B32" t="s">
        <v>30</v>
      </c>
      <c r="C32" t="s">
        <v>34</v>
      </c>
      <c r="D32" t="s">
        <v>32</v>
      </c>
      <c r="E32" s="4">
        <v>6.5019999999999998</v>
      </c>
      <c r="F32" s="4">
        <v>0.23699999999999999</v>
      </c>
    </row>
    <row r="33" spans="1:6">
      <c r="A33" t="s">
        <v>41</v>
      </c>
      <c r="B33" t="s">
        <v>30</v>
      </c>
      <c r="C33" t="s">
        <v>34</v>
      </c>
      <c r="D33" t="s">
        <v>33</v>
      </c>
      <c r="E33" s="4">
        <v>6.2169999999999996</v>
      </c>
      <c r="F33" s="4">
        <v>0.23699999999999999</v>
      </c>
    </row>
    <row r="34" spans="1:6">
      <c r="A34" t="s">
        <v>41</v>
      </c>
      <c r="B34" t="s">
        <v>30</v>
      </c>
      <c r="C34" t="s">
        <v>35</v>
      </c>
      <c r="D34" t="s">
        <v>32</v>
      </c>
      <c r="E34" s="4">
        <v>8.7319999999999993</v>
      </c>
      <c r="F34" s="4">
        <v>0.42699999999999999</v>
      </c>
    </row>
    <row r="35" spans="1:6">
      <c r="A35" t="s">
        <v>41</v>
      </c>
      <c r="B35" t="s">
        <v>30</v>
      </c>
      <c r="C35" t="s">
        <v>35</v>
      </c>
      <c r="D35" t="s">
        <v>33</v>
      </c>
      <c r="E35" s="4">
        <v>8.7319999999999993</v>
      </c>
      <c r="F35" s="4">
        <v>0.52200000000000002</v>
      </c>
    </row>
    <row r="36" spans="1:6">
      <c r="A36" t="s">
        <v>41</v>
      </c>
      <c r="B36" t="s">
        <v>30</v>
      </c>
      <c r="C36" t="s">
        <v>36</v>
      </c>
      <c r="D36" t="s">
        <v>32</v>
      </c>
      <c r="E36" s="4">
        <v>9.4440000000000008</v>
      </c>
      <c r="F36" s="4">
        <v>0.33200000000000002</v>
      </c>
    </row>
    <row r="37" spans="1:6">
      <c r="A37" t="s">
        <v>41</v>
      </c>
      <c r="B37" t="s">
        <v>30</v>
      </c>
      <c r="C37" t="s">
        <v>36</v>
      </c>
      <c r="D37" t="s">
        <v>33</v>
      </c>
      <c r="E37" s="4">
        <v>9.3490000000000002</v>
      </c>
      <c r="F37" s="4">
        <v>4.7E-2</v>
      </c>
    </row>
    <row r="38" spans="1:6">
      <c r="A38" t="s">
        <v>41</v>
      </c>
      <c r="B38" t="s">
        <v>30</v>
      </c>
      <c r="C38" t="s">
        <v>37</v>
      </c>
      <c r="D38" t="s">
        <v>32</v>
      </c>
      <c r="E38" s="4">
        <v>9.0640000000000001</v>
      </c>
      <c r="F38" s="4">
        <v>0.33200000000000002</v>
      </c>
    </row>
    <row r="39" spans="1:6">
      <c r="A39" t="s">
        <v>41</v>
      </c>
      <c r="B39" t="s">
        <v>30</v>
      </c>
      <c r="C39" t="s">
        <v>37</v>
      </c>
      <c r="D39" t="s">
        <v>33</v>
      </c>
      <c r="E39" s="4">
        <v>9.0640000000000001</v>
      </c>
      <c r="F39" s="4">
        <v>0.52200000000000002</v>
      </c>
    </row>
    <row r="40" spans="1:6">
      <c r="A40" t="s">
        <v>41</v>
      </c>
      <c r="B40" t="s">
        <v>30</v>
      </c>
      <c r="C40" t="s">
        <v>38</v>
      </c>
      <c r="D40" t="s">
        <v>32</v>
      </c>
      <c r="E40" s="4">
        <v>8.7319999999999993</v>
      </c>
      <c r="F40" s="4">
        <v>0.33200000000000002</v>
      </c>
    </row>
    <row r="41" spans="1:6">
      <c r="A41" t="s">
        <v>41</v>
      </c>
      <c r="B41" t="s">
        <v>30</v>
      </c>
      <c r="C41" t="s">
        <v>38</v>
      </c>
      <c r="D41" t="s">
        <v>33</v>
      </c>
      <c r="E41" s="4">
        <v>8.5419999999999998</v>
      </c>
      <c r="F41" s="4">
        <v>4.7E-2</v>
      </c>
    </row>
    <row r="42" spans="1:6">
      <c r="A42" t="s">
        <v>41</v>
      </c>
      <c r="B42" t="s">
        <v>30</v>
      </c>
      <c r="C42" t="s">
        <v>39</v>
      </c>
      <c r="D42" t="s">
        <v>32</v>
      </c>
      <c r="E42" s="4">
        <v>9.4440000000000008</v>
      </c>
      <c r="F42" s="4">
        <v>0.14199999999999999</v>
      </c>
    </row>
    <row r="43" spans="1:6">
      <c r="A43" t="s">
        <v>41</v>
      </c>
      <c r="B43" t="s">
        <v>30</v>
      </c>
      <c r="C43" t="s">
        <v>39</v>
      </c>
      <c r="D43" t="s">
        <v>33</v>
      </c>
      <c r="E43" s="4">
        <v>10.108000000000001</v>
      </c>
      <c r="F43" s="4">
        <v>4.7E-2</v>
      </c>
    </row>
    <row r="44" spans="1:6">
      <c r="A44" t="s">
        <v>41</v>
      </c>
      <c r="B44" t="s">
        <v>40</v>
      </c>
      <c r="C44" t="s">
        <v>31</v>
      </c>
      <c r="D44" t="s">
        <v>32</v>
      </c>
      <c r="E44" s="4">
        <v>21.257999999999999</v>
      </c>
      <c r="F44" s="4">
        <v>0.88100000000000001</v>
      </c>
    </row>
    <row r="45" spans="1:6">
      <c r="A45" t="s">
        <v>41</v>
      </c>
      <c r="B45" t="s">
        <v>40</v>
      </c>
      <c r="C45" t="s">
        <v>31</v>
      </c>
      <c r="D45" t="s">
        <v>33</v>
      </c>
      <c r="E45" s="4">
        <v>22.138000000000002</v>
      </c>
      <c r="F45" s="4">
        <v>1.1319999999999999</v>
      </c>
    </row>
    <row r="46" spans="1:6">
      <c r="A46" t="s">
        <v>41</v>
      </c>
      <c r="B46" t="s">
        <v>40</v>
      </c>
      <c r="C46" t="s">
        <v>34</v>
      </c>
      <c r="D46" t="s">
        <v>32</v>
      </c>
      <c r="E46" s="4">
        <v>17.61</v>
      </c>
      <c r="F46" s="4">
        <v>0.252</v>
      </c>
    </row>
    <row r="47" spans="1:6">
      <c r="A47" t="s">
        <v>41</v>
      </c>
      <c r="B47" t="s">
        <v>40</v>
      </c>
      <c r="C47" t="s">
        <v>34</v>
      </c>
      <c r="D47" t="s">
        <v>33</v>
      </c>
      <c r="E47" s="4">
        <v>18.113</v>
      </c>
      <c r="F47" s="4">
        <v>0.629</v>
      </c>
    </row>
    <row r="48" spans="1:6">
      <c r="A48" t="s">
        <v>41</v>
      </c>
      <c r="B48" t="s">
        <v>40</v>
      </c>
      <c r="C48" t="s">
        <v>35</v>
      </c>
      <c r="D48" t="s">
        <v>32</v>
      </c>
      <c r="E48" s="4">
        <v>29.308</v>
      </c>
      <c r="F48" s="4">
        <v>0.377</v>
      </c>
    </row>
    <row r="49" spans="1:6">
      <c r="A49" t="s">
        <v>41</v>
      </c>
      <c r="B49" t="s">
        <v>40</v>
      </c>
      <c r="C49" t="s">
        <v>35</v>
      </c>
      <c r="D49" t="s">
        <v>33</v>
      </c>
      <c r="E49" s="4">
        <v>30.692</v>
      </c>
      <c r="F49" s="4">
        <v>0.377</v>
      </c>
    </row>
    <row r="50" spans="1:6">
      <c r="A50" t="s">
        <v>41</v>
      </c>
      <c r="B50" t="s">
        <v>40</v>
      </c>
      <c r="C50" t="s">
        <v>36</v>
      </c>
      <c r="D50" t="s">
        <v>32</v>
      </c>
      <c r="E50" s="4">
        <v>28.302</v>
      </c>
      <c r="F50" s="4">
        <v>0.126</v>
      </c>
    </row>
    <row r="51" spans="1:6">
      <c r="A51" t="s">
        <v>41</v>
      </c>
      <c r="B51" t="s">
        <v>40</v>
      </c>
      <c r="C51" t="s">
        <v>36</v>
      </c>
      <c r="D51" t="s">
        <v>33</v>
      </c>
      <c r="E51" s="4">
        <v>29.56</v>
      </c>
      <c r="F51" s="4">
        <v>0.126</v>
      </c>
    </row>
    <row r="52" spans="1:6">
      <c r="A52" t="s">
        <v>41</v>
      </c>
      <c r="B52" t="s">
        <v>40</v>
      </c>
      <c r="C52" t="s">
        <v>37</v>
      </c>
      <c r="D52" t="s">
        <v>32</v>
      </c>
      <c r="E52" s="4">
        <v>27.17</v>
      </c>
      <c r="F52" s="4">
        <v>0.377</v>
      </c>
    </row>
    <row r="53" spans="1:6">
      <c r="A53" t="s">
        <v>41</v>
      </c>
      <c r="B53" t="s">
        <v>40</v>
      </c>
      <c r="C53" t="s">
        <v>37</v>
      </c>
      <c r="D53" t="s">
        <v>33</v>
      </c>
      <c r="E53" s="4">
        <v>27.420999999999999</v>
      </c>
      <c r="F53" s="4">
        <v>0.377</v>
      </c>
    </row>
    <row r="54" spans="1:6">
      <c r="A54" t="s">
        <v>41</v>
      </c>
      <c r="B54" t="s">
        <v>40</v>
      </c>
      <c r="C54" t="s">
        <v>38</v>
      </c>
      <c r="D54" t="s">
        <v>32</v>
      </c>
      <c r="E54" s="4">
        <v>26.917999999999999</v>
      </c>
      <c r="F54" s="4">
        <v>0.126</v>
      </c>
    </row>
    <row r="55" spans="1:6">
      <c r="A55" t="s">
        <v>41</v>
      </c>
      <c r="B55" t="s">
        <v>40</v>
      </c>
      <c r="C55" t="s">
        <v>38</v>
      </c>
      <c r="D55" t="s">
        <v>33</v>
      </c>
      <c r="E55" s="4">
        <v>27.925000000000001</v>
      </c>
      <c r="F55" s="4">
        <v>0.126</v>
      </c>
    </row>
    <row r="56" spans="1:6">
      <c r="A56" t="s">
        <v>41</v>
      </c>
      <c r="B56" t="s">
        <v>40</v>
      </c>
      <c r="C56" t="s">
        <v>39</v>
      </c>
      <c r="D56" t="s">
        <v>32</v>
      </c>
      <c r="E56" s="4">
        <v>33.082000000000001</v>
      </c>
      <c r="F56" s="4">
        <v>1.1319999999999999</v>
      </c>
    </row>
    <row r="57" spans="1:6">
      <c r="A57" t="s">
        <v>41</v>
      </c>
      <c r="B57" t="s">
        <v>40</v>
      </c>
      <c r="C57" t="s">
        <v>39</v>
      </c>
      <c r="D57" t="s">
        <v>33</v>
      </c>
      <c r="E57" s="4">
        <v>35.094000000000001</v>
      </c>
      <c r="F57" s="4">
        <v>0.126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baseColWidth="10" defaultColWidth="9" defaultRowHeight="13.5"/>
  <cols>
    <col min="1" max="1" width="7" customWidth="1"/>
    <col min="2" max="2" width="11.375" customWidth="1"/>
    <col min="3" max="3" width="12.25" customWidth="1"/>
    <col min="4" max="4" width="9.625" customWidth="1"/>
  </cols>
  <sheetData>
    <row r="1" spans="1:4" ht="13.9">
      <c r="A1" s="5" t="s">
        <v>24</v>
      </c>
      <c r="B1" s="5" t="s">
        <v>25</v>
      </c>
      <c r="C1" s="5" t="s">
        <v>27</v>
      </c>
      <c r="D1" s="5" t="s">
        <v>28</v>
      </c>
    </row>
    <row r="2" spans="1:4">
      <c r="A2" t="s">
        <v>42</v>
      </c>
      <c r="B2" t="s">
        <v>43</v>
      </c>
      <c r="C2" s="4">
        <v>35.881</v>
      </c>
      <c r="D2" s="4">
        <v>0.59699999999999998</v>
      </c>
    </row>
    <row r="3" spans="1:4">
      <c r="A3" t="s">
        <v>42</v>
      </c>
      <c r="B3" t="s">
        <v>44</v>
      </c>
      <c r="C3" s="4">
        <v>36.954999999999998</v>
      </c>
      <c r="D3" s="4">
        <v>5.97</v>
      </c>
    </row>
    <row r="4" spans="1:4">
      <c r="A4" t="s">
        <v>42</v>
      </c>
      <c r="B4" t="s">
        <v>45</v>
      </c>
      <c r="C4" s="4">
        <v>35.881</v>
      </c>
      <c r="D4" s="4">
        <v>0.59699999999999998</v>
      </c>
    </row>
    <row r="5" spans="1:4">
      <c r="A5" t="s">
        <v>42</v>
      </c>
      <c r="B5" t="s">
        <v>46</v>
      </c>
      <c r="C5" s="4">
        <v>32.896000000000001</v>
      </c>
      <c r="D5" s="4">
        <v>3.4630000000000001</v>
      </c>
    </row>
    <row r="6" spans="1:4">
      <c r="A6" t="s">
        <v>42</v>
      </c>
      <c r="B6" t="s">
        <v>47</v>
      </c>
      <c r="C6" s="4">
        <v>41.97</v>
      </c>
      <c r="D6" s="4">
        <v>3.343</v>
      </c>
    </row>
    <row r="7" spans="1:4">
      <c r="A7" t="s">
        <v>42</v>
      </c>
      <c r="B7" t="s">
        <v>48</v>
      </c>
      <c r="C7" s="4">
        <v>47.94</v>
      </c>
      <c r="D7" s="4">
        <v>5.7309999999999999</v>
      </c>
    </row>
    <row r="8" spans="1:4">
      <c r="A8" t="s">
        <v>42</v>
      </c>
      <c r="B8" t="s">
        <v>49</v>
      </c>
      <c r="C8" s="4">
        <v>43.881</v>
      </c>
      <c r="D8" s="4">
        <v>6.2089999999999996</v>
      </c>
    </row>
    <row r="9" spans="1:4">
      <c r="A9" t="s">
        <v>42</v>
      </c>
      <c r="B9" t="s">
        <v>50</v>
      </c>
      <c r="C9" s="4">
        <v>46.627000000000002</v>
      </c>
      <c r="D9" s="4">
        <v>6.09</v>
      </c>
    </row>
    <row r="10" spans="1:4">
      <c r="A10" t="s">
        <v>42</v>
      </c>
      <c r="B10" t="s">
        <v>51</v>
      </c>
      <c r="C10" s="4">
        <v>52</v>
      </c>
      <c r="D10" s="4">
        <v>2.2690000000000001</v>
      </c>
    </row>
    <row r="11" spans="1:4">
      <c r="A11" t="s">
        <v>42</v>
      </c>
      <c r="B11" t="s">
        <v>52</v>
      </c>
      <c r="C11" s="4">
        <v>44.954999999999998</v>
      </c>
      <c r="D11" s="4">
        <v>2.8660000000000001</v>
      </c>
    </row>
    <row r="12" spans="1:4">
      <c r="A12" t="s">
        <v>53</v>
      </c>
      <c r="B12" t="s">
        <v>43</v>
      </c>
      <c r="C12" s="4">
        <v>22.863</v>
      </c>
      <c r="D12" s="4">
        <v>5.7880000000000003</v>
      </c>
    </row>
    <row r="13" spans="1:4">
      <c r="A13" t="s">
        <v>53</v>
      </c>
      <c r="B13" t="s">
        <v>44</v>
      </c>
      <c r="C13" s="4">
        <v>31.995999999999999</v>
      </c>
      <c r="D13" s="4">
        <v>5.7880000000000003</v>
      </c>
    </row>
    <row r="14" spans="1:4">
      <c r="A14" t="s">
        <v>53</v>
      </c>
      <c r="B14" t="s">
        <v>45</v>
      </c>
      <c r="C14" s="4">
        <v>29.937999999999999</v>
      </c>
      <c r="D14" s="4">
        <v>4.6310000000000002</v>
      </c>
    </row>
    <row r="15" spans="1:4">
      <c r="A15" t="s">
        <v>53</v>
      </c>
      <c r="B15" t="s">
        <v>46</v>
      </c>
      <c r="C15" s="4">
        <v>17.846</v>
      </c>
      <c r="D15" s="4">
        <v>3.988</v>
      </c>
    </row>
    <row r="16" spans="1:4">
      <c r="A16" t="s">
        <v>53</v>
      </c>
      <c r="B16" t="s">
        <v>47</v>
      </c>
      <c r="C16" s="4">
        <v>36.369</v>
      </c>
      <c r="D16" s="4">
        <v>1.415</v>
      </c>
    </row>
    <row r="17" spans="1:4">
      <c r="A17" t="s">
        <v>53</v>
      </c>
      <c r="B17" t="s">
        <v>48</v>
      </c>
      <c r="C17" s="4">
        <v>39.070999999999998</v>
      </c>
      <c r="D17" s="4">
        <v>5.66</v>
      </c>
    </row>
    <row r="18" spans="1:4">
      <c r="A18" t="s">
        <v>53</v>
      </c>
      <c r="B18" t="s">
        <v>49</v>
      </c>
      <c r="C18" s="4">
        <v>33.924999999999997</v>
      </c>
      <c r="D18" s="4">
        <v>1.1579999999999999</v>
      </c>
    </row>
    <row r="19" spans="1:4">
      <c r="A19" t="s">
        <v>53</v>
      </c>
      <c r="B19" t="s">
        <v>50</v>
      </c>
      <c r="C19" s="4">
        <v>38.040999999999997</v>
      </c>
      <c r="D19" s="4">
        <v>5.7880000000000003</v>
      </c>
    </row>
    <row r="20" spans="1:4">
      <c r="A20" t="s">
        <v>53</v>
      </c>
      <c r="B20" t="s">
        <v>51</v>
      </c>
      <c r="C20" s="4">
        <v>41</v>
      </c>
      <c r="D20" s="4">
        <v>5.274</v>
      </c>
    </row>
    <row r="21" spans="1:4">
      <c r="A21" t="s">
        <v>53</v>
      </c>
      <c r="B21" t="s">
        <v>52</v>
      </c>
      <c r="C21" s="4">
        <v>35.982999999999997</v>
      </c>
      <c r="D21" s="4">
        <v>0.51500000000000001</v>
      </c>
    </row>
    <row r="22" spans="1:4">
      <c r="A22" t="s">
        <v>40</v>
      </c>
      <c r="B22" t="s">
        <v>43</v>
      </c>
      <c r="C22" s="4">
        <v>39.889000000000003</v>
      </c>
      <c r="D22" s="4">
        <v>5.7779999999999996</v>
      </c>
    </row>
    <row r="23" spans="1:4">
      <c r="A23" t="s">
        <v>40</v>
      </c>
      <c r="B23" t="s">
        <v>44</v>
      </c>
      <c r="C23" s="4">
        <v>41.889000000000003</v>
      </c>
      <c r="D23" s="4">
        <v>1.111</v>
      </c>
    </row>
    <row r="24" spans="1:4">
      <c r="A24" t="s">
        <v>40</v>
      </c>
      <c r="B24" t="s">
        <v>45</v>
      </c>
      <c r="C24" s="4">
        <v>39.889000000000003</v>
      </c>
      <c r="D24" s="4">
        <v>2.8889999999999998</v>
      </c>
    </row>
    <row r="25" spans="1:4">
      <c r="A25" t="s">
        <v>40</v>
      </c>
      <c r="B25" t="s">
        <v>46</v>
      </c>
      <c r="C25" s="4">
        <v>35.889000000000003</v>
      </c>
      <c r="D25" s="4">
        <v>1.778</v>
      </c>
    </row>
    <row r="26" spans="1:4">
      <c r="A26" t="s">
        <v>40</v>
      </c>
      <c r="B26" t="s">
        <v>47</v>
      </c>
      <c r="C26" s="4">
        <v>44.889000000000003</v>
      </c>
      <c r="D26" s="4">
        <v>0.55600000000000005</v>
      </c>
    </row>
    <row r="27" spans="1:4">
      <c r="A27" t="s">
        <v>40</v>
      </c>
      <c r="B27" t="s">
        <v>48</v>
      </c>
      <c r="C27" s="4">
        <v>47</v>
      </c>
      <c r="D27" s="4">
        <v>0.44400000000000001</v>
      </c>
    </row>
    <row r="28" spans="1:4">
      <c r="A28" t="s">
        <v>40</v>
      </c>
      <c r="B28" t="s">
        <v>49</v>
      </c>
      <c r="C28" s="4">
        <v>43</v>
      </c>
      <c r="D28" s="4">
        <v>5.6669999999999998</v>
      </c>
    </row>
    <row r="29" spans="1:4">
      <c r="A29" t="s">
        <v>40</v>
      </c>
      <c r="B29" t="s">
        <v>50</v>
      </c>
      <c r="C29" s="4">
        <v>47</v>
      </c>
      <c r="D29" s="4">
        <v>1.667</v>
      </c>
    </row>
    <row r="30" spans="1:4">
      <c r="A30" t="s">
        <v>40</v>
      </c>
      <c r="B30" t="s">
        <v>51</v>
      </c>
      <c r="C30" s="4">
        <v>55</v>
      </c>
      <c r="D30" s="4">
        <v>2.778</v>
      </c>
    </row>
    <row r="31" spans="1:4">
      <c r="A31" t="s">
        <v>40</v>
      </c>
      <c r="B31" t="s">
        <v>52</v>
      </c>
      <c r="C31" s="4">
        <v>41.889000000000003</v>
      </c>
      <c r="D31" s="4">
        <v>5.7779999999999996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89"/>
  <sheetViews>
    <sheetView tabSelected="1" topLeftCell="P1" workbookViewId="0">
      <selection sqref="A1:AB589"/>
    </sheetView>
  </sheetViews>
  <sheetFormatPr baseColWidth="10" defaultColWidth="9" defaultRowHeight="13.5"/>
  <cols>
    <col min="1" max="1" width="12.125" customWidth="1"/>
    <col min="2" max="5" width="22" customWidth="1"/>
    <col min="6" max="6" width="4.375" customWidth="1"/>
    <col min="7" max="7" width="8.375" customWidth="1"/>
    <col min="8" max="8" width="14.25" customWidth="1"/>
    <col min="9" max="9" width="9.375" customWidth="1"/>
    <col min="10" max="10" width="22" customWidth="1"/>
    <col min="11" max="11" width="5.125" customWidth="1"/>
    <col min="12" max="12" width="7" customWidth="1"/>
    <col min="13" max="13" width="12.875" customWidth="1"/>
    <col min="14" max="14" width="8.5" customWidth="1"/>
    <col min="15" max="16" width="7.5" customWidth="1"/>
    <col min="17" max="17" width="8.5" customWidth="1"/>
    <col min="18" max="19" width="7.5" customWidth="1"/>
    <col min="20" max="21" width="8.5" customWidth="1"/>
    <col min="22" max="23" width="7.5" customWidth="1"/>
    <col min="24" max="28" width="22" customWidth="1"/>
  </cols>
  <sheetData>
    <row r="1" spans="1:28" ht="27.75">
      <c r="A1" s="6" t="s">
        <v>54</v>
      </c>
      <c r="B1" s="6" t="s">
        <v>55</v>
      </c>
      <c r="C1" s="6" t="s">
        <v>56</v>
      </c>
      <c r="D1" s="6" t="s">
        <v>26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23</v>
      </c>
      <c r="L1" s="6" t="s">
        <v>24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70</v>
      </c>
      <c r="U1" s="6" t="s">
        <v>71</v>
      </c>
      <c r="V1" s="6" t="s">
        <v>72</v>
      </c>
      <c r="W1" s="6" t="s">
        <v>73</v>
      </c>
      <c r="X1" s="6" t="s">
        <v>74</v>
      </c>
      <c r="Y1" s="6" t="s">
        <v>75</v>
      </c>
      <c r="Z1" s="6" t="s">
        <v>76</v>
      </c>
      <c r="AA1" s="6" t="s">
        <v>77</v>
      </c>
      <c r="AB1" s="6" t="s">
        <v>78</v>
      </c>
    </row>
    <row r="2" spans="1:28">
      <c r="A2" t="s">
        <v>79</v>
      </c>
      <c r="B2" t="s">
        <v>80</v>
      </c>
      <c r="C2" t="s">
        <v>81</v>
      </c>
      <c r="D2" t="s">
        <v>32</v>
      </c>
      <c r="E2" t="s">
        <v>82</v>
      </c>
      <c r="F2">
        <v>250</v>
      </c>
      <c r="G2" t="s">
        <v>83</v>
      </c>
      <c r="H2" t="s">
        <v>84</v>
      </c>
      <c r="I2" t="s">
        <v>85</v>
      </c>
      <c r="J2" t="s">
        <v>86</v>
      </c>
      <c r="K2" t="s">
        <v>29</v>
      </c>
      <c r="L2" t="s">
        <v>30</v>
      </c>
      <c r="M2" t="s">
        <v>87</v>
      </c>
      <c r="N2" s="7">
        <v>7.0869999999999997</v>
      </c>
      <c r="O2" s="7">
        <v>0.217</v>
      </c>
      <c r="P2" s="7">
        <v>3</v>
      </c>
      <c r="Q2" s="7">
        <v>9.7829999999999995</v>
      </c>
      <c r="R2" s="7">
        <v>0.39100000000000001</v>
      </c>
      <c r="S2" s="7">
        <v>3</v>
      </c>
      <c r="T2" s="7">
        <f t="shared" ref="T2:T33" si="0">O2*SQRT(P2)</f>
        <v>0.37585502524244635</v>
      </c>
      <c r="U2" s="7">
        <f t="shared" ref="U2:U33" si="1">R2*SQRT(S2)</f>
        <v>0.67723186575943106</v>
      </c>
      <c r="V2" s="7">
        <f t="shared" ref="V2:V65" si="2">LN(Q2/N2)</f>
        <v>0.32238406564717281</v>
      </c>
      <c r="W2" s="7">
        <f t="shared" ref="W2:W65" si="3">(U2^2/(S2*Q2^2))+(T2^2/(P2*N2^2))</f>
        <v>2.5349346397972685E-3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</row>
    <row r="3" spans="1:28">
      <c r="A3" t="s">
        <v>79</v>
      </c>
      <c r="B3" t="s">
        <v>93</v>
      </c>
      <c r="C3" t="s">
        <v>81</v>
      </c>
      <c r="D3" t="s">
        <v>32</v>
      </c>
      <c r="E3" t="s">
        <v>94</v>
      </c>
      <c r="F3">
        <v>250</v>
      </c>
      <c r="G3" t="s">
        <v>83</v>
      </c>
      <c r="H3" t="s">
        <v>84</v>
      </c>
      <c r="I3" t="s">
        <v>85</v>
      </c>
      <c r="J3" t="s">
        <v>86</v>
      </c>
      <c r="K3" t="s">
        <v>29</v>
      </c>
      <c r="L3" t="s">
        <v>30</v>
      </c>
      <c r="M3" t="s">
        <v>87</v>
      </c>
      <c r="N3" s="7">
        <v>7.0869999999999997</v>
      </c>
      <c r="O3" s="7">
        <v>0.217</v>
      </c>
      <c r="P3" s="7">
        <v>3</v>
      </c>
      <c r="Q3" s="7">
        <v>10.609</v>
      </c>
      <c r="R3" s="7">
        <v>0.39100000000000001</v>
      </c>
      <c r="S3" s="7">
        <v>3</v>
      </c>
      <c r="T3" s="7">
        <f t="shared" si="0"/>
        <v>0.37585502524244635</v>
      </c>
      <c r="U3" s="7">
        <f t="shared" si="1"/>
        <v>0.67723186575943106</v>
      </c>
      <c r="V3" s="7">
        <f t="shared" si="2"/>
        <v>0.40344057764901553</v>
      </c>
      <c r="W3" s="7">
        <f t="shared" si="3"/>
        <v>2.2958782378075786E-3</v>
      </c>
      <c r="X3" t="s">
        <v>88</v>
      </c>
      <c r="Y3" t="s">
        <v>89</v>
      </c>
      <c r="Z3" t="s">
        <v>90</v>
      </c>
      <c r="AA3" t="s">
        <v>91</v>
      </c>
      <c r="AB3" t="s">
        <v>92</v>
      </c>
    </row>
    <row r="4" spans="1:28">
      <c r="A4" t="s">
        <v>79</v>
      </c>
      <c r="B4" t="s">
        <v>95</v>
      </c>
      <c r="C4" t="s">
        <v>81</v>
      </c>
      <c r="D4" t="s">
        <v>32</v>
      </c>
      <c r="E4" t="s">
        <v>96</v>
      </c>
      <c r="F4">
        <v>250</v>
      </c>
      <c r="G4" t="s">
        <v>83</v>
      </c>
      <c r="H4" t="s">
        <v>84</v>
      </c>
      <c r="I4" t="s">
        <v>85</v>
      </c>
      <c r="J4" t="s">
        <v>86</v>
      </c>
      <c r="K4" t="s">
        <v>29</v>
      </c>
      <c r="L4" t="s">
        <v>30</v>
      </c>
      <c r="M4" t="s">
        <v>87</v>
      </c>
      <c r="N4" s="7">
        <v>7.0869999999999997</v>
      </c>
      <c r="O4" s="7">
        <v>0.217</v>
      </c>
      <c r="P4" s="7">
        <v>3</v>
      </c>
      <c r="Q4" s="7">
        <v>10.130000000000001</v>
      </c>
      <c r="R4" s="7">
        <v>0.47799999999999998</v>
      </c>
      <c r="S4" s="7">
        <v>3</v>
      </c>
      <c r="T4" s="7">
        <f t="shared" si="0"/>
        <v>0.37585502524244635</v>
      </c>
      <c r="U4" s="7">
        <f t="shared" si="1"/>
        <v>0.82792028601792322</v>
      </c>
      <c r="V4" s="7">
        <f t="shared" si="2"/>
        <v>0.35723919843247326</v>
      </c>
      <c r="W4" s="7">
        <f t="shared" si="3"/>
        <v>3.1641231700622477E-3</v>
      </c>
      <c r="X4" t="s">
        <v>88</v>
      </c>
      <c r="Y4" t="s">
        <v>89</v>
      </c>
      <c r="Z4" t="s">
        <v>90</v>
      </c>
      <c r="AA4" t="s">
        <v>91</v>
      </c>
      <c r="AB4" t="s">
        <v>92</v>
      </c>
    </row>
    <row r="5" spans="1:28">
      <c r="A5" t="s">
        <v>79</v>
      </c>
      <c r="B5" t="s">
        <v>97</v>
      </c>
      <c r="C5" t="s">
        <v>81</v>
      </c>
      <c r="D5" t="s">
        <v>32</v>
      </c>
      <c r="E5" t="s">
        <v>98</v>
      </c>
      <c r="F5">
        <v>250</v>
      </c>
      <c r="G5" t="s">
        <v>83</v>
      </c>
      <c r="H5" t="s">
        <v>84</v>
      </c>
      <c r="I5" t="s">
        <v>85</v>
      </c>
      <c r="J5" t="s">
        <v>86</v>
      </c>
      <c r="K5" t="s">
        <v>29</v>
      </c>
      <c r="L5" t="s">
        <v>30</v>
      </c>
      <c r="M5" t="s">
        <v>87</v>
      </c>
      <c r="N5" s="7">
        <v>7.0869999999999997</v>
      </c>
      <c r="O5" s="7">
        <v>0.217</v>
      </c>
      <c r="P5" s="7">
        <v>3</v>
      </c>
      <c r="Q5" s="7">
        <v>9.9570000000000007</v>
      </c>
      <c r="R5" s="7">
        <v>0.30399999999999999</v>
      </c>
      <c r="S5" s="7">
        <v>3</v>
      </c>
      <c r="T5" s="7">
        <f t="shared" si="0"/>
        <v>0.37585502524244635</v>
      </c>
      <c r="U5" s="7">
        <f t="shared" si="1"/>
        <v>0.52654344550093868</v>
      </c>
      <c r="V5" s="7">
        <f t="shared" si="2"/>
        <v>0.34001370157782845</v>
      </c>
      <c r="W5" s="7">
        <f t="shared" si="3"/>
        <v>1.8697096887355029E-3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</row>
    <row r="6" spans="1:28">
      <c r="A6" t="s">
        <v>79</v>
      </c>
      <c r="B6" t="s">
        <v>99</v>
      </c>
      <c r="C6" t="s">
        <v>81</v>
      </c>
      <c r="D6" t="s">
        <v>32</v>
      </c>
      <c r="E6" t="s">
        <v>100</v>
      </c>
      <c r="F6">
        <v>1000</v>
      </c>
      <c r="G6" t="s">
        <v>101</v>
      </c>
      <c r="H6" t="s">
        <v>84</v>
      </c>
      <c r="I6" t="s">
        <v>85</v>
      </c>
      <c r="J6" t="s">
        <v>86</v>
      </c>
      <c r="K6" t="s">
        <v>29</v>
      </c>
      <c r="L6" t="s">
        <v>30</v>
      </c>
      <c r="M6" t="s">
        <v>87</v>
      </c>
      <c r="N6" s="7">
        <v>7.0869999999999997</v>
      </c>
      <c r="O6" s="7">
        <v>0.217</v>
      </c>
      <c r="P6" s="7">
        <v>3</v>
      </c>
      <c r="Q6" s="7">
        <v>10.609</v>
      </c>
      <c r="R6" s="7">
        <v>0.13</v>
      </c>
      <c r="S6" s="7">
        <v>3</v>
      </c>
      <c r="T6" s="7">
        <f t="shared" si="0"/>
        <v>0.37585502524244635</v>
      </c>
      <c r="U6" s="7">
        <f t="shared" si="1"/>
        <v>0.22516660498395405</v>
      </c>
      <c r="V6" s="7">
        <f t="shared" si="2"/>
        <v>0.40344057764901553</v>
      </c>
      <c r="W6" s="7">
        <f t="shared" si="3"/>
        <v>1.0877046651813459E-3</v>
      </c>
      <c r="X6" t="s">
        <v>88</v>
      </c>
      <c r="Y6" t="s">
        <v>89</v>
      </c>
      <c r="Z6" t="s">
        <v>90</v>
      </c>
      <c r="AA6" t="s">
        <v>91</v>
      </c>
      <c r="AB6" t="s">
        <v>92</v>
      </c>
    </row>
    <row r="7" spans="1:28">
      <c r="A7" t="s">
        <v>79</v>
      </c>
      <c r="B7" t="s">
        <v>102</v>
      </c>
      <c r="C7" t="s">
        <v>81</v>
      </c>
      <c r="D7" t="s">
        <v>33</v>
      </c>
      <c r="E7" t="s">
        <v>82</v>
      </c>
      <c r="F7">
        <v>250</v>
      </c>
      <c r="G7" t="s">
        <v>83</v>
      </c>
      <c r="H7" t="s">
        <v>84</v>
      </c>
      <c r="I7" t="s">
        <v>85</v>
      </c>
      <c r="J7" t="s">
        <v>86</v>
      </c>
      <c r="K7" t="s">
        <v>29</v>
      </c>
      <c r="L7" t="s">
        <v>30</v>
      </c>
      <c r="M7" t="s">
        <v>87</v>
      </c>
      <c r="N7" s="7">
        <v>6.7389999999999999</v>
      </c>
      <c r="O7" s="7">
        <v>0.30399999999999999</v>
      </c>
      <c r="P7" s="7">
        <v>3</v>
      </c>
      <c r="Q7" s="7">
        <v>9.9570000000000007</v>
      </c>
      <c r="R7" s="7">
        <v>0.47799999999999998</v>
      </c>
      <c r="S7" s="7">
        <v>3</v>
      </c>
      <c r="T7" s="7">
        <f t="shared" si="0"/>
        <v>0.52654344550093868</v>
      </c>
      <c r="U7" s="7">
        <f t="shared" si="1"/>
        <v>0.82792028601792322</v>
      </c>
      <c r="V7" s="7">
        <f t="shared" si="2"/>
        <v>0.39036427544186741</v>
      </c>
      <c r="W7" s="7">
        <f t="shared" si="3"/>
        <v>4.3395788634734232E-3</v>
      </c>
      <c r="X7" t="s">
        <v>88</v>
      </c>
      <c r="Y7" t="s">
        <v>89</v>
      </c>
      <c r="Z7" t="s">
        <v>90</v>
      </c>
      <c r="AA7" t="s">
        <v>103</v>
      </c>
      <c r="AB7" t="s">
        <v>92</v>
      </c>
    </row>
    <row r="8" spans="1:28">
      <c r="A8" t="s">
        <v>79</v>
      </c>
      <c r="B8" t="s">
        <v>104</v>
      </c>
      <c r="C8" t="s">
        <v>81</v>
      </c>
      <c r="D8" t="s">
        <v>33</v>
      </c>
      <c r="E8" t="s">
        <v>94</v>
      </c>
      <c r="F8">
        <v>250</v>
      </c>
      <c r="G8" t="s">
        <v>83</v>
      </c>
      <c r="H8" t="s">
        <v>84</v>
      </c>
      <c r="I8" t="s">
        <v>85</v>
      </c>
      <c r="J8" t="s">
        <v>86</v>
      </c>
      <c r="K8" t="s">
        <v>29</v>
      </c>
      <c r="L8" t="s">
        <v>30</v>
      </c>
      <c r="M8" t="s">
        <v>87</v>
      </c>
      <c r="N8" s="7">
        <v>6.7389999999999999</v>
      </c>
      <c r="O8" s="7">
        <v>0.30399999999999999</v>
      </c>
      <c r="P8" s="7">
        <v>3</v>
      </c>
      <c r="Q8" s="7">
        <v>10.522</v>
      </c>
      <c r="R8" s="7">
        <v>0.217</v>
      </c>
      <c r="S8" s="7">
        <v>3</v>
      </c>
      <c r="T8" s="7">
        <f t="shared" si="0"/>
        <v>0.52654344550093868</v>
      </c>
      <c r="U8" s="7">
        <f t="shared" si="1"/>
        <v>0.37585502524244635</v>
      </c>
      <c r="V8" s="7">
        <f t="shared" si="2"/>
        <v>0.44555675734453559</v>
      </c>
      <c r="W8" s="7">
        <f t="shared" si="3"/>
        <v>2.4602886904078062E-3</v>
      </c>
      <c r="X8" t="s">
        <v>88</v>
      </c>
      <c r="Y8" t="s">
        <v>89</v>
      </c>
      <c r="Z8" t="s">
        <v>90</v>
      </c>
      <c r="AA8" t="s">
        <v>103</v>
      </c>
      <c r="AB8" t="s">
        <v>92</v>
      </c>
    </row>
    <row r="9" spans="1:28">
      <c r="A9" t="s">
        <v>79</v>
      </c>
      <c r="B9" t="s">
        <v>105</v>
      </c>
      <c r="C9" t="s">
        <v>81</v>
      </c>
      <c r="D9" t="s">
        <v>33</v>
      </c>
      <c r="E9" t="s">
        <v>96</v>
      </c>
      <c r="F9">
        <v>250</v>
      </c>
      <c r="G9" t="s">
        <v>83</v>
      </c>
      <c r="H9" t="s">
        <v>84</v>
      </c>
      <c r="I9" t="s">
        <v>85</v>
      </c>
      <c r="J9" t="s">
        <v>86</v>
      </c>
      <c r="K9" t="s">
        <v>29</v>
      </c>
      <c r="L9" t="s">
        <v>30</v>
      </c>
      <c r="M9" t="s">
        <v>87</v>
      </c>
      <c r="N9" s="7">
        <v>6.7389999999999999</v>
      </c>
      <c r="O9" s="7">
        <v>0.30399999999999999</v>
      </c>
      <c r="P9" s="7">
        <v>3</v>
      </c>
      <c r="Q9" s="7">
        <v>10.260999999999999</v>
      </c>
      <c r="R9" s="7">
        <v>0.47799999999999998</v>
      </c>
      <c r="S9" s="7">
        <v>3</v>
      </c>
      <c r="T9" s="7">
        <f t="shared" si="0"/>
        <v>0.52654344550093868</v>
      </c>
      <c r="U9" s="7">
        <f t="shared" si="1"/>
        <v>0.82792028601792322</v>
      </c>
      <c r="V9" s="7">
        <f t="shared" si="2"/>
        <v>0.42043875491599209</v>
      </c>
      <c r="W9" s="7">
        <f t="shared" si="3"/>
        <v>4.205045134644406E-3</v>
      </c>
      <c r="X9" t="s">
        <v>88</v>
      </c>
      <c r="Y9" t="s">
        <v>89</v>
      </c>
      <c r="Z9" t="s">
        <v>90</v>
      </c>
      <c r="AA9" t="s">
        <v>103</v>
      </c>
      <c r="AB9" t="s">
        <v>92</v>
      </c>
    </row>
    <row r="10" spans="1:28">
      <c r="A10" t="s">
        <v>79</v>
      </c>
      <c r="B10" t="s">
        <v>106</v>
      </c>
      <c r="C10" t="s">
        <v>81</v>
      </c>
      <c r="D10" t="s">
        <v>33</v>
      </c>
      <c r="E10" t="s">
        <v>98</v>
      </c>
      <c r="F10">
        <v>250</v>
      </c>
      <c r="G10" t="s">
        <v>83</v>
      </c>
      <c r="H10" t="s">
        <v>84</v>
      </c>
      <c r="I10" t="s">
        <v>85</v>
      </c>
      <c r="J10" t="s">
        <v>86</v>
      </c>
      <c r="K10" t="s">
        <v>29</v>
      </c>
      <c r="L10" t="s">
        <v>30</v>
      </c>
      <c r="M10" t="s">
        <v>87</v>
      </c>
      <c r="N10" s="7">
        <v>6.7389999999999999</v>
      </c>
      <c r="O10" s="7">
        <v>0.30399999999999999</v>
      </c>
      <c r="P10" s="7">
        <v>3</v>
      </c>
      <c r="Q10" s="7">
        <v>9.7829999999999995</v>
      </c>
      <c r="R10" s="7">
        <v>0.217</v>
      </c>
      <c r="S10" s="7">
        <v>3</v>
      </c>
      <c r="T10" s="7">
        <f t="shared" si="0"/>
        <v>0.52654344550093868</v>
      </c>
      <c r="U10" s="7">
        <f t="shared" si="1"/>
        <v>0.37585502524244635</v>
      </c>
      <c r="V10" s="7">
        <f t="shared" si="2"/>
        <v>0.37273463951121177</v>
      </c>
      <c r="W10" s="7">
        <f t="shared" si="3"/>
        <v>2.526973389828718E-3</v>
      </c>
      <c r="X10" t="s">
        <v>88</v>
      </c>
      <c r="Y10" t="s">
        <v>89</v>
      </c>
      <c r="Z10" t="s">
        <v>90</v>
      </c>
      <c r="AA10" t="s">
        <v>103</v>
      </c>
      <c r="AB10" t="s">
        <v>92</v>
      </c>
    </row>
    <row r="11" spans="1:28">
      <c r="A11" t="s">
        <v>79</v>
      </c>
      <c r="B11" t="s">
        <v>107</v>
      </c>
      <c r="C11" t="s">
        <v>81</v>
      </c>
      <c r="D11" t="s">
        <v>33</v>
      </c>
      <c r="E11" t="s">
        <v>100</v>
      </c>
      <c r="F11">
        <v>1000</v>
      </c>
      <c r="G11" t="s">
        <v>101</v>
      </c>
      <c r="H11" t="s">
        <v>84</v>
      </c>
      <c r="I11" t="s">
        <v>85</v>
      </c>
      <c r="J11" t="s">
        <v>86</v>
      </c>
      <c r="K11" t="s">
        <v>29</v>
      </c>
      <c r="L11" t="s">
        <v>30</v>
      </c>
      <c r="M11" t="s">
        <v>87</v>
      </c>
      <c r="N11" s="7">
        <v>6.7389999999999999</v>
      </c>
      <c r="O11" s="7">
        <v>0.30399999999999999</v>
      </c>
      <c r="P11" s="7">
        <v>3</v>
      </c>
      <c r="Q11" s="7">
        <v>11.348000000000001</v>
      </c>
      <c r="R11" s="7">
        <v>0.39100000000000001</v>
      </c>
      <c r="S11" s="7">
        <v>3</v>
      </c>
      <c r="T11" s="7">
        <f t="shared" si="0"/>
        <v>0.52654344550093868</v>
      </c>
      <c r="U11" s="7">
        <f t="shared" si="1"/>
        <v>0.67723186575943106</v>
      </c>
      <c r="V11" s="7">
        <f t="shared" si="2"/>
        <v>0.521129970982525</v>
      </c>
      <c r="W11" s="7">
        <f t="shared" si="3"/>
        <v>3.2221370915484259E-3</v>
      </c>
      <c r="X11" t="s">
        <v>88</v>
      </c>
      <c r="Y11" t="s">
        <v>89</v>
      </c>
      <c r="Z11" t="s">
        <v>90</v>
      </c>
      <c r="AA11" t="s">
        <v>103</v>
      </c>
      <c r="AB11" t="s">
        <v>92</v>
      </c>
    </row>
    <row r="12" spans="1:28">
      <c r="A12" t="s">
        <v>79</v>
      </c>
      <c r="B12" t="s">
        <v>108</v>
      </c>
      <c r="C12" t="s">
        <v>81</v>
      </c>
      <c r="D12" t="s">
        <v>32</v>
      </c>
      <c r="E12" t="s">
        <v>82</v>
      </c>
      <c r="F12">
        <v>250</v>
      </c>
      <c r="G12" t="s">
        <v>83</v>
      </c>
      <c r="H12" t="s">
        <v>84</v>
      </c>
      <c r="I12" t="s">
        <v>85</v>
      </c>
      <c r="J12" t="s">
        <v>86</v>
      </c>
      <c r="K12" t="s">
        <v>29</v>
      </c>
      <c r="L12" t="s">
        <v>40</v>
      </c>
      <c r="M12" t="s">
        <v>87</v>
      </c>
      <c r="N12" s="7">
        <v>9.4789999999999992</v>
      </c>
      <c r="O12" s="7">
        <v>0.46</v>
      </c>
      <c r="P12" s="7">
        <v>3</v>
      </c>
      <c r="Q12" s="7">
        <v>21.626000000000001</v>
      </c>
      <c r="R12" s="7">
        <v>0.27600000000000002</v>
      </c>
      <c r="S12" s="7">
        <v>3</v>
      </c>
      <c r="T12" s="7">
        <f t="shared" si="0"/>
        <v>0.7967433714816835</v>
      </c>
      <c r="U12" s="7">
        <f t="shared" si="1"/>
        <v>0.47804602288901016</v>
      </c>
      <c r="V12" s="7">
        <f t="shared" si="2"/>
        <v>0.82481746905244091</v>
      </c>
      <c r="W12" s="7">
        <f t="shared" si="3"/>
        <v>2.5178776545309862E-3</v>
      </c>
      <c r="X12" t="s">
        <v>88</v>
      </c>
      <c r="Y12" t="s">
        <v>89</v>
      </c>
      <c r="Z12" t="s">
        <v>90</v>
      </c>
      <c r="AA12" t="s">
        <v>109</v>
      </c>
      <c r="AB12" t="s">
        <v>92</v>
      </c>
    </row>
    <row r="13" spans="1:28">
      <c r="A13" t="s">
        <v>79</v>
      </c>
      <c r="B13" t="s">
        <v>110</v>
      </c>
      <c r="C13" t="s">
        <v>81</v>
      </c>
      <c r="D13" t="s">
        <v>32</v>
      </c>
      <c r="E13" t="s">
        <v>94</v>
      </c>
      <c r="F13">
        <v>250</v>
      </c>
      <c r="G13" t="s">
        <v>83</v>
      </c>
      <c r="H13" t="s">
        <v>84</v>
      </c>
      <c r="I13" t="s">
        <v>85</v>
      </c>
      <c r="J13" t="s">
        <v>86</v>
      </c>
      <c r="K13" t="s">
        <v>29</v>
      </c>
      <c r="L13" t="s">
        <v>40</v>
      </c>
      <c r="M13" t="s">
        <v>87</v>
      </c>
      <c r="N13" s="7">
        <v>9.4789999999999992</v>
      </c>
      <c r="O13" s="7">
        <v>0.46</v>
      </c>
      <c r="P13" s="7">
        <v>3</v>
      </c>
      <c r="Q13" s="7">
        <v>19.509</v>
      </c>
      <c r="R13" s="7">
        <v>0.184</v>
      </c>
      <c r="S13" s="7">
        <v>3</v>
      </c>
      <c r="T13" s="7">
        <f t="shared" si="0"/>
        <v>0.7967433714816835</v>
      </c>
      <c r="U13" s="7">
        <f t="shared" si="1"/>
        <v>0.3186973485926734</v>
      </c>
      <c r="V13" s="7">
        <f t="shared" si="2"/>
        <v>0.72179707208421995</v>
      </c>
      <c r="W13" s="7">
        <f t="shared" si="3"/>
        <v>2.4439524323668295E-3</v>
      </c>
      <c r="X13" t="s">
        <v>88</v>
      </c>
      <c r="Y13" t="s">
        <v>89</v>
      </c>
      <c r="Z13" t="s">
        <v>90</v>
      </c>
      <c r="AA13" t="s">
        <v>109</v>
      </c>
      <c r="AB13" t="s">
        <v>92</v>
      </c>
    </row>
    <row r="14" spans="1:28">
      <c r="A14" t="s">
        <v>79</v>
      </c>
      <c r="B14" t="s">
        <v>111</v>
      </c>
      <c r="C14" t="s">
        <v>81</v>
      </c>
      <c r="D14" t="s">
        <v>32</v>
      </c>
      <c r="E14" t="s">
        <v>96</v>
      </c>
      <c r="F14">
        <v>250</v>
      </c>
      <c r="G14" t="s">
        <v>83</v>
      </c>
      <c r="H14" t="s">
        <v>84</v>
      </c>
      <c r="I14" t="s">
        <v>85</v>
      </c>
      <c r="J14" t="s">
        <v>86</v>
      </c>
      <c r="K14" t="s">
        <v>29</v>
      </c>
      <c r="L14" t="s">
        <v>40</v>
      </c>
      <c r="M14" t="s">
        <v>87</v>
      </c>
      <c r="N14" s="7">
        <v>9.4789999999999992</v>
      </c>
      <c r="O14" s="7">
        <v>0.46</v>
      </c>
      <c r="P14" s="7">
        <v>3</v>
      </c>
      <c r="Q14" s="7">
        <v>18.129000000000001</v>
      </c>
      <c r="R14" s="7">
        <v>0.184</v>
      </c>
      <c r="S14" s="7">
        <v>3</v>
      </c>
      <c r="T14" s="7">
        <f t="shared" si="0"/>
        <v>0.7967433714816835</v>
      </c>
      <c r="U14" s="7">
        <f t="shared" si="1"/>
        <v>0.3186973485926734</v>
      </c>
      <c r="V14" s="7">
        <f t="shared" si="2"/>
        <v>0.64843404057662668</v>
      </c>
      <c r="W14" s="7">
        <f t="shared" si="3"/>
        <v>2.4580104328837523E-3</v>
      </c>
      <c r="X14" t="s">
        <v>88</v>
      </c>
      <c r="Y14" t="s">
        <v>89</v>
      </c>
      <c r="Z14" t="s">
        <v>90</v>
      </c>
      <c r="AA14" t="s">
        <v>109</v>
      </c>
      <c r="AB14" t="s">
        <v>92</v>
      </c>
    </row>
    <row r="15" spans="1:28">
      <c r="A15" t="s">
        <v>79</v>
      </c>
      <c r="B15" t="s">
        <v>112</v>
      </c>
      <c r="C15" t="s">
        <v>81</v>
      </c>
      <c r="D15" t="s">
        <v>32</v>
      </c>
      <c r="E15" t="s">
        <v>98</v>
      </c>
      <c r="F15">
        <v>250</v>
      </c>
      <c r="G15" t="s">
        <v>83</v>
      </c>
      <c r="H15" t="s">
        <v>84</v>
      </c>
      <c r="I15" t="s">
        <v>85</v>
      </c>
      <c r="J15" t="s">
        <v>86</v>
      </c>
      <c r="K15" t="s">
        <v>29</v>
      </c>
      <c r="L15" t="s">
        <v>40</v>
      </c>
      <c r="M15" t="s">
        <v>87</v>
      </c>
      <c r="N15" s="7">
        <v>9.4789999999999992</v>
      </c>
      <c r="O15" s="7">
        <v>0.46</v>
      </c>
      <c r="P15" s="7">
        <v>3</v>
      </c>
      <c r="Q15" s="7">
        <v>18.312999999999999</v>
      </c>
      <c r="R15" s="7">
        <v>0.46</v>
      </c>
      <c r="S15" s="7">
        <v>3</v>
      </c>
      <c r="T15" s="7">
        <f t="shared" si="0"/>
        <v>0.7967433714816835</v>
      </c>
      <c r="U15" s="7">
        <f t="shared" si="1"/>
        <v>0.7967433714816835</v>
      </c>
      <c r="V15" s="7">
        <f t="shared" si="2"/>
        <v>0.65853236468790699</v>
      </c>
      <c r="W15" s="7">
        <f t="shared" si="3"/>
        <v>2.9859509125781552E-3</v>
      </c>
      <c r="X15" t="s">
        <v>88</v>
      </c>
      <c r="Y15" t="s">
        <v>89</v>
      </c>
      <c r="Z15" t="s">
        <v>90</v>
      </c>
      <c r="AA15" t="s">
        <v>109</v>
      </c>
      <c r="AB15" t="s">
        <v>92</v>
      </c>
    </row>
    <row r="16" spans="1:28">
      <c r="A16" t="s">
        <v>79</v>
      </c>
      <c r="B16" t="s">
        <v>113</v>
      </c>
      <c r="C16" t="s">
        <v>81</v>
      </c>
      <c r="D16" t="s">
        <v>32</v>
      </c>
      <c r="E16" t="s">
        <v>100</v>
      </c>
      <c r="F16">
        <v>1000</v>
      </c>
      <c r="G16" t="s">
        <v>101</v>
      </c>
      <c r="H16" t="s">
        <v>84</v>
      </c>
      <c r="I16" t="s">
        <v>85</v>
      </c>
      <c r="J16" t="s">
        <v>86</v>
      </c>
      <c r="K16" t="s">
        <v>29</v>
      </c>
      <c r="L16" t="s">
        <v>40</v>
      </c>
      <c r="M16" t="s">
        <v>87</v>
      </c>
      <c r="N16" s="7">
        <v>9.4789999999999992</v>
      </c>
      <c r="O16" s="7">
        <v>0.46</v>
      </c>
      <c r="P16" s="7">
        <v>3</v>
      </c>
      <c r="Q16" s="7">
        <v>22.454000000000001</v>
      </c>
      <c r="R16" s="7">
        <v>0.184</v>
      </c>
      <c r="S16" s="7">
        <v>3</v>
      </c>
      <c r="T16" s="7">
        <f t="shared" si="0"/>
        <v>0.7967433714816835</v>
      </c>
      <c r="U16" s="7">
        <f t="shared" si="1"/>
        <v>0.3186973485926734</v>
      </c>
      <c r="V16" s="7">
        <f t="shared" si="2"/>
        <v>0.86238994656568335</v>
      </c>
      <c r="W16" s="7">
        <f t="shared" si="3"/>
        <v>2.422148741293048E-3</v>
      </c>
      <c r="X16" t="s">
        <v>88</v>
      </c>
      <c r="Y16" t="s">
        <v>89</v>
      </c>
      <c r="Z16" t="s">
        <v>90</v>
      </c>
      <c r="AA16" t="s">
        <v>109</v>
      </c>
      <c r="AB16" t="s">
        <v>92</v>
      </c>
    </row>
    <row r="17" spans="1:28">
      <c r="A17" t="s">
        <v>79</v>
      </c>
      <c r="B17" t="s">
        <v>114</v>
      </c>
      <c r="C17" t="s">
        <v>81</v>
      </c>
      <c r="D17" t="s">
        <v>33</v>
      </c>
      <c r="E17" t="s">
        <v>82</v>
      </c>
      <c r="F17">
        <v>250</v>
      </c>
      <c r="G17" t="s">
        <v>83</v>
      </c>
      <c r="H17" t="s">
        <v>84</v>
      </c>
      <c r="I17" t="s">
        <v>85</v>
      </c>
      <c r="J17" t="s">
        <v>86</v>
      </c>
      <c r="K17" t="s">
        <v>29</v>
      </c>
      <c r="L17" t="s">
        <v>40</v>
      </c>
      <c r="M17" t="s">
        <v>87</v>
      </c>
      <c r="N17" s="7">
        <v>8.9260000000000002</v>
      </c>
      <c r="O17" s="7">
        <v>1.012</v>
      </c>
      <c r="P17" s="7">
        <v>3</v>
      </c>
      <c r="Q17" s="7">
        <v>19.233000000000001</v>
      </c>
      <c r="R17" s="7">
        <v>0.27600000000000002</v>
      </c>
      <c r="S17" s="7">
        <v>3</v>
      </c>
      <c r="T17" s="7">
        <f t="shared" si="0"/>
        <v>1.7528354172597038</v>
      </c>
      <c r="U17" s="7">
        <f t="shared" si="1"/>
        <v>0.47804602288901016</v>
      </c>
      <c r="V17" s="7">
        <f t="shared" si="2"/>
        <v>0.7676591874661518</v>
      </c>
      <c r="W17" s="7">
        <f t="shared" si="3"/>
        <v>1.3060197451619945E-2</v>
      </c>
      <c r="X17" t="s">
        <v>88</v>
      </c>
      <c r="Y17" t="s">
        <v>89</v>
      </c>
      <c r="Z17" t="s">
        <v>90</v>
      </c>
      <c r="AA17" t="s">
        <v>115</v>
      </c>
      <c r="AB17" t="s">
        <v>92</v>
      </c>
    </row>
    <row r="18" spans="1:28">
      <c r="A18" t="s">
        <v>79</v>
      </c>
      <c r="B18" t="s">
        <v>116</v>
      </c>
      <c r="C18" t="s">
        <v>81</v>
      </c>
      <c r="D18" t="s">
        <v>33</v>
      </c>
      <c r="E18" t="s">
        <v>94</v>
      </c>
      <c r="F18">
        <v>250</v>
      </c>
      <c r="G18" t="s">
        <v>83</v>
      </c>
      <c r="H18" t="s">
        <v>84</v>
      </c>
      <c r="I18" t="s">
        <v>85</v>
      </c>
      <c r="J18" t="s">
        <v>86</v>
      </c>
      <c r="K18" t="s">
        <v>29</v>
      </c>
      <c r="L18" t="s">
        <v>40</v>
      </c>
      <c r="M18" t="s">
        <v>87</v>
      </c>
      <c r="N18" s="7">
        <v>8.9260000000000002</v>
      </c>
      <c r="O18" s="7">
        <v>1.012</v>
      </c>
      <c r="P18" s="7">
        <v>3</v>
      </c>
      <c r="Q18" s="7">
        <v>20.428999999999998</v>
      </c>
      <c r="R18" s="7">
        <v>0.27600000000000002</v>
      </c>
      <c r="S18" s="7">
        <v>3</v>
      </c>
      <c r="T18" s="7">
        <f t="shared" si="0"/>
        <v>1.7528354172597038</v>
      </c>
      <c r="U18" s="7">
        <f t="shared" si="1"/>
        <v>0.47804602288901016</v>
      </c>
      <c r="V18" s="7">
        <f t="shared" si="2"/>
        <v>0.82798709379843816</v>
      </c>
      <c r="W18" s="7">
        <f t="shared" si="3"/>
        <v>1.3036790994957026E-2</v>
      </c>
      <c r="X18" t="s">
        <v>88</v>
      </c>
      <c r="Y18" t="s">
        <v>89</v>
      </c>
      <c r="Z18" t="s">
        <v>90</v>
      </c>
      <c r="AA18" t="s">
        <v>115</v>
      </c>
      <c r="AB18" t="s">
        <v>92</v>
      </c>
    </row>
    <row r="19" spans="1:28">
      <c r="A19" t="s">
        <v>79</v>
      </c>
      <c r="B19" t="s">
        <v>117</v>
      </c>
      <c r="C19" t="s">
        <v>81</v>
      </c>
      <c r="D19" t="s">
        <v>33</v>
      </c>
      <c r="E19" t="s">
        <v>96</v>
      </c>
      <c r="F19">
        <v>250</v>
      </c>
      <c r="G19" t="s">
        <v>83</v>
      </c>
      <c r="H19" t="s">
        <v>84</v>
      </c>
      <c r="I19" t="s">
        <v>85</v>
      </c>
      <c r="J19" t="s">
        <v>86</v>
      </c>
      <c r="K19" t="s">
        <v>29</v>
      </c>
      <c r="L19" t="s">
        <v>40</v>
      </c>
      <c r="M19" t="s">
        <v>87</v>
      </c>
      <c r="N19" s="7">
        <v>8.9260000000000002</v>
      </c>
      <c r="O19" s="7">
        <v>1.012</v>
      </c>
      <c r="P19" s="7">
        <v>3</v>
      </c>
      <c r="Q19" s="7">
        <v>17.484999999999999</v>
      </c>
      <c r="R19" s="7">
        <v>0.27600000000000002</v>
      </c>
      <c r="S19" s="7">
        <v>3</v>
      </c>
      <c r="T19" s="7">
        <f t="shared" si="0"/>
        <v>1.7528354172597038</v>
      </c>
      <c r="U19" s="7">
        <f t="shared" si="1"/>
        <v>0.47804602288901016</v>
      </c>
      <c r="V19" s="7">
        <f t="shared" si="2"/>
        <v>0.67237500430826092</v>
      </c>
      <c r="W19" s="7">
        <f t="shared" si="3"/>
        <v>1.3103430242623662E-2</v>
      </c>
      <c r="X19" t="s">
        <v>88</v>
      </c>
      <c r="Y19" t="s">
        <v>89</v>
      </c>
      <c r="Z19" t="s">
        <v>90</v>
      </c>
      <c r="AA19" t="s">
        <v>115</v>
      </c>
      <c r="AB19" t="s">
        <v>92</v>
      </c>
    </row>
    <row r="20" spans="1:28">
      <c r="A20" t="s">
        <v>79</v>
      </c>
      <c r="B20" t="s">
        <v>118</v>
      </c>
      <c r="C20" t="s">
        <v>81</v>
      </c>
      <c r="D20" t="s">
        <v>33</v>
      </c>
      <c r="E20" t="s">
        <v>98</v>
      </c>
      <c r="F20">
        <v>250</v>
      </c>
      <c r="G20" t="s">
        <v>83</v>
      </c>
      <c r="H20" t="s">
        <v>84</v>
      </c>
      <c r="I20" t="s">
        <v>85</v>
      </c>
      <c r="J20" t="s">
        <v>86</v>
      </c>
      <c r="K20" t="s">
        <v>29</v>
      </c>
      <c r="L20" t="s">
        <v>40</v>
      </c>
      <c r="M20" t="s">
        <v>87</v>
      </c>
      <c r="N20" s="7">
        <v>8.9260000000000002</v>
      </c>
      <c r="O20" s="7">
        <v>1.012</v>
      </c>
      <c r="P20" s="7">
        <v>3</v>
      </c>
      <c r="Q20" s="7">
        <v>17.760999999999999</v>
      </c>
      <c r="R20" s="7">
        <v>0.36799999999999999</v>
      </c>
      <c r="S20" s="7">
        <v>3</v>
      </c>
      <c r="T20" s="7">
        <f t="shared" si="0"/>
        <v>1.7528354172597038</v>
      </c>
      <c r="U20" s="7">
        <f t="shared" si="1"/>
        <v>0.6373946971853468</v>
      </c>
      <c r="V20" s="7">
        <f t="shared" si="2"/>
        <v>0.68803667607811148</v>
      </c>
      <c r="W20" s="7">
        <f t="shared" si="3"/>
        <v>1.3283565247883289E-2</v>
      </c>
      <c r="X20" t="s">
        <v>88</v>
      </c>
      <c r="Y20" t="s">
        <v>89</v>
      </c>
      <c r="Z20" t="s">
        <v>90</v>
      </c>
      <c r="AA20" t="s">
        <v>115</v>
      </c>
      <c r="AB20" t="s">
        <v>92</v>
      </c>
    </row>
    <row r="21" spans="1:28">
      <c r="A21" t="s">
        <v>79</v>
      </c>
      <c r="B21" t="s">
        <v>119</v>
      </c>
      <c r="C21" t="s">
        <v>81</v>
      </c>
      <c r="D21" t="s">
        <v>33</v>
      </c>
      <c r="E21" t="s">
        <v>100</v>
      </c>
      <c r="F21">
        <v>1000</v>
      </c>
      <c r="G21" t="s">
        <v>101</v>
      </c>
      <c r="H21" t="s">
        <v>84</v>
      </c>
      <c r="I21" t="s">
        <v>85</v>
      </c>
      <c r="J21" t="s">
        <v>86</v>
      </c>
      <c r="K21" t="s">
        <v>29</v>
      </c>
      <c r="L21" t="s">
        <v>40</v>
      </c>
      <c r="M21" t="s">
        <v>87</v>
      </c>
      <c r="N21" s="7">
        <v>8.9260000000000002</v>
      </c>
      <c r="O21" s="7">
        <v>1.012</v>
      </c>
      <c r="P21" s="7">
        <v>3</v>
      </c>
      <c r="Q21" s="7">
        <v>23.19</v>
      </c>
      <c r="R21" s="7">
        <v>0.82799999999999996</v>
      </c>
      <c r="S21" s="7">
        <v>3</v>
      </c>
      <c r="T21" s="7">
        <f t="shared" si="0"/>
        <v>1.7528354172597038</v>
      </c>
      <c r="U21" s="7">
        <f t="shared" si="1"/>
        <v>1.4341380686670302</v>
      </c>
      <c r="V21" s="7">
        <f t="shared" si="2"/>
        <v>0.95475278506036221</v>
      </c>
      <c r="W21" s="7">
        <f t="shared" si="3"/>
        <v>1.4129115584957785E-2</v>
      </c>
      <c r="X21" t="s">
        <v>88</v>
      </c>
      <c r="Y21" t="s">
        <v>89</v>
      </c>
      <c r="Z21" t="s">
        <v>90</v>
      </c>
      <c r="AA21" t="s">
        <v>115</v>
      </c>
      <c r="AB21" t="s">
        <v>92</v>
      </c>
    </row>
    <row r="22" spans="1:28">
      <c r="A22" t="s">
        <v>79</v>
      </c>
      <c r="B22" t="s">
        <v>120</v>
      </c>
      <c r="C22" t="s">
        <v>81</v>
      </c>
      <c r="D22" t="s">
        <v>32</v>
      </c>
      <c r="E22" t="s">
        <v>82</v>
      </c>
      <c r="F22">
        <v>250</v>
      </c>
      <c r="G22" t="s">
        <v>83</v>
      </c>
      <c r="H22" t="s">
        <v>84</v>
      </c>
      <c r="I22" t="s">
        <v>85</v>
      </c>
      <c r="J22" t="s">
        <v>86</v>
      </c>
      <c r="K22" t="s">
        <v>41</v>
      </c>
      <c r="L22" t="s">
        <v>30</v>
      </c>
      <c r="M22" t="s">
        <v>87</v>
      </c>
      <c r="N22" s="7">
        <v>6.5019999999999998</v>
      </c>
      <c r="O22" s="7">
        <v>0.23699999999999999</v>
      </c>
      <c r="P22" s="7">
        <v>3</v>
      </c>
      <c r="Q22" s="7">
        <v>8.7319999999999993</v>
      </c>
      <c r="R22" s="7">
        <v>0.42699999999999999</v>
      </c>
      <c r="S22" s="7">
        <v>3</v>
      </c>
      <c r="T22" s="7">
        <f t="shared" si="0"/>
        <v>0.4104960413938239</v>
      </c>
      <c r="U22" s="7">
        <f t="shared" si="1"/>
        <v>0.7395856948319105</v>
      </c>
      <c r="V22" s="7">
        <f t="shared" si="2"/>
        <v>0.29488461680598377</v>
      </c>
      <c r="W22" s="7">
        <f t="shared" si="3"/>
        <v>3.7198942864748218E-3</v>
      </c>
      <c r="X22" t="s">
        <v>88</v>
      </c>
      <c r="Y22" t="s">
        <v>89</v>
      </c>
      <c r="Z22" t="s">
        <v>90</v>
      </c>
      <c r="AA22" t="s">
        <v>121</v>
      </c>
      <c r="AB22" t="s">
        <v>92</v>
      </c>
    </row>
    <row r="23" spans="1:28">
      <c r="A23" t="s">
        <v>79</v>
      </c>
      <c r="B23" t="s">
        <v>122</v>
      </c>
      <c r="C23" t="s">
        <v>81</v>
      </c>
      <c r="D23" t="s">
        <v>32</v>
      </c>
      <c r="E23" t="s">
        <v>94</v>
      </c>
      <c r="F23">
        <v>250</v>
      </c>
      <c r="G23" t="s">
        <v>83</v>
      </c>
      <c r="H23" t="s">
        <v>84</v>
      </c>
      <c r="I23" t="s">
        <v>85</v>
      </c>
      <c r="J23" t="s">
        <v>86</v>
      </c>
      <c r="K23" t="s">
        <v>41</v>
      </c>
      <c r="L23" t="s">
        <v>30</v>
      </c>
      <c r="M23" t="s">
        <v>87</v>
      </c>
      <c r="N23" s="7">
        <v>6.5019999999999998</v>
      </c>
      <c r="O23" s="7">
        <v>0.23699999999999999</v>
      </c>
      <c r="P23" s="7">
        <v>3</v>
      </c>
      <c r="Q23" s="7">
        <v>9.4440000000000008</v>
      </c>
      <c r="R23" s="7">
        <v>0.33200000000000002</v>
      </c>
      <c r="S23" s="7">
        <v>3</v>
      </c>
      <c r="T23" s="7">
        <f t="shared" si="0"/>
        <v>0.4104960413938239</v>
      </c>
      <c r="U23" s="7">
        <f t="shared" si="1"/>
        <v>0.57504086811286725</v>
      </c>
      <c r="V23" s="7">
        <f t="shared" si="2"/>
        <v>0.37326979734155297</v>
      </c>
      <c r="W23" s="7">
        <f t="shared" si="3"/>
        <v>2.5644716306655871E-3</v>
      </c>
      <c r="X23" t="s">
        <v>88</v>
      </c>
      <c r="Y23" t="s">
        <v>89</v>
      </c>
      <c r="Z23" t="s">
        <v>90</v>
      </c>
      <c r="AA23" t="s">
        <v>121</v>
      </c>
      <c r="AB23" t="s">
        <v>92</v>
      </c>
    </row>
    <row r="24" spans="1:28">
      <c r="A24" t="s">
        <v>79</v>
      </c>
      <c r="B24" t="s">
        <v>123</v>
      </c>
      <c r="C24" t="s">
        <v>81</v>
      </c>
      <c r="D24" t="s">
        <v>32</v>
      </c>
      <c r="E24" t="s">
        <v>96</v>
      </c>
      <c r="F24">
        <v>250</v>
      </c>
      <c r="G24" t="s">
        <v>83</v>
      </c>
      <c r="H24" t="s">
        <v>84</v>
      </c>
      <c r="I24" t="s">
        <v>85</v>
      </c>
      <c r="J24" t="s">
        <v>86</v>
      </c>
      <c r="K24" t="s">
        <v>41</v>
      </c>
      <c r="L24" t="s">
        <v>30</v>
      </c>
      <c r="M24" t="s">
        <v>87</v>
      </c>
      <c r="N24" s="7">
        <v>6.5019999999999998</v>
      </c>
      <c r="O24" s="7">
        <v>0.23699999999999999</v>
      </c>
      <c r="P24" s="7">
        <v>3</v>
      </c>
      <c r="Q24" s="7">
        <v>9.0640000000000001</v>
      </c>
      <c r="R24" s="7">
        <v>0.33200000000000002</v>
      </c>
      <c r="S24" s="7">
        <v>3</v>
      </c>
      <c r="T24" s="7">
        <f t="shared" si="0"/>
        <v>0.4104960413938239</v>
      </c>
      <c r="U24" s="7">
        <f t="shared" si="1"/>
        <v>0.57504086811286725</v>
      </c>
      <c r="V24" s="7">
        <f t="shared" si="2"/>
        <v>0.33220070184399164</v>
      </c>
      <c r="W24" s="7">
        <f t="shared" si="3"/>
        <v>2.6702672059158083E-3</v>
      </c>
      <c r="X24" t="s">
        <v>88</v>
      </c>
      <c r="Y24" t="s">
        <v>89</v>
      </c>
      <c r="Z24" t="s">
        <v>90</v>
      </c>
      <c r="AA24" t="s">
        <v>121</v>
      </c>
      <c r="AB24" t="s">
        <v>92</v>
      </c>
    </row>
    <row r="25" spans="1:28">
      <c r="A25" t="s">
        <v>79</v>
      </c>
      <c r="B25" t="s">
        <v>124</v>
      </c>
      <c r="C25" t="s">
        <v>81</v>
      </c>
      <c r="D25" t="s">
        <v>32</v>
      </c>
      <c r="E25" t="s">
        <v>98</v>
      </c>
      <c r="F25">
        <v>250</v>
      </c>
      <c r="G25" t="s">
        <v>83</v>
      </c>
      <c r="H25" t="s">
        <v>84</v>
      </c>
      <c r="I25" t="s">
        <v>85</v>
      </c>
      <c r="J25" t="s">
        <v>86</v>
      </c>
      <c r="K25" t="s">
        <v>41</v>
      </c>
      <c r="L25" t="s">
        <v>30</v>
      </c>
      <c r="M25" t="s">
        <v>87</v>
      </c>
      <c r="N25" s="7">
        <v>6.5019999999999998</v>
      </c>
      <c r="O25" s="7">
        <v>0.23699999999999999</v>
      </c>
      <c r="P25" s="7">
        <v>3</v>
      </c>
      <c r="Q25" s="7">
        <v>8.7319999999999993</v>
      </c>
      <c r="R25" s="7">
        <v>0.33200000000000002</v>
      </c>
      <c r="S25" s="7">
        <v>3</v>
      </c>
      <c r="T25" s="7">
        <f t="shared" si="0"/>
        <v>0.4104960413938239</v>
      </c>
      <c r="U25" s="7">
        <f t="shared" si="1"/>
        <v>0.57504086811286725</v>
      </c>
      <c r="V25" s="7">
        <f t="shared" si="2"/>
        <v>0.29488461680598377</v>
      </c>
      <c r="W25" s="7">
        <f t="shared" si="3"/>
        <v>2.7742279550658101E-3</v>
      </c>
      <c r="X25" t="s">
        <v>88</v>
      </c>
      <c r="Y25" t="s">
        <v>89</v>
      </c>
      <c r="Z25" t="s">
        <v>90</v>
      </c>
      <c r="AA25" t="s">
        <v>121</v>
      </c>
      <c r="AB25" t="s">
        <v>92</v>
      </c>
    </row>
    <row r="26" spans="1:28">
      <c r="A26" t="s">
        <v>79</v>
      </c>
      <c r="B26" t="s">
        <v>125</v>
      </c>
      <c r="C26" t="s">
        <v>81</v>
      </c>
      <c r="D26" t="s">
        <v>32</v>
      </c>
      <c r="E26" t="s">
        <v>100</v>
      </c>
      <c r="F26">
        <v>1000</v>
      </c>
      <c r="G26" t="s">
        <v>101</v>
      </c>
      <c r="H26" t="s">
        <v>84</v>
      </c>
      <c r="I26" t="s">
        <v>85</v>
      </c>
      <c r="J26" t="s">
        <v>86</v>
      </c>
      <c r="K26" t="s">
        <v>41</v>
      </c>
      <c r="L26" t="s">
        <v>30</v>
      </c>
      <c r="M26" t="s">
        <v>87</v>
      </c>
      <c r="N26" s="7">
        <v>6.5019999999999998</v>
      </c>
      <c r="O26" s="7">
        <v>0.23699999999999999</v>
      </c>
      <c r="P26" s="7">
        <v>3</v>
      </c>
      <c r="Q26" s="7">
        <v>9.4440000000000008</v>
      </c>
      <c r="R26" s="7">
        <v>0.14199999999999999</v>
      </c>
      <c r="S26" s="7">
        <v>3</v>
      </c>
      <c r="T26" s="7">
        <f t="shared" si="0"/>
        <v>0.4104960413938239</v>
      </c>
      <c r="U26" s="7">
        <f t="shared" si="1"/>
        <v>0.24595121467478054</v>
      </c>
      <c r="V26" s="7">
        <f t="shared" si="2"/>
        <v>0.37326979734155297</v>
      </c>
      <c r="W26" s="7">
        <f t="shared" si="3"/>
        <v>1.554707392115278E-3</v>
      </c>
      <c r="X26" t="s">
        <v>88</v>
      </c>
      <c r="Y26" t="s">
        <v>89</v>
      </c>
      <c r="Z26" t="s">
        <v>90</v>
      </c>
      <c r="AA26" t="s">
        <v>121</v>
      </c>
      <c r="AB26" t="s">
        <v>92</v>
      </c>
    </row>
    <row r="27" spans="1:28">
      <c r="A27" t="s">
        <v>79</v>
      </c>
      <c r="B27" t="s">
        <v>126</v>
      </c>
      <c r="C27" t="s">
        <v>81</v>
      </c>
      <c r="D27" t="s">
        <v>33</v>
      </c>
      <c r="E27" t="s">
        <v>82</v>
      </c>
      <c r="F27">
        <v>250</v>
      </c>
      <c r="G27" t="s">
        <v>83</v>
      </c>
      <c r="H27" t="s">
        <v>84</v>
      </c>
      <c r="I27" t="s">
        <v>85</v>
      </c>
      <c r="J27" t="s">
        <v>86</v>
      </c>
      <c r="K27" t="s">
        <v>41</v>
      </c>
      <c r="L27" t="s">
        <v>30</v>
      </c>
      <c r="M27" t="s">
        <v>87</v>
      </c>
      <c r="N27" s="7">
        <v>6.2169999999999996</v>
      </c>
      <c r="O27" s="7">
        <v>0.23699999999999999</v>
      </c>
      <c r="P27" s="7">
        <v>3</v>
      </c>
      <c r="Q27" s="7">
        <v>8.7319999999999993</v>
      </c>
      <c r="R27" s="7">
        <v>0.52200000000000002</v>
      </c>
      <c r="S27" s="7">
        <v>3</v>
      </c>
      <c r="T27" s="7">
        <f t="shared" si="0"/>
        <v>0.4104960413938239</v>
      </c>
      <c r="U27" s="7">
        <f t="shared" si="1"/>
        <v>0.90413052155095397</v>
      </c>
      <c r="V27" s="7">
        <f t="shared" si="2"/>
        <v>0.33970696340049705</v>
      </c>
      <c r="W27" s="7">
        <f t="shared" si="3"/>
        <v>5.0268946561763759E-3</v>
      </c>
      <c r="X27" t="s">
        <v>88</v>
      </c>
      <c r="Y27" t="s">
        <v>89</v>
      </c>
      <c r="Z27" t="s">
        <v>90</v>
      </c>
      <c r="AA27" t="s">
        <v>127</v>
      </c>
      <c r="AB27" t="s">
        <v>92</v>
      </c>
    </row>
    <row r="28" spans="1:28">
      <c r="A28" t="s">
        <v>79</v>
      </c>
      <c r="B28" t="s">
        <v>128</v>
      </c>
      <c r="C28" t="s">
        <v>81</v>
      </c>
      <c r="D28" t="s">
        <v>33</v>
      </c>
      <c r="E28" t="s">
        <v>94</v>
      </c>
      <c r="F28">
        <v>250</v>
      </c>
      <c r="G28" t="s">
        <v>83</v>
      </c>
      <c r="H28" t="s">
        <v>84</v>
      </c>
      <c r="I28" t="s">
        <v>85</v>
      </c>
      <c r="J28" t="s">
        <v>86</v>
      </c>
      <c r="K28" t="s">
        <v>41</v>
      </c>
      <c r="L28" t="s">
        <v>30</v>
      </c>
      <c r="M28" t="s">
        <v>87</v>
      </c>
      <c r="N28" s="7">
        <v>6.2169999999999996</v>
      </c>
      <c r="O28" s="7">
        <v>0.23699999999999999</v>
      </c>
      <c r="P28" s="7">
        <v>3</v>
      </c>
      <c r="Q28" s="7">
        <v>9.3490000000000002</v>
      </c>
      <c r="R28" s="7">
        <v>4.7E-2</v>
      </c>
      <c r="S28" s="7">
        <v>3</v>
      </c>
      <c r="T28" s="7">
        <f t="shared" si="0"/>
        <v>0.4104960413938239</v>
      </c>
      <c r="U28" s="7">
        <f t="shared" si="1"/>
        <v>8.1406387955737222E-2</v>
      </c>
      <c r="V28" s="7">
        <f t="shared" si="2"/>
        <v>0.40798191042197818</v>
      </c>
      <c r="W28" s="7">
        <f t="shared" si="3"/>
        <v>1.478505516714097E-3</v>
      </c>
      <c r="X28" t="s">
        <v>88</v>
      </c>
      <c r="Y28" t="s">
        <v>89</v>
      </c>
      <c r="Z28" t="s">
        <v>90</v>
      </c>
      <c r="AA28" t="s">
        <v>127</v>
      </c>
      <c r="AB28" t="s">
        <v>92</v>
      </c>
    </row>
    <row r="29" spans="1:28">
      <c r="A29" t="s">
        <v>79</v>
      </c>
      <c r="B29" t="s">
        <v>129</v>
      </c>
      <c r="C29" t="s">
        <v>81</v>
      </c>
      <c r="D29" t="s">
        <v>33</v>
      </c>
      <c r="E29" t="s">
        <v>96</v>
      </c>
      <c r="F29">
        <v>250</v>
      </c>
      <c r="G29" t="s">
        <v>83</v>
      </c>
      <c r="H29" t="s">
        <v>84</v>
      </c>
      <c r="I29" t="s">
        <v>85</v>
      </c>
      <c r="J29" t="s">
        <v>86</v>
      </c>
      <c r="K29" t="s">
        <v>41</v>
      </c>
      <c r="L29" t="s">
        <v>30</v>
      </c>
      <c r="M29" t="s">
        <v>87</v>
      </c>
      <c r="N29" s="7">
        <v>6.2169999999999996</v>
      </c>
      <c r="O29" s="7">
        <v>0.23699999999999999</v>
      </c>
      <c r="P29" s="7">
        <v>3</v>
      </c>
      <c r="Q29" s="7">
        <v>9.0640000000000001</v>
      </c>
      <c r="R29" s="7">
        <v>0.52200000000000002</v>
      </c>
      <c r="S29" s="7">
        <v>3</v>
      </c>
      <c r="T29" s="7">
        <f t="shared" si="0"/>
        <v>0.4104960413938239</v>
      </c>
      <c r="U29" s="7">
        <f t="shared" si="1"/>
        <v>0.90413052155095397</v>
      </c>
      <c r="V29" s="7">
        <f t="shared" si="2"/>
        <v>0.37702304843850482</v>
      </c>
      <c r="W29" s="7">
        <f t="shared" si="3"/>
        <v>4.7698939959627271E-3</v>
      </c>
      <c r="X29" t="s">
        <v>88</v>
      </c>
      <c r="Y29" t="s">
        <v>89</v>
      </c>
      <c r="Z29" t="s">
        <v>90</v>
      </c>
      <c r="AA29" t="s">
        <v>127</v>
      </c>
      <c r="AB29" t="s">
        <v>92</v>
      </c>
    </row>
    <row r="30" spans="1:28">
      <c r="A30" t="s">
        <v>79</v>
      </c>
      <c r="B30" t="s">
        <v>130</v>
      </c>
      <c r="C30" t="s">
        <v>81</v>
      </c>
      <c r="D30" t="s">
        <v>33</v>
      </c>
      <c r="E30" t="s">
        <v>98</v>
      </c>
      <c r="F30">
        <v>250</v>
      </c>
      <c r="G30" t="s">
        <v>83</v>
      </c>
      <c r="H30" t="s">
        <v>84</v>
      </c>
      <c r="I30" t="s">
        <v>85</v>
      </c>
      <c r="J30" t="s">
        <v>86</v>
      </c>
      <c r="K30" t="s">
        <v>41</v>
      </c>
      <c r="L30" t="s">
        <v>30</v>
      </c>
      <c r="M30" t="s">
        <v>87</v>
      </c>
      <c r="N30" s="7">
        <v>6.2169999999999996</v>
      </c>
      <c r="O30" s="7">
        <v>0.23699999999999999</v>
      </c>
      <c r="P30" s="7">
        <v>3</v>
      </c>
      <c r="Q30" s="7">
        <v>8.5419999999999998</v>
      </c>
      <c r="R30" s="7">
        <v>4.7E-2</v>
      </c>
      <c r="S30" s="7">
        <v>3</v>
      </c>
      <c r="T30" s="7">
        <f t="shared" si="0"/>
        <v>0.4104960413938239</v>
      </c>
      <c r="U30" s="7">
        <f t="shared" si="1"/>
        <v>8.1406387955737222E-2</v>
      </c>
      <c r="V30" s="7">
        <f t="shared" si="2"/>
        <v>0.31770769713207431</v>
      </c>
      <c r="W30" s="7">
        <f t="shared" si="3"/>
        <v>1.4835064885941628E-3</v>
      </c>
      <c r="X30" t="s">
        <v>88</v>
      </c>
      <c r="Y30" t="s">
        <v>89</v>
      </c>
      <c r="Z30" t="s">
        <v>90</v>
      </c>
      <c r="AA30" t="s">
        <v>127</v>
      </c>
      <c r="AB30" t="s">
        <v>92</v>
      </c>
    </row>
    <row r="31" spans="1:28">
      <c r="A31" t="s">
        <v>79</v>
      </c>
      <c r="B31" t="s">
        <v>131</v>
      </c>
      <c r="C31" t="s">
        <v>81</v>
      </c>
      <c r="D31" t="s">
        <v>33</v>
      </c>
      <c r="E31" t="s">
        <v>100</v>
      </c>
      <c r="F31">
        <v>1000</v>
      </c>
      <c r="G31" t="s">
        <v>101</v>
      </c>
      <c r="H31" t="s">
        <v>84</v>
      </c>
      <c r="I31" t="s">
        <v>85</v>
      </c>
      <c r="J31" t="s">
        <v>86</v>
      </c>
      <c r="K31" t="s">
        <v>41</v>
      </c>
      <c r="L31" t="s">
        <v>30</v>
      </c>
      <c r="M31" t="s">
        <v>87</v>
      </c>
      <c r="N31" s="7">
        <v>6.2169999999999996</v>
      </c>
      <c r="O31" s="7">
        <v>0.23699999999999999</v>
      </c>
      <c r="P31" s="7">
        <v>3</v>
      </c>
      <c r="Q31" s="7">
        <v>10.108000000000001</v>
      </c>
      <c r="R31" s="7">
        <v>4.7E-2</v>
      </c>
      <c r="S31" s="7">
        <v>3</v>
      </c>
      <c r="T31" s="7">
        <f t="shared" si="0"/>
        <v>0.4104960413938239</v>
      </c>
      <c r="U31" s="7">
        <f t="shared" si="1"/>
        <v>8.1406387955737222E-2</v>
      </c>
      <c r="V31" s="7">
        <f t="shared" si="2"/>
        <v>0.48603971423874742</v>
      </c>
      <c r="W31" s="7">
        <f t="shared" si="3"/>
        <v>1.4748524922168528E-3</v>
      </c>
      <c r="X31" t="s">
        <v>88</v>
      </c>
      <c r="Y31" t="s">
        <v>89</v>
      </c>
      <c r="Z31" t="s">
        <v>90</v>
      </c>
      <c r="AA31" t="s">
        <v>127</v>
      </c>
      <c r="AB31" t="s">
        <v>92</v>
      </c>
    </row>
    <row r="32" spans="1:28">
      <c r="A32" t="s">
        <v>79</v>
      </c>
      <c r="B32" t="s">
        <v>132</v>
      </c>
      <c r="C32" t="s">
        <v>81</v>
      </c>
      <c r="D32" t="s">
        <v>32</v>
      </c>
      <c r="E32" t="s">
        <v>82</v>
      </c>
      <c r="F32">
        <v>250</v>
      </c>
      <c r="G32" t="s">
        <v>83</v>
      </c>
      <c r="H32" t="s">
        <v>84</v>
      </c>
      <c r="I32" t="s">
        <v>85</v>
      </c>
      <c r="J32" t="s">
        <v>86</v>
      </c>
      <c r="K32" t="s">
        <v>41</v>
      </c>
      <c r="L32" t="s">
        <v>40</v>
      </c>
      <c r="M32" t="s">
        <v>87</v>
      </c>
      <c r="N32" s="7">
        <v>17.61</v>
      </c>
      <c r="O32" s="7">
        <v>0.252</v>
      </c>
      <c r="P32" s="7">
        <v>3</v>
      </c>
      <c r="Q32" s="7">
        <v>29.308</v>
      </c>
      <c r="R32" s="7">
        <v>0.377</v>
      </c>
      <c r="S32" s="7">
        <v>3</v>
      </c>
      <c r="T32" s="7">
        <f t="shared" si="0"/>
        <v>0.43647680350735707</v>
      </c>
      <c r="U32" s="7">
        <f t="shared" si="1"/>
        <v>0.65298315445346666</v>
      </c>
      <c r="V32" s="7">
        <f t="shared" si="2"/>
        <v>0.50939359378960269</v>
      </c>
      <c r="W32" s="7">
        <f t="shared" si="3"/>
        <v>3.7024415947415398E-4</v>
      </c>
      <c r="X32" t="s">
        <v>88</v>
      </c>
      <c r="Y32" t="s">
        <v>89</v>
      </c>
      <c r="Z32" t="s">
        <v>90</v>
      </c>
      <c r="AA32" t="s">
        <v>133</v>
      </c>
      <c r="AB32" t="s">
        <v>92</v>
      </c>
    </row>
    <row r="33" spans="1:28">
      <c r="A33" t="s">
        <v>79</v>
      </c>
      <c r="B33" t="s">
        <v>134</v>
      </c>
      <c r="C33" t="s">
        <v>81</v>
      </c>
      <c r="D33" t="s">
        <v>32</v>
      </c>
      <c r="E33" t="s">
        <v>94</v>
      </c>
      <c r="F33">
        <v>250</v>
      </c>
      <c r="G33" t="s">
        <v>83</v>
      </c>
      <c r="H33" t="s">
        <v>84</v>
      </c>
      <c r="I33" t="s">
        <v>85</v>
      </c>
      <c r="J33" t="s">
        <v>86</v>
      </c>
      <c r="K33" t="s">
        <v>41</v>
      </c>
      <c r="L33" t="s">
        <v>40</v>
      </c>
      <c r="M33" t="s">
        <v>87</v>
      </c>
      <c r="N33" s="7">
        <v>17.61</v>
      </c>
      <c r="O33" s="7">
        <v>0.252</v>
      </c>
      <c r="P33" s="7">
        <v>3</v>
      </c>
      <c r="Q33" s="7">
        <v>28.302</v>
      </c>
      <c r="R33" s="7">
        <v>0.126</v>
      </c>
      <c r="S33" s="7">
        <v>3</v>
      </c>
      <c r="T33" s="7">
        <f t="shared" si="0"/>
        <v>0.43647680350735707</v>
      </c>
      <c r="U33" s="7">
        <f t="shared" si="1"/>
        <v>0.21823840175367853</v>
      </c>
      <c r="V33" s="7">
        <f t="shared" si="2"/>
        <v>0.47446555102206484</v>
      </c>
      <c r="W33" s="7">
        <f t="shared" si="3"/>
        <v>2.2459770813278379E-4</v>
      </c>
      <c r="X33" t="s">
        <v>88</v>
      </c>
      <c r="Y33" t="s">
        <v>89</v>
      </c>
      <c r="Z33" t="s">
        <v>90</v>
      </c>
      <c r="AA33" t="s">
        <v>133</v>
      </c>
      <c r="AB33" t="s">
        <v>92</v>
      </c>
    </row>
    <row r="34" spans="1:28">
      <c r="A34" t="s">
        <v>79</v>
      </c>
      <c r="B34" t="s">
        <v>135</v>
      </c>
      <c r="C34" t="s">
        <v>81</v>
      </c>
      <c r="D34" t="s">
        <v>32</v>
      </c>
      <c r="E34" t="s">
        <v>96</v>
      </c>
      <c r="F34">
        <v>250</v>
      </c>
      <c r="G34" t="s">
        <v>83</v>
      </c>
      <c r="H34" t="s">
        <v>84</v>
      </c>
      <c r="I34" t="s">
        <v>85</v>
      </c>
      <c r="J34" t="s">
        <v>86</v>
      </c>
      <c r="K34" t="s">
        <v>41</v>
      </c>
      <c r="L34" t="s">
        <v>40</v>
      </c>
      <c r="M34" t="s">
        <v>87</v>
      </c>
      <c r="N34" s="7">
        <v>17.61</v>
      </c>
      <c r="O34" s="7">
        <v>0.252</v>
      </c>
      <c r="P34" s="7">
        <v>3</v>
      </c>
      <c r="Q34" s="7">
        <v>27.17</v>
      </c>
      <c r="R34" s="7">
        <v>0.377</v>
      </c>
      <c r="S34" s="7">
        <v>3</v>
      </c>
      <c r="T34" s="7">
        <f t="shared" ref="T34:T65" si="4">O34*SQRT(P34)</f>
        <v>0.43647680350735707</v>
      </c>
      <c r="U34" s="7">
        <f t="shared" ref="U34:U65" si="5">R34*SQRT(S34)</f>
        <v>0.65298315445346666</v>
      </c>
      <c r="V34" s="7">
        <f t="shared" si="2"/>
        <v>0.43364650093014173</v>
      </c>
      <c r="W34" s="7">
        <f t="shared" si="3"/>
        <v>3.9730978494192351E-4</v>
      </c>
      <c r="X34" t="s">
        <v>88</v>
      </c>
      <c r="Y34" t="s">
        <v>89</v>
      </c>
      <c r="Z34" t="s">
        <v>90</v>
      </c>
      <c r="AA34" t="s">
        <v>133</v>
      </c>
      <c r="AB34" t="s">
        <v>92</v>
      </c>
    </row>
    <row r="35" spans="1:28">
      <c r="A35" t="s">
        <v>79</v>
      </c>
      <c r="B35" t="s">
        <v>136</v>
      </c>
      <c r="C35" t="s">
        <v>81</v>
      </c>
      <c r="D35" t="s">
        <v>32</v>
      </c>
      <c r="E35" t="s">
        <v>98</v>
      </c>
      <c r="F35">
        <v>250</v>
      </c>
      <c r="G35" t="s">
        <v>83</v>
      </c>
      <c r="H35" t="s">
        <v>84</v>
      </c>
      <c r="I35" t="s">
        <v>85</v>
      </c>
      <c r="J35" t="s">
        <v>86</v>
      </c>
      <c r="K35" t="s">
        <v>41</v>
      </c>
      <c r="L35" t="s">
        <v>40</v>
      </c>
      <c r="M35" t="s">
        <v>87</v>
      </c>
      <c r="N35" s="7">
        <v>17.61</v>
      </c>
      <c r="O35" s="7">
        <v>0.252</v>
      </c>
      <c r="P35" s="7">
        <v>3</v>
      </c>
      <c r="Q35" s="7">
        <v>26.917999999999999</v>
      </c>
      <c r="R35" s="7">
        <v>0.126</v>
      </c>
      <c r="S35" s="7">
        <v>3</v>
      </c>
      <c r="T35" s="7">
        <f t="shared" si="4"/>
        <v>0.43647680350735707</v>
      </c>
      <c r="U35" s="7">
        <f t="shared" si="5"/>
        <v>0.21823840175367853</v>
      </c>
      <c r="V35" s="7">
        <f t="shared" si="2"/>
        <v>0.42432828530340916</v>
      </c>
      <c r="W35" s="7">
        <f t="shared" si="3"/>
        <v>2.2668822536506071E-4</v>
      </c>
      <c r="X35" t="s">
        <v>88</v>
      </c>
      <c r="Y35" t="s">
        <v>89</v>
      </c>
      <c r="Z35" t="s">
        <v>90</v>
      </c>
      <c r="AA35" t="s">
        <v>133</v>
      </c>
      <c r="AB35" t="s">
        <v>92</v>
      </c>
    </row>
    <row r="36" spans="1:28">
      <c r="A36" t="s">
        <v>79</v>
      </c>
      <c r="B36" t="s">
        <v>137</v>
      </c>
      <c r="C36" t="s">
        <v>81</v>
      </c>
      <c r="D36" t="s">
        <v>32</v>
      </c>
      <c r="E36" t="s">
        <v>100</v>
      </c>
      <c r="F36">
        <v>1000</v>
      </c>
      <c r="G36" t="s">
        <v>101</v>
      </c>
      <c r="H36" t="s">
        <v>84</v>
      </c>
      <c r="I36" t="s">
        <v>85</v>
      </c>
      <c r="J36" t="s">
        <v>86</v>
      </c>
      <c r="K36" t="s">
        <v>41</v>
      </c>
      <c r="L36" t="s">
        <v>40</v>
      </c>
      <c r="M36" t="s">
        <v>87</v>
      </c>
      <c r="N36" s="7">
        <v>17.61</v>
      </c>
      <c r="O36" s="7">
        <v>0.252</v>
      </c>
      <c r="P36" s="7">
        <v>3</v>
      </c>
      <c r="Q36" s="7">
        <v>33.082000000000001</v>
      </c>
      <c r="R36" s="7">
        <v>1.1319999999999999</v>
      </c>
      <c r="S36" s="7">
        <v>3</v>
      </c>
      <c r="T36" s="7">
        <f t="shared" si="4"/>
        <v>0.43647680350735707</v>
      </c>
      <c r="U36" s="7">
        <f t="shared" si="5"/>
        <v>1.9606815141679688</v>
      </c>
      <c r="V36" s="7">
        <f t="shared" si="2"/>
        <v>0.63052240531191472</v>
      </c>
      <c r="W36" s="7">
        <f t="shared" si="3"/>
        <v>1.3756493432103289E-3</v>
      </c>
      <c r="X36" t="s">
        <v>88</v>
      </c>
      <c r="Y36" t="s">
        <v>89</v>
      </c>
      <c r="Z36" t="s">
        <v>90</v>
      </c>
      <c r="AA36" t="s">
        <v>133</v>
      </c>
      <c r="AB36" t="s">
        <v>92</v>
      </c>
    </row>
    <row r="37" spans="1:28">
      <c r="A37" t="s">
        <v>79</v>
      </c>
      <c r="B37" t="s">
        <v>138</v>
      </c>
      <c r="C37" t="s">
        <v>81</v>
      </c>
      <c r="D37" t="s">
        <v>33</v>
      </c>
      <c r="E37" t="s">
        <v>82</v>
      </c>
      <c r="F37">
        <v>250</v>
      </c>
      <c r="G37" t="s">
        <v>83</v>
      </c>
      <c r="H37" t="s">
        <v>84</v>
      </c>
      <c r="I37" t="s">
        <v>85</v>
      </c>
      <c r="J37" t="s">
        <v>86</v>
      </c>
      <c r="K37" t="s">
        <v>41</v>
      </c>
      <c r="L37" t="s">
        <v>40</v>
      </c>
      <c r="M37" t="s">
        <v>87</v>
      </c>
      <c r="N37" s="7">
        <v>18.113</v>
      </c>
      <c r="O37" s="7">
        <v>0.629</v>
      </c>
      <c r="P37" s="7">
        <v>3</v>
      </c>
      <c r="Q37" s="7">
        <v>30.692</v>
      </c>
      <c r="R37" s="7">
        <v>0.377</v>
      </c>
      <c r="S37" s="7">
        <v>3</v>
      </c>
      <c r="T37" s="7">
        <f t="shared" si="4"/>
        <v>1.0894599579608237</v>
      </c>
      <c r="U37" s="7">
        <f t="shared" si="5"/>
        <v>0.65298315445346666</v>
      </c>
      <c r="V37" s="7">
        <f t="shared" si="2"/>
        <v>0.52737212180463922</v>
      </c>
      <c r="W37" s="7">
        <f t="shared" si="3"/>
        <v>1.3568058298879314E-3</v>
      </c>
      <c r="X37" t="s">
        <v>88</v>
      </c>
      <c r="Y37" t="s">
        <v>89</v>
      </c>
      <c r="Z37" t="s">
        <v>90</v>
      </c>
      <c r="AA37" t="s">
        <v>139</v>
      </c>
      <c r="AB37" t="s">
        <v>92</v>
      </c>
    </row>
    <row r="38" spans="1:28">
      <c r="A38" t="s">
        <v>79</v>
      </c>
      <c r="B38" t="s">
        <v>140</v>
      </c>
      <c r="C38" t="s">
        <v>81</v>
      </c>
      <c r="D38" t="s">
        <v>33</v>
      </c>
      <c r="E38" t="s">
        <v>94</v>
      </c>
      <c r="F38">
        <v>250</v>
      </c>
      <c r="G38" t="s">
        <v>83</v>
      </c>
      <c r="H38" t="s">
        <v>84</v>
      </c>
      <c r="I38" t="s">
        <v>85</v>
      </c>
      <c r="J38" t="s">
        <v>86</v>
      </c>
      <c r="K38" t="s">
        <v>41</v>
      </c>
      <c r="L38" t="s">
        <v>40</v>
      </c>
      <c r="M38" t="s">
        <v>87</v>
      </c>
      <c r="N38" s="7">
        <v>18.113</v>
      </c>
      <c r="O38" s="7">
        <v>0.629</v>
      </c>
      <c r="P38" s="7">
        <v>3</v>
      </c>
      <c r="Q38" s="7">
        <v>29.56</v>
      </c>
      <c r="R38" s="7">
        <v>0.126</v>
      </c>
      <c r="S38" s="7">
        <v>3</v>
      </c>
      <c r="T38" s="7">
        <f t="shared" si="4"/>
        <v>1.0894599579608237</v>
      </c>
      <c r="U38" s="7">
        <f t="shared" si="5"/>
        <v>0.21823840175367853</v>
      </c>
      <c r="V38" s="7">
        <f t="shared" si="2"/>
        <v>0.4897921835692215</v>
      </c>
      <c r="W38" s="7">
        <f t="shared" si="3"/>
        <v>1.2240946559203916E-3</v>
      </c>
      <c r="X38" t="s">
        <v>88</v>
      </c>
      <c r="Y38" t="s">
        <v>89</v>
      </c>
      <c r="Z38" t="s">
        <v>90</v>
      </c>
      <c r="AA38" t="s">
        <v>139</v>
      </c>
      <c r="AB38" t="s">
        <v>92</v>
      </c>
    </row>
    <row r="39" spans="1:28">
      <c r="A39" t="s">
        <v>79</v>
      </c>
      <c r="B39" t="s">
        <v>141</v>
      </c>
      <c r="C39" t="s">
        <v>81</v>
      </c>
      <c r="D39" t="s">
        <v>33</v>
      </c>
      <c r="E39" t="s">
        <v>96</v>
      </c>
      <c r="F39">
        <v>250</v>
      </c>
      <c r="G39" t="s">
        <v>83</v>
      </c>
      <c r="H39" t="s">
        <v>84</v>
      </c>
      <c r="I39" t="s">
        <v>85</v>
      </c>
      <c r="J39" t="s">
        <v>86</v>
      </c>
      <c r="K39" t="s">
        <v>41</v>
      </c>
      <c r="L39" t="s">
        <v>40</v>
      </c>
      <c r="M39" t="s">
        <v>87</v>
      </c>
      <c r="N39" s="7">
        <v>18.113</v>
      </c>
      <c r="O39" s="7">
        <v>0.629</v>
      </c>
      <c r="P39" s="7">
        <v>3</v>
      </c>
      <c r="Q39" s="7">
        <v>27.420999999999999</v>
      </c>
      <c r="R39" s="7">
        <v>0.377</v>
      </c>
      <c r="S39" s="7">
        <v>3</v>
      </c>
      <c r="T39" s="7">
        <f t="shared" si="4"/>
        <v>1.0894599579608237</v>
      </c>
      <c r="U39" s="7">
        <f t="shared" si="5"/>
        <v>0.65298315445346666</v>
      </c>
      <c r="V39" s="7">
        <f t="shared" si="2"/>
        <v>0.41467923068850826</v>
      </c>
      <c r="W39" s="7">
        <f t="shared" si="3"/>
        <v>1.3949492458299689E-3</v>
      </c>
      <c r="X39" t="s">
        <v>88</v>
      </c>
      <c r="Y39" t="s">
        <v>89</v>
      </c>
      <c r="Z39" t="s">
        <v>90</v>
      </c>
      <c r="AA39" t="s">
        <v>139</v>
      </c>
      <c r="AB39" t="s">
        <v>92</v>
      </c>
    </row>
    <row r="40" spans="1:28">
      <c r="A40" t="s">
        <v>79</v>
      </c>
      <c r="B40" t="s">
        <v>142</v>
      </c>
      <c r="C40" t="s">
        <v>81</v>
      </c>
      <c r="D40" t="s">
        <v>33</v>
      </c>
      <c r="E40" t="s">
        <v>98</v>
      </c>
      <c r="F40">
        <v>250</v>
      </c>
      <c r="G40" t="s">
        <v>83</v>
      </c>
      <c r="H40" t="s">
        <v>84</v>
      </c>
      <c r="I40" t="s">
        <v>85</v>
      </c>
      <c r="J40" t="s">
        <v>86</v>
      </c>
      <c r="K40" t="s">
        <v>41</v>
      </c>
      <c r="L40" t="s">
        <v>40</v>
      </c>
      <c r="M40" t="s">
        <v>87</v>
      </c>
      <c r="N40" s="7">
        <v>18.113</v>
      </c>
      <c r="O40" s="7">
        <v>0.629</v>
      </c>
      <c r="P40" s="7">
        <v>3</v>
      </c>
      <c r="Q40" s="7">
        <v>27.925000000000001</v>
      </c>
      <c r="R40" s="7">
        <v>0.126</v>
      </c>
      <c r="S40" s="7">
        <v>3</v>
      </c>
      <c r="T40" s="7">
        <f t="shared" si="4"/>
        <v>1.0894599579608237</v>
      </c>
      <c r="U40" s="7">
        <f t="shared" si="5"/>
        <v>0.21823840175367853</v>
      </c>
      <c r="V40" s="7">
        <f t="shared" si="2"/>
        <v>0.43289243244448494</v>
      </c>
      <c r="W40" s="7">
        <f t="shared" si="3"/>
        <v>1.2262845250423666E-3</v>
      </c>
      <c r="X40" t="s">
        <v>88</v>
      </c>
      <c r="Y40" t="s">
        <v>89</v>
      </c>
      <c r="Z40" t="s">
        <v>90</v>
      </c>
      <c r="AA40" t="s">
        <v>139</v>
      </c>
      <c r="AB40" t="s">
        <v>92</v>
      </c>
    </row>
    <row r="41" spans="1:28">
      <c r="A41" t="s">
        <v>79</v>
      </c>
      <c r="B41" t="s">
        <v>143</v>
      </c>
      <c r="C41" t="s">
        <v>81</v>
      </c>
      <c r="D41" t="s">
        <v>33</v>
      </c>
      <c r="E41" t="s">
        <v>100</v>
      </c>
      <c r="F41">
        <v>1000</v>
      </c>
      <c r="G41" t="s">
        <v>101</v>
      </c>
      <c r="H41" t="s">
        <v>84</v>
      </c>
      <c r="I41" t="s">
        <v>85</v>
      </c>
      <c r="J41" t="s">
        <v>86</v>
      </c>
      <c r="K41" t="s">
        <v>41</v>
      </c>
      <c r="L41" t="s">
        <v>40</v>
      </c>
      <c r="M41" t="s">
        <v>87</v>
      </c>
      <c r="N41" s="7">
        <v>18.113</v>
      </c>
      <c r="O41" s="7">
        <v>0.629</v>
      </c>
      <c r="P41" s="7">
        <v>3</v>
      </c>
      <c r="Q41" s="7">
        <v>35.094000000000001</v>
      </c>
      <c r="R41" s="7">
        <v>0.126</v>
      </c>
      <c r="S41" s="7">
        <v>3</v>
      </c>
      <c r="T41" s="7">
        <f t="shared" si="4"/>
        <v>1.0894599579608237</v>
      </c>
      <c r="U41" s="7">
        <f t="shared" si="5"/>
        <v>0.21823840175367853</v>
      </c>
      <c r="V41" s="7">
        <f t="shared" si="2"/>
        <v>0.66140026317816425</v>
      </c>
      <c r="W41" s="7">
        <f t="shared" si="3"/>
        <v>1.2188162712005038E-3</v>
      </c>
      <c r="X41" t="s">
        <v>88</v>
      </c>
      <c r="Y41" t="s">
        <v>89</v>
      </c>
      <c r="Z41" t="s">
        <v>90</v>
      </c>
      <c r="AA41" t="s">
        <v>139</v>
      </c>
      <c r="AB41" t="s">
        <v>92</v>
      </c>
    </row>
    <row r="42" spans="1:28">
      <c r="A42" t="s">
        <v>144</v>
      </c>
      <c r="B42" t="s">
        <v>145</v>
      </c>
      <c r="C42" t="s">
        <v>146</v>
      </c>
      <c r="E42" t="s">
        <v>96</v>
      </c>
      <c r="F42">
        <v>300</v>
      </c>
      <c r="G42" t="s">
        <v>147</v>
      </c>
      <c r="H42" t="s">
        <v>84</v>
      </c>
      <c r="I42" t="s">
        <v>85</v>
      </c>
      <c r="J42" t="s">
        <v>148</v>
      </c>
      <c r="K42" t="s">
        <v>149</v>
      </c>
      <c r="L42" t="s">
        <v>42</v>
      </c>
      <c r="M42" t="s">
        <v>150</v>
      </c>
      <c r="N42" s="7">
        <v>36.954999999999998</v>
      </c>
      <c r="O42" s="7">
        <v>5.97</v>
      </c>
      <c r="P42" s="7">
        <v>3</v>
      </c>
      <c r="Q42" s="7">
        <v>41.97</v>
      </c>
      <c r="R42" s="7">
        <v>3.343</v>
      </c>
      <c r="S42" s="7">
        <v>3</v>
      </c>
      <c r="T42" s="7">
        <f t="shared" si="4"/>
        <v>10.340343321186197</v>
      </c>
      <c r="U42" s="7">
        <f t="shared" si="5"/>
        <v>5.7902458497027567</v>
      </c>
      <c r="V42" s="7">
        <f t="shared" si="2"/>
        <v>0.12725412110864937</v>
      </c>
      <c r="W42" s="7">
        <f t="shared" si="3"/>
        <v>3.2442163081584915E-2</v>
      </c>
      <c r="X42" t="s">
        <v>151</v>
      </c>
      <c r="Y42" t="s">
        <v>89</v>
      </c>
      <c r="Z42" t="s">
        <v>90</v>
      </c>
      <c r="AA42" t="s">
        <v>152</v>
      </c>
      <c r="AB42" t="s">
        <v>153</v>
      </c>
    </row>
    <row r="43" spans="1:28">
      <c r="A43" t="s">
        <v>144</v>
      </c>
      <c r="B43" t="s">
        <v>154</v>
      </c>
      <c r="C43" t="s">
        <v>146</v>
      </c>
      <c r="E43" t="s">
        <v>96</v>
      </c>
      <c r="F43">
        <v>450</v>
      </c>
      <c r="G43" t="s">
        <v>147</v>
      </c>
      <c r="H43" t="s">
        <v>84</v>
      </c>
      <c r="I43" t="s">
        <v>85</v>
      </c>
      <c r="J43" t="s">
        <v>148</v>
      </c>
      <c r="K43" t="s">
        <v>149</v>
      </c>
      <c r="L43" t="s">
        <v>42</v>
      </c>
      <c r="M43" t="s">
        <v>150</v>
      </c>
      <c r="N43" s="7">
        <v>36.954999999999998</v>
      </c>
      <c r="O43" s="7">
        <v>5.97</v>
      </c>
      <c r="P43" s="7">
        <v>3</v>
      </c>
      <c r="Q43" s="7">
        <v>46.627000000000002</v>
      </c>
      <c r="R43" s="7">
        <v>6.09</v>
      </c>
      <c r="S43" s="7">
        <v>3</v>
      </c>
      <c r="T43" s="7">
        <f t="shared" si="4"/>
        <v>10.340343321186197</v>
      </c>
      <c r="U43" s="7">
        <f t="shared" si="5"/>
        <v>10.548189418094461</v>
      </c>
      <c r="V43" s="7">
        <f t="shared" si="2"/>
        <v>0.23247881624950567</v>
      </c>
      <c r="W43" s="7">
        <f t="shared" si="3"/>
        <v>4.3156939253624099E-2</v>
      </c>
      <c r="X43" t="s">
        <v>151</v>
      </c>
      <c r="Y43" t="s">
        <v>89</v>
      </c>
      <c r="Z43" t="s">
        <v>90</v>
      </c>
      <c r="AA43" t="s">
        <v>152</v>
      </c>
      <c r="AB43" t="s">
        <v>153</v>
      </c>
    </row>
    <row r="44" spans="1:28">
      <c r="A44" t="s">
        <v>144</v>
      </c>
      <c r="B44" t="s">
        <v>155</v>
      </c>
      <c r="C44" t="s">
        <v>146</v>
      </c>
      <c r="E44" t="s">
        <v>96</v>
      </c>
      <c r="F44">
        <v>300</v>
      </c>
      <c r="G44" t="s">
        <v>147</v>
      </c>
      <c r="H44" t="s">
        <v>84</v>
      </c>
      <c r="I44" t="s">
        <v>85</v>
      </c>
      <c r="J44" t="s">
        <v>156</v>
      </c>
      <c r="K44" t="s">
        <v>149</v>
      </c>
      <c r="L44" t="s">
        <v>42</v>
      </c>
      <c r="M44" t="s">
        <v>150</v>
      </c>
      <c r="N44" s="7">
        <v>35.881</v>
      </c>
      <c r="O44" s="7">
        <v>0.59699999999999998</v>
      </c>
      <c r="P44" s="7">
        <v>3</v>
      </c>
      <c r="Q44" s="7">
        <v>47.94</v>
      </c>
      <c r="R44" s="7">
        <v>5.7309999999999999</v>
      </c>
      <c r="S44" s="7">
        <v>3</v>
      </c>
      <c r="T44" s="7">
        <f t="shared" si="4"/>
        <v>1.0340343321186196</v>
      </c>
      <c r="U44" s="7">
        <f t="shared" si="5"/>
        <v>9.9263831781772343</v>
      </c>
      <c r="V44" s="7">
        <f t="shared" si="2"/>
        <v>0.28974232152397855</v>
      </c>
      <c r="W44" s="7">
        <f t="shared" si="3"/>
        <v>1.4567904464032456E-2</v>
      </c>
      <c r="X44" t="s">
        <v>151</v>
      </c>
      <c r="Y44" t="s">
        <v>89</v>
      </c>
      <c r="Z44" t="s">
        <v>90</v>
      </c>
      <c r="AA44" t="s">
        <v>157</v>
      </c>
      <c r="AB44" t="s">
        <v>92</v>
      </c>
    </row>
    <row r="45" spans="1:28">
      <c r="A45" t="s">
        <v>144</v>
      </c>
      <c r="B45" t="s">
        <v>158</v>
      </c>
      <c r="C45" t="s">
        <v>146</v>
      </c>
      <c r="E45" t="s">
        <v>96</v>
      </c>
      <c r="F45">
        <v>450</v>
      </c>
      <c r="G45" t="s">
        <v>147</v>
      </c>
      <c r="H45" t="s">
        <v>84</v>
      </c>
      <c r="I45" t="s">
        <v>85</v>
      </c>
      <c r="J45" t="s">
        <v>156</v>
      </c>
      <c r="K45" t="s">
        <v>149</v>
      </c>
      <c r="L45" t="s">
        <v>42</v>
      </c>
      <c r="M45" t="s">
        <v>150</v>
      </c>
      <c r="N45" s="7">
        <v>35.881</v>
      </c>
      <c r="O45" s="7">
        <v>0.59699999999999998</v>
      </c>
      <c r="P45" s="7">
        <v>3</v>
      </c>
      <c r="Q45" s="7">
        <v>52</v>
      </c>
      <c r="R45" s="7">
        <v>2.2690000000000001</v>
      </c>
      <c r="S45" s="7">
        <v>3</v>
      </c>
      <c r="T45" s="7">
        <f t="shared" si="4"/>
        <v>1.0340343321186196</v>
      </c>
      <c r="U45" s="7">
        <f t="shared" si="5"/>
        <v>3.9300232823737824</v>
      </c>
      <c r="V45" s="7">
        <f t="shared" si="2"/>
        <v>0.37103581109916761</v>
      </c>
      <c r="W45" s="7">
        <f t="shared" si="3"/>
        <v>2.180813760323422E-3</v>
      </c>
      <c r="X45" t="s">
        <v>151</v>
      </c>
      <c r="Y45" t="s">
        <v>89</v>
      </c>
      <c r="Z45" t="s">
        <v>90</v>
      </c>
      <c r="AA45" t="s">
        <v>157</v>
      </c>
      <c r="AB45" t="s">
        <v>92</v>
      </c>
    </row>
    <row r="46" spans="1:28">
      <c r="A46" t="s">
        <v>144</v>
      </c>
      <c r="B46" t="s">
        <v>159</v>
      </c>
      <c r="C46" t="s">
        <v>146</v>
      </c>
      <c r="E46" t="s">
        <v>96</v>
      </c>
      <c r="F46">
        <v>300</v>
      </c>
      <c r="G46" t="s">
        <v>147</v>
      </c>
      <c r="H46" t="s">
        <v>84</v>
      </c>
      <c r="I46" t="s">
        <v>85</v>
      </c>
      <c r="J46" t="s">
        <v>160</v>
      </c>
      <c r="K46" t="s">
        <v>149</v>
      </c>
      <c r="L46" t="s">
        <v>42</v>
      </c>
      <c r="M46" t="s">
        <v>150</v>
      </c>
      <c r="N46" s="7">
        <v>32.896000000000001</v>
      </c>
      <c r="O46" s="7">
        <v>3.4630000000000001</v>
      </c>
      <c r="P46" s="7">
        <v>3</v>
      </c>
      <c r="Q46" s="7">
        <v>43.881</v>
      </c>
      <c r="R46" s="7">
        <v>6.2089999999999996</v>
      </c>
      <c r="S46" s="7">
        <v>3</v>
      </c>
      <c r="T46" s="7">
        <f t="shared" si="4"/>
        <v>5.9980919466110221</v>
      </c>
      <c r="U46" s="7">
        <f t="shared" si="5"/>
        <v>10.754303464195157</v>
      </c>
      <c r="V46" s="7">
        <f t="shared" si="2"/>
        <v>0.28813035474036103</v>
      </c>
      <c r="W46" s="7">
        <f t="shared" si="3"/>
        <v>3.1103225077797149E-2</v>
      </c>
      <c r="X46" t="s">
        <v>151</v>
      </c>
      <c r="Y46" t="s">
        <v>89</v>
      </c>
      <c r="Z46" t="s">
        <v>90</v>
      </c>
      <c r="AA46" t="s">
        <v>161</v>
      </c>
      <c r="AB46" t="s">
        <v>92</v>
      </c>
    </row>
    <row r="47" spans="1:28">
      <c r="A47" t="s">
        <v>144</v>
      </c>
      <c r="B47" t="s">
        <v>162</v>
      </c>
      <c r="C47" t="s">
        <v>146</v>
      </c>
      <c r="E47" t="s">
        <v>96</v>
      </c>
      <c r="F47">
        <v>450</v>
      </c>
      <c r="G47" t="s">
        <v>147</v>
      </c>
      <c r="H47" t="s">
        <v>84</v>
      </c>
      <c r="I47" t="s">
        <v>85</v>
      </c>
      <c r="J47" t="s">
        <v>160</v>
      </c>
      <c r="K47" t="s">
        <v>149</v>
      </c>
      <c r="L47" t="s">
        <v>42</v>
      </c>
      <c r="M47" t="s">
        <v>150</v>
      </c>
      <c r="N47" s="7">
        <v>32.896000000000001</v>
      </c>
      <c r="O47" s="7">
        <v>3.4630000000000001</v>
      </c>
      <c r="P47" s="7">
        <v>3</v>
      </c>
      <c r="Q47" s="7">
        <v>44.954999999999998</v>
      </c>
      <c r="R47" s="7">
        <v>2.8660000000000001</v>
      </c>
      <c r="S47" s="7">
        <v>3</v>
      </c>
      <c r="T47" s="7">
        <f t="shared" si="4"/>
        <v>5.9980919466110221</v>
      </c>
      <c r="U47" s="7">
        <f t="shared" si="5"/>
        <v>4.9640576144924022</v>
      </c>
      <c r="V47" s="7">
        <f t="shared" si="2"/>
        <v>0.31231091960403623</v>
      </c>
      <c r="W47" s="7">
        <f t="shared" si="3"/>
        <v>1.5146415921928644E-2</v>
      </c>
      <c r="X47" t="s">
        <v>151</v>
      </c>
      <c r="Y47" t="s">
        <v>89</v>
      </c>
      <c r="Z47" t="s">
        <v>90</v>
      </c>
      <c r="AA47" t="s">
        <v>161</v>
      </c>
      <c r="AB47" t="s">
        <v>92</v>
      </c>
    </row>
    <row r="48" spans="1:28">
      <c r="A48" t="s">
        <v>144</v>
      </c>
      <c r="B48" t="s">
        <v>163</v>
      </c>
      <c r="C48" t="s">
        <v>146</v>
      </c>
      <c r="E48" t="s">
        <v>96</v>
      </c>
      <c r="F48">
        <v>300</v>
      </c>
      <c r="G48" t="s">
        <v>147</v>
      </c>
      <c r="H48" t="s">
        <v>84</v>
      </c>
      <c r="I48" t="s">
        <v>85</v>
      </c>
      <c r="J48" t="s">
        <v>148</v>
      </c>
      <c r="K48" t="s">
        <v>149</v>
      </c>
      <c r="L48" t="s">
        <v>53</v>
      </c>
      <c r="M48" t="s">
        <v>150</v>
      </c>
      <c r="N48" s="7">
        <v>31.995999999999999</v>
      </c>
      <c r="O48" s="7">
        <v>5.7880000000000003</v>
      </c>
      <c r="P48" s="7">
        <v>3</v>
      </c>
      <c r="Q48" s="7">
        <v>36.369</v>
      </c>
      <c r="R48" s="7">
        <v>1.415</v>
      </c>
      <c r="S48" s="7">
        <v>3</v>
      </c>
      <c r="T48" s="7">
        <f t="shared" si="4"/>
        <v>10.025110074208662</v>
      </c>
      <c r="U48" s="7">
        <f t="shared" si="5"/>
        <v>2.4508518927099612</v>
      </c>
      <c r="V48" s="7">
        <f t="shared" si="2"/>
        <v>0.12810586844598068</v>
      </c>
      <c r="W48" s="7">
        <f t="shared" si="3"/>
        <v>3.4237682171389186E-2</v>
      </c>
      <c r="X48" t="s">
        <v>151</v>
      </c>
      <c r="Y48" t="s">
        <v>89</v>
      </c>
      <c r="Z48" t="s">
        <v>90</v>
      </c>
      <c r="AA48" t="s">
        <v>164</v>
      </c>
      <c r="AB48" t="s">
        <v>153</v>
      </c>
    </row>
    <row r="49" spans="1:28">
      <c r="A49" t="s">
        <v>144</v>
      </c>
      <c r="B49" t="s">
        <v>165</v>
      </c>
      <c r="C49" t="s">
        <v>146</v>
      </c>
      <c r="E49" t="s">
        <v>96</v>
      </c>
      <c r="F49">
        <v>450</v>
      </c>
      <c r="G49" t="s">
        <v>147</v>
      </c>
      <c r="H49" t="s">
        <v>84</v>
      </c>
      <c r="I49" t="s">
        <v>85</v>
      </c>
      <c r="J49" t="s">
        <v>148</v>
      </c>
      <c r="K49" t="s">
        <v>149</v>
      </c>
      <c r="L49" t="s">
        <v>53</v>
      </c>
      <c r="M49" t="s">
        <v>150</v>
      </c>
      <c r="N49" s="7">
        <v>31.995999999999999</v>
      </c>
      <c r="O49" s="7">
        <v>5.7880000000000003</v>
      </c>
      <c r="P49" s="7">
        <v>3</v>
      </c>
      <c r="Q49" s="7">
        <v>38.040999999999997</v>
      </c>
      <c r="R49" s="7">
        <v>5.7880000000000003</v>
      </c>
      <c r="S49" s="7">
        <v>3</v>
      </c>
      <c r="T49" s="7">
        <f t="shared" si="4"/>
        <v>10.025110074208662</v>
      </c>
      <c r="U49" s="7">
        <f t="shared" si="5"/>
        <v>10.025110074208662</v>
      </c>
      <c r="V49" s="7">
        <f t="shared" si="2"/>
        <v>0.17305363046285824</v>
      </c>
      <c r="W49" s="7">
        <f t="shared" si="3"/>
        <v>5.5874063357332318E-2</v>
      </c>
      <c r="X49" t="s">
        <v>151</v>
      </c>
      <c r="Y49" t="s">
        <v>89</v>
      </c>
      <c r="Z49" t="s">
        <v>90</v>
      </c>
      <c r="AA49" t="s">
        <v>164</v>
      </c>
      <c r="AB49" t="s">
        <v>153</v>
      </c>
    </row>
    <row r="50" spans="1:28">
      <c r="A50" t="s">
        <v>144</v>
      </c>
      <c r="B50" t="s">
        <v>166</v>
      </c>
      <c r="C50" t="s">
        <v>146</v>
      </c>
      <c r="E50" t="s">
        <v>96</v>
      </c>
      <c r="F50">
        <v>300</v>
      </c>
      <c r="G50" t="s">
        <v>147</v>
      </c>
      <c r="H50" t="s">
        <v>84</v>
      </c>
      <c r="I50" t="s">
        <v>85</v>
      </c>
      <c r="J50" t="s">
        <v>156</v>
      </c>
      <c r="K50" t="s">
        <v>149</v>
      </c>
      <c r="L50" t="s">
        <v>53</v>
      </c>
      <c r="M50" t="s">
        <v>150</v>
      </c>
      <c r="N50" s="7">
        <v>29.937999999999999</v>
      </c>
      <c r="O50" s="7">
        <v>4.6310000000000002</v>
      </c>
      <c r="P50" s="7">
        <v>3</v>
      </c>
      <c r="Q50" s="7">
        <v>39.070999999999998</v>
      </c>
      <c r="R50" s="7">
        <v>5.66</v>
      </c>
      <c r="S50" s="7">
        <v>3</v>
      </c>
      <c r="T50" s="7">
        <f t="shared" si="4"/>
        <v>8.0211272898514707</v>
      </c>
      <c r="U50" s="7">
        <f t="shared" si="5"/>
        <v>9.8034075708398447</v>
      </c>
      <c r="V50" s="7">
        <f t="shared" si="2"/>
        <v>0.26625192733213005</v>
      </c>
      <c r="W50" s="7">
        <f t="shared" si="3"/>
        <v>4.4913584269609771E-2</v>
      </c>
      <c r="X50" t="s">
        <v>151</v>
      </c>
      <c r="Y50" t="s">
        <v>89</v>
      </c>
      <c r="Z50" t="s">
        <v>90</v>
      </c>
      <c r="AA50" t="s">
        <v>167</v>
      </c>
      <c r="AB50" t="s">
        <v>92</v>
      </c>
    </row>
    <row r="51" spans="1:28">
      <c r="A51" t="s">
        <v>144</v>
      </c>
      <c r="B51" t="s">
        <v>168</v>
      </c>
      <c r="C51" t="s">
        <v>146</v>
      </c>
      <c r="E51" t="s">
        <v>96</v>
      </c>
      <c r="F51">
        <v>450</v>
      </c>
      <c r="G51" t="s">
        <v>147</v>
      </c>
      <c r="H51" t="s">
        <v>84</v>
      </c>
      <c r="I51" t="s">
        <v>85</v>
      </c>
      <c r="J51" t="s">
        <v>156</v>
      </c>
      <c r="K51" t="s">
        <v>149</v>
      </c>
      <c r="L51" t="s">
        <v>53</v>
      </c>
      <c r="M51" t="s">
        <v>150</v>
      </c>
      <c r="N51" s="7">
        <v>29.937999999999999</v>
      </c>
      <c r="O51" s="7">
        <v>4.6310000000000002</v>
      </c>
      <c r="P51" s="7">
        <v>3</v>
      </c>
      <c r="Q51" s="7">
        <v>41</v>
      </c>
      <c r="R51" s="7">
        <v>5.274</v>
      </c>
      <c r="S51" s="7">
        <v>3</v>
      </c>
      <c r="T51" s="7">
        <f t="shared" si="4"/>
        <v>8.0211272898514707</v>
      </c>
      <c r="U51" s="7">
        <f t="shared" si="5"/>
        <v>9.1348359591182575</v>
      </c>
      <c r="V51" s="7">
        <f t="shared" si="2"/>
        <v>0.31444349021126383</v>
      </c>
      <c r="W51" s="7">
        <f t="shared" si="3"/>
        <v>4.0474611036243502E-2</v>
      </c>
      <c r="X51" t="s">
        <v>151</v>
      </c>
      <c r="Y51" t="s">
        <v>89</v>
      </c>
      <c r="Z51" t="s">
        <v>90</v>
      </c>
      <c r="AA51" t="s">
        <v>167</v>
      </c>
      <c r="AB51" t="s">
        <v>92</v>
      </c>
    </row>
    <row r="52" spans="1:28">
      <c r="A52" t="s">
        <v>144</v>
      </c>
      <c r="B52" t="s">
        <v>169</v>
      </c>
      <c r="C52" t="s">
        <v>146</v>
      </c>
      <c r="E52" t="s">
        <v>96</v>
      </c>
      <c r="F52">
        <v>300</v>
      </c>
      <c r="G52" t="s">
        <v>147</v>
      </c>
      <c r="H52" t="s">
        <v>84</v>
      </c>
      <c r="I52" t="s">
        <v>85</v>
      </c>
      <c r="J52" t="s">
        <v>160</v>
      </c>
      <c r="K52" t="s">
        <v>149</v>
      </c>
      <c r="L52" t="s">
        <v>53</v>
      </c>
      <c r="M52" t="s">
        <v>150</v>
      </c>
      <c r="N52" s="7">
        <v>17.846</v>
      </c>
      <c r="O52" s="7">
        <v>3.988</v>
      </c>
      <c r="P52" s="7">
        <v>3</v>
      </c>
      <c r="Q52" s="7">
        <v>33.924999999999997</v>
      </c>
      <c r="R52" s="7">
        <v>1.1579999999999999</v>
      </c>
      <c r="S52" s="7">
        <v>3</v>
      </c>
      <c r="T52" s="7">
        <f t="shared" si="4"/>
        <v>6.9074186205846821</v>
      </c>
      <c r="U52" s="7">
        <f t="shared" si="5"/>
        <v>2.0057148351647598</v>
      </c>
      <c r="V52" s="7">
        <f t="shared" si="2"/>
        <v>0.64237281224297305</v>
      </c>
      <c r="W52" s="7">
        <f t="shared" si="3"/>
        <v>5.1102836492961282E-2</v>
      </c>
      <c r="X52" t="s">
        <v>151</v>
      </c>
      <c r="Y52" t="s">
        <v>89</v>
      </c>
      <c r="Z52" t="s">
        <v>90</v>
      </c>
      <c r="AA52" t="s">
        <v>170</v>
      </c>
      <c r="AB52" t="s">
        <v>92</v>
      </c>
    </row>
    <row r="53" spans="1:28">
      <c r="A53" t="s">
        <v>144</v>
      </c>
      <c r="B53" t="s">
        <v>171</v>
      </c>
      <c r="C53" t="s">
        <v>146</v>
      </c>
      <c r="E53" t="s">
        <v>96</v>
      </c>
      <c r="F53">
        <v>450</v>
      </c>
      <c r="G53" t="s">
        <v>147</v>
      </c>
      <c r="H53" t="s">
        <v>84</v>
      </c>
      <c r="I53" t="s">
        <v>85</v>
      </c>
      <c r="J53" t="s">
        <v>160</v>
      </c>
      <c r="K53" t="s">
        <v>149</v>
      </c>
      <c r="L53" t="s">
        <v>53</v>
      </c>
      <c r="M53" t="s">
        <v>150</v>
      </c>
      <c r="N53" s="7">
        <v>17.846</v>
      </c>
      <c r="O53" s="7">
        <v>3.988</v>
      </c>
      <c r="P53" s="7">
        <v>3</v>
      </c>
      <c r="Q53" s="7">
        <v>35.982999999999997</v>
      </c>
      <c r="R53" s="7">
        <v>0.51500000000000001</v>
      </c>
      <c r="S53" s="7">
        <v>3</v>
      </c>
      <c r="T53" s="7">
        <f t="shared" si="4"/>
        <v>6.9074186205846821</v>
      </c>
      <c r="U53" s="7">
        <f t="shared" si="5"/>
        <v>0.89200616589797177</v>
      </c>
      <c r="V53" s="7">
        <f t="shared" si="2"/>
        <v>0.70126721122390101</v>
      </c>
      <c r="W53" s="7">
        <f t="shared" si="3"/>
        <v>5.014254072332678E-2</v>
      </c>
      <c r="X53" t="s">
        <v>151</v>
      </c>
      <c r="Y53" t="s">
        <v>89</v>
      </c>
      <c r="Z53" t="s">
        <v>90</v>
      </c>
      <c r="AA53" t="s">
        <v>170</v>
      </c>
      <c r="AB53" t="s">
        <v>92</v>
      </c>
    </row>
    <row r="54" spans="1:28">
      <c r="A54" t="s">
        <v>144</v>
      </c>
      <c r="B54" t="s">
        <v>172</v>
      </c>
      <c r="C54" t="s">
        <v>146</v>
      </c>
      <c r="E54" t="s">
        <v>96</v>
      </c>
      <c r="F54">
        <v>300</v>
      </c>
      <c r="G54" t="s">
        <v>147</v>
      </c>
      <c r="H54" t="s">
        <v>84</v>
      </c>
      <c r="I54" t="s">
        <v>85</v>
      </c>
      <c r="J54" t="s">
        <v>148</v>
      </c>
      <c r="K54" t="s">
        <v>149</v>
      </c>
      <c r="L54" t="s">
        <v>40</v>
      </c>
      <c r="M54" t="s">
        <v>150</v>
      </c>
      <c r="N54" s="7">
        <v>41.889000000000003</v>
      </c>
      <c r="O54" s="7">
        <v>1.111</v>
      </c>
      <c r="P54" s="7">
        <v>3</v>
      </c>
      <c r="Q54" s="7">
        <v>44.889000000000003</v>
      </c>
      <c r="R54" s="7">
        <v>0.55600000000000005</v>
      </c>
      <c r="S54" s="7">
        <v>3</v>
      </c>
      <c r="T54" s="7">
        <f t="shared" si="4"/>
        <v>1.9243084472090226</v>
      </c>
      <c r="U54" s="7">
        <f t="shared" si="5"/>
        <v>0.96302024900829586</v>
      </c>
      <c r="V54" s="7">
        <f t="shared" si="2"/>
        <v>6.9169513241224695E-2</v>
      </c>
      <c r="W54" s="7">
        <f t="shared" si="3"/>
        <v>8.5685740703919622E-4</v>
      </c>
      <c r="X54" t="s">
        <v>151</v>
      </c>
      <c r="Y54" t="s">
        <v>89</v>
      </c>
      <c r="Z54" t="s">
        <v>90</v>
      </c>
      <c r="AA54" t="s">
        <v>173</v>
      </c>
      <c r="AB54" t="s">
        <v>153</v>
      </c>
    </row>
    <row r="55" spans="1:28">
      <c r="A55" t="s">
        <v>144</v>
      </c>
      <c r="B55" t="s">
        <v>174</v>
      </c>
      <c r="C55" t="s">
        <v>146</v>
      </c>
      <c r="E55" t="s">
        <v>96</v>
      </c>
      <c r="F55">
        <v>450</v>
      </c>
      <c r="G55" t="s">
        <v>147</v>
      </c>
      <c r="H55" t="s">
        <v>84</v>
      </c>
      <c r="I55" t="s">
        <v>85</v>
      </c>
      <c r="J55" t="s">
        <v>148</v>
      </c>
      <c r="K55" t="s">
        <v>149</v>
      </c>
      <c r="L55" t="s">
        <v>40</v>
      </c>
      <c r="M55" t="s">
        <v>150</v>
      </c>
      <c r="N55" s="7">
        <v>41.889000000000003</v>
      </c>
      <c r="O55" s="7">
        <v>1.111</v>
      </c>
      <c r="P55" s="7">
        <v>3</v>
      </c>
      <c r="Q55" s="7">
        <v>47</v>
      </c>
      <c r="R55" s="7">
        <v>1.667</v>
      </c>
      <c r="S55" s="7">
        <v>3</v>
      </c>
      <c r="T55" s="7">
        <f t="shared" si="4"/>
        <v>1.9243084472090226</v>
      </c>
      <c r="U55" s="7">
        <f t="shared" si="5"/>
        <v>2.8873286962173181</v>
      </c>
      <c r="V55" s="7">
        <f t="shared" si="2"/>
        <v>0.11512433908189122</v>
      </c>
      <c r="W55" s="7">
        <f t="shared" si="3"/>
        <v>1.9614267978754901E-3</v>
      </c>
      <c r="X55" t="s">
        <v>151</v>
      </c>
      <c r="Y55" t="s">
        <v>89</v>
      </c>
      <c r="Z55" t="s">
        <v>90</v>
      </c>
      <c r="AA55" t="s">
        <v>173</v>
      </c>
      <c r="AB55" t="s">
        <v>153</v>
      </c>
    </row>
    <row r="56" spans="1:28">
      <c r="A56" t="s">
        <v>144</v>
      </c>
      <c r="B56" t="s">
        <v>175</v>
      </c>
      <c r="C56" t="s">
        <v>146</v>
      </c>
      <c r="E56" t="s">
        <v>96</v>
      </c>
      <c r="F56">
        <v>300</v>
      </c>
      <c r="G56" t="s">
        <v>147</v>
      </c>
      <c r="H56" t="s">
        <v>84</v>
      </c>
      <c r="I56" t="s">
        <v>85</v>
      </c>
      <c r="J56" t="s">
        <v>156</v>
      </c>
      <c r="K56" t="s">
        <v>149</v>
      </c>
      <c r="L56" t="s">
        <v>40</v>
      </c>
      <c r="M56" t="s">
        <v>150</v>
      </c>
      <c r="N56" s="7">
        <v>39.889000000000003</v>
      </c>
      <c r="O56" s="7">
        <v>2.8889999999999998</v>
      </c>
      <c r="P56" s="7">
        <v>3</v>
      </c>
      <c r="Q56" s="7">
        <v>47</v>
      </c>
      <c r="R56" s="7">
        <v>0.44400000000000001</v>
      </c>
      <c r="S56" s="7">
        <v>3</v>
      </c>
      <c r="T56" s="7">
        <f t="shared" si="4"/>
        <v>5.0038947830664862</v>
      </c>
      <c r="U56" s="7">
        <f t="shared" si="5"/>
        <v>0.76903055856058145</v>
      </c>
      <c r="V56" s="7">
        <f t="shared" si="2"/>
        <v>0.16404700504655823</v>
      </c>
      <c r="W56" s="7">
        <f t="shared" si="3"/>
        <v>5.3347650742337572E-3</v>
      </c>
      <c r="X56" t="s">
        <v>151</v>
      </c>
      <c r="Y56" t="s">
        <v>89</v>
      </c>
      <c r="Z56" t="s">
        <v>90</v>
      </c>
      <c r="AA56" t="s">
        <v>176</v>
      </c>
      <c r="AB56" t="s">
        <v>92</v>
      </c>
    </row>
    <row r="57" spans="1:28">
      <c r="A57" t="s">
        <v>144</v>
      </c>
      <c r="B57" t="s">
        <v>177</v>
      </c>
      <c r="C57" t="s">
        <v>146</v>
      </c>
      <c r="E57" t="s">
        <v>96</v>
      </c>
      <c r="F57">
        <v>450</v>
      </c>
      <c r="G57" t="s">
        <v>147</v>
      </c>
      <c r="H57" t="s">
        <v>84</v>
      </c>
      <c r="I57" t="s">
        <v>85</v>
      </c>
      <c r="J57" t="s">
        <v>156</v>
      </c>
      <c r="K57" t="s">
        <v>149</v>
      </c>
      <c r="L57" t="s">
        <v>40</v>
      </c>
      <c r="M57" t="s">
        <v>150</v>
      </c>
      <c r="N57" s="7">
        <v>39.889000000000003</v>
      </c>
      <c r="O57" s="7">
        <v>2.8889999999999998</v>
      </c>
      <c r="P57" s="7">
        <v>3</v>
      </c>
      <c r="Q57" s="7">
        <v>55</v>
      </c>
      <c r="R57" s="7">
        <v>2.778</v>
      </c>
      <c r="S57" s="7">
        <v>3</v>
      </c>
      <c r="T57" s="7">
        <f t="shared" si="4"/>
        <v>5.0038947830664862</v>
      </c>
      <c r="U57" s="7">
        <f t="shared" si="5"/>
        <v>4.8116371434263412</v>
      </c>
      <c r="V57" s="7">
        <f t="shared" si="2"/>
        <v>0.32123258856897058</v>
      </c>
      <c r="W57" s="7">
        <f t="shared" si="3"/>
        <v>7.7966911476598996E-3</v>
      </c>
      <c r="X57" t="s">
        <v>151</v>
      </c>
      <c r="Y57" t="s">
        <v>89</v>
      </c>
      <c r="Z57" t="s">
        <v>90</v>
      </c>
      <c r="AA57" t="s">
        <v>176</v>
      </c>
      <c r="AB57" t="s">
        <v>92</v>
      </c>
    </row>
    <row r="58" spans="1:28">
      <c r="A58" t="s">
        <v>144</v>
      </c>
      <c r="B58" t="s">
        <v>178</v>
      </c>
      <c r="C58" t="s">
        <v>146</v>
      </c>
      <c r="E58" t="s">
        <v>96</v>
      </c>
      <c r="F58">
        <v>300</v>
      </c>
      <c r="G58" t="s">
        <v>147</v>
      </c>
      <c r="H58" t="s">
        <v>84</v>
      </c>
      <c r="I58" t="s">
        <v>85</v>
      </c>
      <c r="J58" t="s">
        <v>160</v>
      </c>
      <c r="K58" t="s">
        <v>149</v>
      </c>
      <c r="L58" t="s">
        <v>40</v>
      </c>
      <c r="M58" t="s">
        <v>150</v>
      </c>
      <c r="N58" s="7">
        <v>35.889000000000003</v>
      </c>
      <c r="O58" s="7">
        <v>1.778</v>
      </c>
      <c r="P58" s="7">
        <v>3</v>
      </c>
      <c r="Q58" s="7">
        <v>43</v>
      </c>
      <c r="R58" s="7">
        <v>5.6669999999999998</v>
      </c>
      <c r="S58" s="7">
        <v>3</v>
      </c>
      <c r="T58" s="7">
        <f t="shared" si="4"/>
        <v>3.0795863358574636</v>
      </c>
      <c r="U58" s="7">
        <f t="shared" si="5"/>
        <v>9.8155319264928274</v>
      </c>
      <c r="V58" s="7">
        <f t="shared" si="2"/>
        <v>0.18076927383668553</v>
      </c>
      <c r="W58" s="7">
        <f t="shared" si="3"/>
        <v>1.9823162313897767E-2</v>
      </c>
      <c r="X58" t="s">
        <v>151</v>
      </c>
      <c r="Y58" t="s">
        <v>89</v>
      </c>
      <c r="Z58" t="s">
        <v>90</v>
      </c>
      <c r="AA58" t="s">
        <v>179</v>
      </c>
      <c r="AB58" t="s">
        <v>92</v>
      </c>
    </row>
    <row r="59" spans="1:28">
      <c r="A59" t="s">
        <v>144</v>
      </c>
      <c r="B59" t="s">
        <v>180</v>
      </c>
      <c r="C59" t="s">
        <v>146</v>
      </c>
      <c r="E59" t="s">
        <v>96</v>
      </c>
      <c r="F59">
        <v>450</v>
      </c>
      <c r="G59" t="s">
        <v>147</v>
      </c>
      <c r="H59" t="s">
        <v>84</v>
      </c>
      <c r="I59" t="s">
        <v>85</v>
      </c>
      <c r="J59" t="s">
        <v>160</v>
      </c>
      <c r="K59" t="s">
        <v>149</v>
      </c>
      <c r="L59" t="s">
        <v>40</v>
      </c>
      <c r="M59" t="s">
        <v>150</v>
      </c>
      <c r="N59" s="7">
        <v>35.889000000000003</v>
      </c>
      <c r="O59" s="7">
        <v>1.778</v>
      </c>
      <c r="P59" s="7">
        <v>3</v>
      </c>
      <c r="Q59" s="7">
        <v>41.889000000000003</v>
      </c>
      <c r="R59" s="7">
        <v>5.7779999999999996</v>
      </c>
      <c r="S59" s="7">
        <v>3</v>
      </c>
      <c r="T59" s="7">
        <f t="shared" si="4"/>
        <v>3.0795863358574636</v>
      </c>
      <c r="U59" s="7">
        <f t="shared" si="5"/>
        <v>10.007789566132972</v>
      </c>
      <c r="V59" s="7">
        <f t="shared" si="2"/>
        <v>0.1545924207712906</v>
      </c>
      <c r="W59" s="7">
        <f t="shared" si="3"/>
        <v>2.1480707145680435E-2</v>
      </c>
      <c r="X59" t="s">
        <v>151</v>
      </c>
      <c r="Y59" t="s">
        <v>89</v>
      </c>
      <c r="Z59" t="s">
        <v>90</v>
      </c>
      <c r="AA59" t="s">
        <v>179</v>
      </c>
      <c r="AB59" t="s">
        <v>92</v>
      </c>
    </row>
    <row r="60" spans="1:28">
      <c r="A60" t="s">
        <v>181</v>
      </c>
      <c r="B60" t="s">
        <v>182</v>
      </c>
      <c r="C60" t="s">
        <v>183</v>
      </c>
      <c r="D60" t="s">
        <v>184</v>
      </c>
      <c r="E60" t="s">
        <v>96</v>
      </c>
      <c r="F60">
        <v>30</v>
      </c>
      <c r="G60" t="s">
        <v>185</v>
      </c>
      <c r="H60" t="s">
        <v>84</v>
      </c>
      <c r="I60" t="s">
        <v>186</v>
      </c>
      <c r="J60" t="s">
        <v>187</v>
      </c>
      <c r="K60" t="s">
        <v>41</v>
      </c>
      <c r="L60" t="s">
        <v>40</v>
      </c>
      <c r="M60" t="s">
        <v>188</v>
      </c>
      <c r="N60" s="7">
        <v>20.818247646632873</v>
      </c>
      <c r="O60" s="7">
        <v>0.74249849143134738</v>
      </c>
      <c r="P60" s="7">
        <v>4</v>
      </c>
      <c r="Q60" s="7">
        <v>24.582597755249818</v>
      </c>
      <c r="R60" s="7">
        <v>0.9416769249336141</v>
      </c>
      <c r="S60" s="7">
        <v>4</v>
      </c>
      <c r="T60" s="7">
        <f t="shared" si="4"/>
        <v>1.4849969828626948</v>
      </c>
      <c r="U60" s="7">
        <f t="shared" si="5"/>
        <v>1.8833538498672282</v>
      </c>
      <c r="V60" s="7">
        <f t="shared" si="2"/>
        <v>0.16620889146760232</v>
      </c>
      <c r="W60" s="7">
        <f t="shared" si="3"/>
        <v>2.7394452805747614E-3</v>
      </c>
      <c r="X60" t="s">
        <v>189</v>
      </c>
      <c r="Y60" t="s">
        <v>190</v>
      </c>
      <c r="Z60" t="s">
        <v>191</v>
      </c>
      <c r="AA60" t="s">
        <v>192</v>
      </c>
      <c r="AB60" t="s">
        <v>92</v>
      </c>
    </row>
    <row r="61" spans="1:28">
      <c r="A61" t="s">
        <v>181</v>
      </c>
      <c r="B61" t="s">
        <v>193</v>
      </c>
      <c r="C61" t="s">
        <v>183</v>
      </c>
      <c r="D61" t="s">
        <v>184</v>
      </c>
      <c r="E61" t="s">
        <v>96</v>
      </c>
      <c r="F61">
        <v>60</v>
      </c>
      <c r="G61" t="s">
        <v>185</v>
      </c>
      <c r="H61" t="s">
        <v>84</v>
      </c>
      <c r="I61" t="s">
        <v>186</v>
      </c>
      <c r="J61" t="s">
        <v>187</v>
      </c>
      <c r="K61" t="s">
        <v>41</v>
      </c>
      <c r="L61" t="s">
        <v>40</v>
      </c>
      <c r="M61" t="s">
        <v>188</v>
      </c>
      <c r="N61" s="7">
        <v>20.818247646632873</v>
      </c>
      <c r="O61" s="7">
        <v>0.74249849143134738</v>
      </c>
      <c r="P61" s="7">
        <v>4</v>
      </c>
      <c r="Q61" s="7">
        <v>22.701600893072651</v>
      </c>
      <c r="R61" s="7">
        <v>1.1396765628771333</v>
      </c>
      <c r="S61" s="7">
        <v>4</v>
      </c>
      <c r="T61" s="7">
        <f t="shared" si="4"/>
        <v>1.4849969828626948</v>
      </c>
      <c r="U61" s="7">
        <f t="shared" si="5"/>
        <v>2.2793531257542665</v>
      </c>
      <c r="V61" s="7">
        <f t="shared" si="2"/>
        <v>8.6605553108363126E-2</v>
      </c>
      <c r="W61" s="7">
        <f t="shared" si="3"/>
        <v>3.792334528863679E-3</v>
      </c>
      <c r="X61" t="s">
        <v>189</v>
      </c>
      <c r="Y61" t="s">
        <v>190</v>
      </c>
      <c r="Z61" t="s">
        <v>191</v>
      </c>
      <c r="AA61" t="s">
        <v>192</v>
      </c>
      <c r="AB61" t="s">
        <v>92</v>
      </c>
    </row>
    <row r="62" spans="1:28">
      <c r="A62" t="s">
        <v>181</v>
      </c>
      <c r="B62" t="s">
        <v>194</v>
      </c>
      <c r="C62" t="s">
        <v>183</v>
      </c>
      <c r="D62" t="s">
        <v>195</v>
      </c>
      <c r="E62" t="s">
        <v>96</v>
      </c>
      <c r="F62">
        <v>30</v>
      </c>
      <c r="G62" t="s">
        <v>185</v>
      </c>
      <c r="H62" t="s">
        <v>84</v>
      </c>
      <c r="I62" t="s">
        <v>186</v>
      </c>
      <c r="J62" t="s">
        <v>187</v>
      </c>
      <c r="K62" t="s">
        <v>41</v>
      </c>
      <c r="L62" t="s">
        <v>40</v>
      </c>
      <c r="M62" t="s">
        <v>188</v>
      </c>
      <c r="N62" s="7">
        <v>20.818247646632873</v>
      </c>
      <c r="O62" s="7">
        <v>1.1408550567221818</v>
      </c>
      <c r="P62" s="7">
        <v>4</v>
      </c>
      <c r="Q62" s="7">
        <v>24.582597755249818</v>
      </c>
      <c r="R62" s="7">
        <v>0.9416769249336141</v>
      </c>
      <c r="S62" s="7">
        <v>4</v>
      </c>
      <c r="T62" s="7">
        <f t="shared" si="4"/>
        <v>2.2817101134443636</v>
      </c>
      <c r="U62" s="7">
        <f t="shared" si="5"/>
        <v>1.8833538498672282</v>
      </c>
      <c r="V62" s="7">
        <f t="shared" si="2"/>
        <v>0.16620889146760232</v>
      </c>
      <c r="W62" s="7">
        <f t="shared" si="3"/>
        <v>4.470518719879679E-3</v>
      </c>
      <c r="X62" t="s">
        <v>189</v>
      </c>
      <c r="Y62" t="s">
        <v>190</v>
      </c>
      <c r="Z62" t="s">
        <v>191</v>
      </c>
      <c r="AA62" t="s">
        <v>196</v>
      </c>
      <c r="AB62" t="s">
        <v>92</v>
      </c>
    </row>
    <row r="63" spans="1:28">
      <c r="A63" t="s">
        <v>181</v>
      </c>
      <c r="B63" t="s">
        <v>197</v>
      </c>
      <c r="C63" t="s">
        <v>183</v>
      </c>
      <c r="D63" t="s">
        <v>195</v>
      </c>
      <c r="E63" t="s">
        <v>96</v>
      </c>
      <c r="F63">
        <v>60</v>
      </c>
      <c r="G63" t="s">
        <v>185</v>
      </c>
      <c r="H63" t="s">
        <v>84</v>
      </c>
      <c r="I63" t="s">
        <v>186</v>
      </c>
      <c r="J63" t="s">
        <v>187</v>
      </c>
      <c r="K63" t="s">
        <v>41</v>
      </c>
      <c r="L63" t="s">
        <v>40</v>
      </c>
      <c r="M63" t="s">
        <v>188</v>
      </c>
      <c r="N63" s="7">
        <v>20.818247646632873</v>
      </c>
      <c r="O63" s="7">
        <v>1.1408550567221818</v>
      </c>
      <c r="P63" s="7">
        <v>4</v>
      </c>
      <c r="Q63" s="7">
        <v>22.701600893072651</v>
      </c>
      <c r="R63" s="7">
        <v>1.1396765628771333</v>
      </c>
      <c r="S63" s="7">
        <v>4</v>
      </c>
      <c r="T63" s="7">
        <f t="shared" si="4"/>
        <v>2.2817101134443636</v>
      </c>
      <c r="U63" s="7">
        <f t="shared" si="5"/>
        <v>2.2793531257542665</v>
      </c>
      <c r="V63" s="7">
        <f t="shared" si="2"/>
        <v>8.6605553108363126E-2</v>
      </c>
      <c r="W63" s="7">
        <f t="shared" si="3"/>
        <v>5.5234079681685967E-3</v>
      </c>
      <c r="X63" t="s">
        <v>189</v>
      </c>
      <c r="Y63" t="s">
        <v>190</v>
      </c>
      <c r="Z63" t="s">
        <v>191</v>
      </c>
      <c r="AA63" t="s">
        <v>196</v>
      </c>
      <c r="AB63" t="s">
        <v>92</v>
      </c>
    </row>
    <row r="64" spans="1:28">
      <c r="A64" t="s">
        <v>181</v>
      </c>
      <c r="B64" t="s">
        <v>198</v>
      </c>
      <c r="C64" t="s">
        <v>183</v>
      </c>
      <c r="D64" t="s">
        <v>184</v>
      </c>
      <c r="E64" t="s">
        <v>96</v>
      </c>
      <c r="F64">
        <v>30</v>
      </c>
      <c r="G64" t="s">
        <v>185</v>
      </c>
      <c r="H64" t="s">
        <v>84</v>
      </c>
      <c r="I64" t="s">
        <v>186</v>
      </c>
      <c r="J64" t="s">
        <v>187</v>
      </c>
      <c r="K64" t="s">
        <v>41</v>
      </c>
      <c r="L64" t="s">
        <v>40</v>
      </c>
      <c r="M64" t="s">
        <v>188</v>
      </c>
      <c r="N64" s="7">
        <v>17.777538619357951</v>
      </c>
      <c r="O64" s="7">
        <v>1.1219979483466087</v>
      </c>
      <c r="P64" s="7">
        <v>4</v>
      </c>
      <c r="Q64" s="7">
        <v>23.823598841419258</v>
      </c>
      <c r="R64" s="7">
        <v>1.1219979483466087</v>
      </c>
      <c r="S64" s="7">
        <v>4</v>
      </c>
      <c r="T64" s="7">
        <f t="shared" si="4"/>
        <v>2.2439958966932174</v>
      </c>
      <c r="U64" s="7">
        <f t="shared" si="5"/>
        <v>2.2439958966932174</v>
      </c>
      <c r="V64" s="7">
        <f t="shared" si="2"/>
        <v>0.29274085223125074</v>
      </c>
      <c r="W64" s="7">
        <f t="shared" si="3"/>
        <v>6.2013203447805199E-3</v>
      </c>
      <c r="X64" t="s">
        <v>189</v>
      </c>
      <c r="Y64" t="s">
        <v>190</v>
      </c>
      <c r="Z64" t="s">
        <v>191</v>
      </c>
      <c r="AA64" t="s">
        <v>199</v>
      </c>
      <c r="AB64" t="s">
        <v>92</v>
      </c>
    </row>
    <row r="65" spans="1:28">
      <c r="A65" t="s">
        <v>181</v>
      </c>
      <c r="B65" t="s">
        <v>200</v>
      </c>
      <c r="C65" t="s">
        <v>183</v>
      </c>
      <c r="D65" t="s">
        <v>184</v>
      </c>
      <c r="E65" t="s">
        <v>96</v>
      </c>
      <c r="F65">
        <v>60</v>
      </c>
      <c r="G65" t="s">
        <v>185</v>
      </c>
      <c r="H65" t="s">
        <v>84</v>
      </c>
      <c r="I65" t="s">
        <v>186</v>
      </c>
      <c r="J65" t="s">
        <v>187</v>
      </c>
      <c r="K65" t="s">
        <v>41</v>
      </c>
      <c r="L65" t="s">
        <v>40</v>
      </c>
      <c r="M65" t="s">
        <v>188</v>
      </c>
      <c r="N65" s="7">
        <v>17.777538619357951</v>
      </c>
      <c r="O65" s="7">
        <v>1.1219979483466087</v>
      </c>
      <c r="P65" s="7">
        <v>4</v>
      </c>
      <c r="Q65" s="7">
        <v>21.940244991552014</v>
      </c>
      <c r="R65" s="7">
        <v>0.9416769249336141</v>
      </c>
      <c r="S65" s="7">
        <v>4</v>
      </c>
      <c r="T65" s="7">
        <f t="shared" si="4"/>
        <v>2.2439958966932174</v>
      </c>
      <c r="U65" s="7">
        <f t="shared" si="5"/>
        <v>1.8833538498672282</v>
      </c>
      <c r="V65" s="7">
        <f t="shared" si="2"/>
        <v>0.21038683607228223</v>
      </c>
      <c r="W65" s="7">
        <f t="shared" si="3"/>
        <v>5.8254129585573215E-3</v>
      </c>
      <c r="X65" t="s">
        <v>189</v>
      </c>
      <c r="Y65" t="s">
        <v>190</v>
      </c>
      <c r="Z65" t="s">
        <v>191</v>
      </c>
      <c r="AA65" t="s">
        <v>199</v>
      </c>
      <c r="AB65" t="s">
        <v>92</v>
      </c>
    </row>
    <row r="66" spans="1:28">
      <c r="A66" t="s">
        <v>181</v>
      </c>
      <c r="B66" t="s">
        <v>201</v>
      </c>
      <c r="C66" t="s">
        <v>183</v>
      </c>
      <c r="D66" t="s">
        <v>195</v>
      </c>
      <c r="E66" t="s">
        <v>96</v>
      </c>
      <c r="F66">
        <v>30</v>
      </c>
      <c r="G66" t="s">
        <v>185</v>
      </c>
      <c r="H66" t="s">
        <v>84</v>
      </c>
      <c r="I66" t="s">
        <v>186</v>
      </c>
      <c r="J66" t="s">
        <v>187</v>
      </c>
      <c r="K66" t="s">
        <v>41</v>
      </c>
      <c r="L66" t="s">
        <v>40</v>
      </c>
      <c r="M66" t="s">
        <v>188</v>
      </c>
      <c r="N66" s="7">
        <v>17.777538619357951</v>
      </c>
      <c r="O66" s="7">
        <v>1.1219979483466087</v>
      </c>
      <c r="P66" s="7">
        <v>4</v>
      </c>
      <c r="Q66" s="7">
        <v>23.823598841419258</v>
      </c>
      <c r="R66" s="7">
        <v>1.1219979483466087</v>
      </c>
      <c r="S66" s="7">
        <v>4</v>
      </c>
      <c r="T66" s="7">
        <f t="shared" ref="T66:T97" si="6">O66*SQRT(P66)</f>
        <v>2.2439958966932174</v>
      </c>
      <c r="U66" s="7">
        <f t="shared" ref="U66:U97" si="7">R66*SQRT(S66)</f>
        <v>2.2439958966932174</v>
      </c>
      <c r="V66" s="7">
        <f t="shared" ref="V66:V129" si="8">LN(Q66/N66)</f>
        <v>0.29274085223125074</v>
      </c>
      <c r="W66" s="7">
        <f t="shared" ref="W66:W129" si="9">(U66^2/(S66*Q66^2))+(T66^2/(P66*N66^2))</f>
        <v>6.2013203447805199E-3</v>
      </c>
      <c r="X66" t="s">
        <v>189</v>
      </c>
      <c r="Y66" t="s">
        <v>190</v>
      </c>
      <c r="Z66" t="s">
        <v>191</v>
      </c>
      <c r="AA66" t="s">
        <v>202</v>
      </c>
      <c r="AB66" t="s">
        <v>92</v>
      </c>
    </row>
    <row r="67" spans="1:28">
      <c r="A67" t="s">
        <v>181</v>
      </c>
      <c r="B67" t="s">
        <v>203</v>
      </c>
      <c r="C67" t="s">
        <v>183</v>
      </c>
      <c r="D67" t="s">
        <v>195</v>
      </c>
      <c r="E67" t="s">
        <v>96</v>
      </c>
      <c r="F67">
        <v>60</v>
      </c>
      <c r="G67" t="s">
        <v>185</v>
      </c>
      <c r="H67" t="s">
        <v>84</v>
      </c>
      <c r="I67" t="s">
        <v>186</v>
      </c>
      <c r="J67" t="s">
        <v>187</v>
      </c>
      <c r="K67" t="s">
        <v>41</v>
      </c>
      <c r="L67" t="s">
        <v>40</v>
      </c>
      <c r="M67" t="s">
        <v>188</v>
      </c>
      <c r="N67" s="7">
        <v>17.777538619357951</v>
      </c>
      <c r="O67" s="7">
        <v>1.1219979483466087</v>
      </c>
      <c r="P67" s="7">
        <v>4</v>
      </c>
      <c r="Q67" s="7">
        <v>21.940244991552014</v>
      </c>
      <c r="R67" s="7">
        <v>0.9416769249336141</v>
      </c>
      <c r="S67" s="7">
        <v>4</v>
      </c>
      <c r="T67" s="7">
        <f t="shared" si="6"/>
        <v>2.2439958966932174</v>
      </c>
      <c r="U67" s="7">
        <f t="shared" si="7"/>
        <v>1.8833538498672282</v>
      </c>
      <c r="V67" s="7">
        <f t="shared" si="8"/>
        <v>0.21038683607228223</v>
      </c>
      <c r="W67" s="7">
        <f t="shared" si="9"/>
        <v>5.8254129585573215E-3</v>
      </c>
      <c r="X67" t="s">
        <v>189</v>
      </c>
      <c r="Y67" t="s">
        <v>190</v>
      </c>
      <c r="Z67" t="s">
        <v>191</v>
      </c>
      <c r="AA67" t="s">
        <v>202</v>
      </c>
      <c r="AB67" t="s">
        <v>92</v>
      </c>
    </row>
    <row r="68" spans="1:28">
      <c r="A68" t="s">
        <v>181</v>
      </c>
      <c r="B68" t="s">
        <v>204</v>
      </c>
      <c r="C68" t="s">
        <v>183</v>
      </c>
      <c r="D68" t="s">
        <v>184</v>
      </c>
      <c r="E68" t="s">
        <v>96</v>
      </c>
      <c r="F68">
        <v>30</v>
      </c>
      <c r="G68" t="s">
        <v>185</v>
      </c>
      <c r="H68" t="s">
        <v>84</v>
      </c>
      <c r="I68" t="s">
        <v>186</v>
      </c>
      <c r="J68" t="s">
        <v>187</v>
      </c>
      <c r="K68" t="s">
        <v>41</v>
      </c>
      <c r="L68" t="s">
        <v>40</v>
      </c>
      <c r="M68" t="s">
        <v>188</v>
      </c>
      <c r="N68" s="7">
        <v>17.777538619357951</v>
      </c>
      <c r="O68" s="7">
        <v>1.1219979483466087</v>
      </c>
      <c r="P68" s="7">
        <v>4</v>
      </c>
      <c r="Q68" s="7">
        <v>24.582597755249818</v>
      </c>
      <c r="R68" s="7">
        <v>0.9416769249336141</v>
      </c>
      <c r="S68" s="7">
        <v>4</v>
      </c>
      <c r="T68" s="7">
        <f t="shared" si="6"/>
        <v>2.2439958966932174</v>
      </c>
      <c r="U68" s="7">
        <f t="shared" si="7"/>
        <v>1.8833538498672282</v>
      </c>
      <c r="V68" s="7">
        <f t="shared" si="8"/>
        <v>0.32410299913780211</v>
      </c>
      <c r="W68" s="7">
        <f t="shared" si="9"/>
        <v>5.4506795589864508E-3</v>
      </c>
      <c r="X68" t="s">
        <v>189</v>
      </c>
      <c r="Y68" t="s">
        <v>190</v>
      </c>
      <c r="Z68" t="s">
        <v>191</v>
      </c>
      <c r="AA68" t="s">
        <v>205</v>
      </c>
      <c r="AB68" t="s">
        <v>92</v>
      </c>
    </row>
    <row r="69" spans="1:28">
      <c r="A69" t="s">
        <v>181</v>
      </c>
      <c r="B69" t="s">
        <v>206</v>
      </c>
      <c r="C69" t="s">
        <v>183</v>
      </c>
      <c r="D69" t="s">
        <v>184</v>
      </c>
      <c r="E69" t="s">
        <v>96</v>
      </c>
      <c r="F69">
        <v>60</v>
      </c>
      <c r="G69" t="s">
        <v>185</v>
      </c>
      <c r="H69" t="s">
        <v>84</v>
      </c>
      <c r="I69" t="s">
        <v>186</v>
      </c>
      <c r="J69" t="s">
        <v>187</v>
      </c>
      <c r="K69" t="s">
        <v>41</v>
      </c>
      <c r="L69" t="s">
        <v>40</v>
      </c>
      <c r="M69" t="s">
        <v>188</v>
      </c>
      <c r="N69" s="7">
        <v>17.777538619357951</v>
      </c>
      <c r="O69" s="7">
        <v>1.1219979483466087</v>
      </c>
      <c r="P69" s="7">
        <v>4</v>
      </c>
      <c r="Q69" s="7">
        <v>19.658534878107652</v>
      </c>
      <c r="R69" s="7">
        <v>0.95935523775043985</v>
      </c>
      <c r="S69" s="7">
        <v>4</v>
      </c>
      <c r="T69" s="7">
        <f t="shared" si="6"/>
        <v>2.2439958966932174</v>
      </c>
      <c r="U69" s="7">
        <f t="shared" si="7"/>
        <v>1.9187104755008797</v>
      </c>
      <c r="V69" s="7">
        <f t="shared" si="8"/>
        <v>0.10057580381067163</v>
      </c>
      <c r="W69" s="7">
        <f t="shared" si="9"/>
        <v>6.364813279165992E-3</v>
      </c>
      <c r="X69" t="s">
        <v>189</v>
      </c>
      <c r="Y69" t="s">
        <v>190</v>
      </c>
      <c r="Z69" t="s">
        <v>191</v>
      </c>
      <c r="AA69" t="s">
        <v>205</v>
      </c>
      <c r="AB69" t="s">
        <v>92</v>
      </c>
    </row>
    <row r="70" spans="1:28">
      <c r="A70" t="s">
        <v>181</v>
      </c>
      <c r="B70" t="s">
        <v>207</v>
      </c>
      <c r="C70" t="s">
        <v>183</v>
      </c>
      <c r="D70" t="s">
        <v>195</v>
      </c>
      <c r="E70" t="s">
        <v>96</v>
      </c>
      <c r="F70">
        <v>30</v>
      </c>
      <c r="G70" t="s">
        <v>185</v>
      </c>
      <c r="H70" t="s">
        <v>84</v>
      </c>
      <c r="I70" t="s">
        <v>186</v>
      </c>
      <c r="J70" t="s">
        <v>187</v>
      </c>
      <c r="K70" t="s">
        <v>41</v>
      </c>
      <c r="L70" t="s">
        <v>40</v>
      </c>
      <c r="M70" t="s">
        <v>188</v>
      </c>
      <c r="N70" s="7">
        <v>17.777538619357951</v>
      </c>
      <c r="O70" s="7">
        <v>1.1219979483466087</v>
      </c>
      <c r="P70" s="7">
        <v>4</v>
      </c>
      <c r="Q70" s="7">
        <v>24.582597755249818</v>
      </c>
      <c r="R70" s="7">
        <v>0.9416769249336141</v>
      </c>
      <c r="S70" s="7">
        <v>4</v>
      </c>
      <c r="T70" s="7">
        <f t="shared" si="6"/>
        <v>2.2439958966932174</v>
      </c>
      <c r="U70" s="7">
        <f t="shared" si="7"/>
        <v>1.8833538498672282</v>
      </c>
      <c r="V70" s="7">
        <f t="shared" si="8"/>
        <v>0.32410299913780211</v>
      </c>
      <c r="W70" s="7">
        <f t="shared" si="9"/>
        <v>5.4506795589864508E-3</v>
      </c>
      <c r="X70" t="s">
        <v>189</v>
      </c>
      <c r="Y70" t="s">
        <v>190</v>
      </c>
      <c r="Z70" t="s">
        <v>191</v>
      </c>
      <c r="AA70" t="s">
        <v>208</v>
      </c>
      <c r="AB70" t="s">
        <v>92</v>
      </c>
    </row>
    <row r="71" spans="1:28">
      <c r="A71" t="s">
        <v>181</v>
      </c>
      <c r="B71" t="s">
        <v>209</v>
      </c>
      <c r="C71" t="s">
        <v>183</v>
      </c>
      <c r="D71" t="s">
        <v>195</v>
      </c>
      <c r="E71" t="s">
        <v>96</v>
      </c>
      <c r="F71">
        <v>60</v>
      </c>
      <c r="G71" t="s">
        <v>185</v>
      </c>
      <c r="H71" t="s">
        <v>84</v>
      </c>
      <c r="I71" t="s">
        <v>186</v>
      </c>
      <c r="J71" t="s">
        <v>187</v>
      </c>
      <c r="K71" t="s">
        <v>41</v>
      </c>
      <c r="L71" t="s">
        <v>40</v>
      </c>
      <c r="M71" t="s">
        <v>188</v>
      </c>
      <c r="N71" s="7">
        <v>17.777538619357951</v>
      </c>
      <c r="O71" s="7">
        <v>1.1219979483466087</v>
      </c>
      <c r="P71" s="7">
        <v>4</v>
      </c>
      <c r="Q71" s="7">
        <v>19.658534878107652</v>
      </c>
      <c r="R71" s="7">
        <v>0.95935523775043985</v>
      </c>
      <c r="S71" s="7">
        <v>4</v>
      </c>
      <c r="T71" s="7">
        <f t="shared" si="6"/>
        <v>2.2439958966932174</v>
      </c>
      <c r="U71" s="7">
        <f t="shared" si="7"/>
        <v>1.9187104755008797</v>
      </c>
      <c r="V71" s="7">
        <f t="shared" si="8"/>
        <v>0.10057580381067163</v>
      </c>
      <c r="W71" s="7">
        <f t="shared" si="9"/>
        <v>6.364813279165992E-3</v>
      </c>
      <c r="X71" t="s">
        <v>189</v>
      </c>
      <c r="Y71" t="s">
        <v>190</v>
      </c>
      <c r="Z71" t="s">
        <v>191</v>
      </c>
      <c r="AA71" t="s">
        <v>208</v>
      </c>
      <c r="AB71" t="s">
        <v>92</v>
      </c>
    </row>
    <row r="72" spans="1:28">
      <c r="A72" t="s">
        <v>181</v>
      </c>
      <c r="B72" t="s">
        <v>210</v>
      </c>
      <c r="C72" t="s">
        <v>183</v>
      </c>
      <c r="D72" t="s">
        <v>184</v>
      </c>
      <c r="E72" t="s">
        <v>96</v>
      </c>
      <c r="F72">
        <v>30</v>
      </c>
      <c r="G72" t="s">
        <v>185</v>
      </c>
      <c r="H72" t="s">
        <v>84</v>
      </c>
      <c r="I72" t="s">
        <v>186</v>
      </c>
      <c r="J72" t="s">
        <v>187</v>
      </c>
      <c r="K72" t="s">
        <v>29</v>
      </c>
      <c r="L72" t="s">
        <v>40</v>
      </c>
      <c r="M72" t="s">
        <v>188</v>
      </c>
      <c r="N72" s="7">
        <v>15.903672343125313</v>
      </c>
      <c r="O72" s="7">
        <v>1.0149270385401665</v>
      </c>
      <c r="P72" s="7">
        <v>4</v>
      </c>
      <c r="Q72" s="7">
        <v>19.697454355028768</v>
      </c>
      <c r="R72" s="7">
        <v>1.0157139548233167</v>
      </c>
      <c r="S72" s="7">
        <v>4</v>
      </c>
      <c r="T72" s="7">
        <f t="shared" si="6"/>
        <v>2.0298540770803331</v>
      </c>
      <c r="U72" s="7">
        <f t="shared" si="7"/>
        <v>2.0314279096466334</v>
      </c>
      <c r="V72" s="7">
        <f t="shared" si="8"/>
        <v>0.21393935930301528</v>
      </c>
      <c r="W72" s="7">
        <f t="shared" si="9"/>
        <v>6.7316548949012071E-3</v>
      </c>
      <c r="X72" t="s">
        <v>189</v>
      </c>
      <c r="Y72" t="s">
        <v>190</v>
      </c>
      <c r="Z72" t="s">
        <v>191</v>
      </c>
      <c r="AA72" t="s">
        <v>211</v>
      </c>
      <c r="AB72" t="s">
        <v>92</v>
      </c>
    </row>
    <row r="73" spans="1:28">
      <c r="A73" t="s">
        <v>181</v>
      </c>
      <c r="B73" t="s">
        <v>212</v>
      </c>
      <c r="C73" t="s">
        <v>183</v>
      </c>
      <c r="D73" t="s">
        <v>184</v>
      </c>
      <c r="E73" t="s">
        <v>96</v>
      </c>
      <c r="F73">
        <v>60</v>
      </c>
      <c r="G73" t="s">
        <v>185</v>
      </c>
      <c r="H73" t="s">
        <v>84</v>
      </c>
      <c r="I73" t="s">
        <v>186</v>
      </c>
      <c r="J73" t="s">
        <v>187</v>
      </c>
      <c r="K73" t="s">
        <v>29</v>
      </c>
      <c r="L73" t="s">
        <v>40</v>
      </c>
      <c r="M73" t="s">
        <v>188</v>
      </c>
      <c r="N73" s="7">
        <v>15.903672343125313</v>
      </c>
      <c r="O73" s="7">
        <v>1.0149270385401665</v>
      </c>
      <c r="P73" s="7">
        <v>4</v>
      </c>
      <c r="Q73" s="7">
        <v>17.426849817218709</v>
      </c>
      <c r="R73" s="7">
        <v>1.1360889837762713</v>
      </c>
      <c r="S73" s="7">
        <v>4</v>
      </c>
      <c r="T73" s="7">
        <f t="shared" si="6"/>
        <v>2.0298540770803331</v>
      </c>
      <c r="U73" s="7">
        <f t="shared" si="7"/>
        <v>2.2721779675525426</v>
      </c>
      <c r="V73" s="7">
        <f t="shared" si="8"/>
        <v>9.1462062285210005E-2</v>
      </c>
      <c r="W73" s="7">
        <f t="shared" si="9"/>
        <v>8.3226089274878491E-3</v>
      </c>
      <c r="X73" t="s">
        <v>189</v>
      </c>
      <c r="Y73" t="s">
        <v>190</v>
      </c>
      <c r="Z73" t="s">
        <v>191</v>
      </c>
      <c r="AA73" t="s">
        <v>211</v>
      </c>
      <c r="AB73" t="s">
        <v>92</v>
      </c>
    </row>
    <row r="74" spans="1:28">
      <c r="A74" t="s">
        <v>181</v>
      </c>
      <c r="B74" t="s">
        <v>213</v>
      </c>
      <c r="C74" t="s">
        <v>183</v>
      </c>
      <c r="D74" t="s">
        <v>195</v>
      </c>
      <c r="E74" t="s">
        <v>96</v>
      </c>
      <c r="F74">
        <v>30</v>
      </c>
      <c r="G74" t="s">
        <v>185</v>
      </c>
      <c r="H74" t="s">
        <v>84</v>
      </c>
      <c r="I74" t="s">
        <v>186</v>
      </c>
      <c r="J74" t="s">
        <v>187</v>
      </c>
      <c r="K74" t="s">
        <v>29</v>
      </c>
      <c r="L74" t="s">
        <v>40</v>
      </c>
      <c r="M74" t="s">
        <v>188</v>
      </c>
      <c r="N74" s="7">
        <v>15.661348452653105</v>
      </c>
      <c r="O74" s="7">
        <v>1.0031257112357679</v>
      </c>
      <c r="P74" s="7">
        <v>4</v>
      </c>
      <c r="Q74" s="7">
        <v>18.175850310677856</v>
      </c>
      <c r="R74" s="7">
        <v>1.0149272399520632</v>
      </c>
      <c r="S74" s="7">
        <v>4</v>
      </c>
      <c r="T74" s="7">
        <f t="shared" si="6"/>
        <v>2.0062514224715358</v>
      </c>
      <c r="U74" s="7">
        <f t="shared" si="7"/>
        <v>2.0298544799041265</v>
      </c>
      <c r="V74" s="7">
        <f t="shared" si="8"/>
        <v>0.14889801201348443</v>
      </c>
      <c r="W74" s="7">
        <f t="shared" si="9"/>
        <v>7.2205665595025167E-3</v>
      </c>
      <c r="X74" t="s">
        <v>189</v>
      </c>
      <c r="Y74" t="s">
        <v>190</v>
      </c>
      <c r="Z74" t="s">
        <v>191</v>
      </c>
      <c r="AA74" t="s">
        <v>214</v>
      </c>
      <c r="AB74" t="s">
        <v>92</v>
      </c>
    </row>
    <row r="75" spans="1:28">
      <c r="A75" t="s">
        <v>181</v>
      </c>
      <c r="B75" t="s">
        <v>215</v>
      </c>
      <c r="C75" t="s">
        <v>183</v>
      </c>
      <c r="D75" t="s">
        <v>195</v>
      </c>
      <c r="E75" t="s">
        <v>96</v>
      </c>
      <c r="F75">
        <v>60</v>
      </c>
      <c r="G75" t="s">
        <v>185</v>
      </c>
      <c r="H75" t="s">
        <v>84</v>
      </c>
      <c r="I75" t="s">
        <v>186</v>
      </c>
      <c r="J75" t="s">
        <v>187</v>
      </c>
      <c r="K75" t="s">
        <v>29</v>
      </c>
      <c r="L75" t="s">
        <v>40</v>
      </c>
      <c r="M75" t="s">
        <v>188</v>
      </c>
      <c r="N75" s="7">
        <v>15.661348452653105</v>
      </c>
      <c r="O75" s="7">
        <v>1.0031257112357679</v>
      </c>
      <c r="P75" s="7">
        <v>4</v>
      </c>
      <c r="Q75" s="7">
        <v>16.918599381665469</v>
      </c>
      <c r="R75" s="7">
        <v>1.1360889837762713</v>
      </c>
      <c r="S75" s="7">
        <v>4</v>
      </c>
      <c r="T75" s="7">
        <f t="shared" si="6"/>
        <v>2.0062514224715358</v>
      </c>
      <c r="U75" s="7">
        <f t="shared" si="7"/>
        <v>2.2721779675525426</v>
      </c>
      <c r="V75" s="7">
        <f t="shared" si="8"/>
        <v>7.7217776947088562E-2</v>
      </c>
      <c r="W75" s="7">
        <f t="shared" si="9"/>
        <v>8.6116986456159835E-3</v>
      </c>
      <c r="X75" t="s">
        <v>189</v>
      </c>
      <c r="Y75" t="s">
        <v>190</v>
      </c>
      <c r="Z75" t="s">
        <v>191</v>
      </c>
      <c r="AA75" t="s">
        <v>214</v>
      </c>
      <c r="AB75" t="s">
        <v>92</v>
      </c>
    </row>
    <row r="76" spans="1:28">
      <c r="A76" t="s">
        <v>181</v>
      </c>
      <c r="B76" t="s">
        <v>216</v>
      </c>
      <c r="C76" t="s">
        <v>183</v>
      </c>
      <c r="D76" t="s">
        <v>184</v>
      </c>
      <c r="E76" t="s">
        <v>96</v>
      </c>
      <c r="F76">
        <v>30</v>
      </c>
      <c r="G76" t="s">
        <v>185</v>
      </c>
      <c r="H76" t="s">
        <v>84</v>
      </c>
      <c r="I76" t="s">
        <v>186</v>
      </c>
      <c r="J76" t="s">
        <v>187</v>
      </c>
      <c r="K76" t="s">
        <v>29</v>
      </c>
      <c r="L76" t="s">
        <v>40</v>
      </c>
      <c r="M76" t="s">
        <v>188</v>
      </c>
      <c r="N76" s="7">
        <v>13.897420920653778</v>
      </c>
      <c r="O76" s="7">
        <v>1.1360889837762713</v>
      </c>
      <c r="P76" s="7">
        <v>4</v>
      </c>
      <c r="Q76" s="7">
        <v>18.924850804137005</v>
      </c>
      <c r="R76" s="7">
        <v>1.1360889837762713</v>
      </c>
      <c r="S76" s="7">
        <v>4</v>
      </c>
      <c r="T76" s="7">
        <f t="shared" si="6"/>
        <v>2.2721779675525426</v>
      </c>
      <c r="U76" s="7">
        <f t="shared" si="7"/>
        <v>2.2721779675525426</v>
      </c>
      <c r="V76" s="7">
        <f t="shared" si="8"/>
        <v>0.30877263811510092</v>
      </c>
      <c r="W76" s="7">
        <f t="shared" si="9"/>
        <v>1.0286558736750316E-2</v>
      </c>
      <c r="X76" t="s">
        <v>189</v>
      </c>
      <c r="Y76" t="s">
        <v>190</v>
      </c>
      <c r="Z76" t="s">
        <v>191</v>
      </c>
      <c r="AA76" t="s">
        <v>217</v>
      </c>
      <c r="AB76" t="s">
        <v>92</v>
      </c>
    </row>
    <row r="77" spans="1:28">
      <c r="A77" t="s">
        <v>181</v>
      </c>
      <c r="B77" t="s">
        <v>218</v>
      </c>
      <c r="C77" t="s">
        <v>183</v>
      </c>
      <c r="D77" t="s">
        <v>184</v>
      </c>
      <c r="E77" t="s">
        <v>96</v>
      </c>
      <c r="F77">
        <v>60</v>
      </c>
      <c r="G77" t="s">
        <v>185</v>
      </c>
      <c r="H77" t="s">
        <v>84</v>
      </c>
      <c r="I77" t="s">
        <v>186</v>
      </c>
      <c r="J77" t="s">
        <v>187</v>
      </c>
      <c r="K77" t="s">
        <v>29</v>
      </c>
      <c r="L77" t="s">
        <v>40</v>
      </c>
      <c r="M77" t="s">
        <v>188</v>
      </c>
      <c r="N77" s="7">
        <v>13.897420920653778</v>
      </c>
      <c r="O77" s="7">
        <v>1.1360889837762713</v>
      </c>
      <c r="P77" s="7">
        <v>4</v>
      </c>
      <c r="Q77" s="7">
        <v>16.918599381665469</v>
      </c>
      <c r="R77" s="7">
        <v>1.2572509290123874</v>
      </c>
      <c r="S77" s="7">
        <v>4</v>
      </c>
      <c r="T77" s="7">
        <f t="shared" si="6"/>
        <v>2.2721779675525426</v>
      </c>
      <c r="U77" s="7">
        <f t="shared" si="7"/>
        <v>2.5145018580247749</v>
      </c>
      <c r="V77" s="7">
        <f t="shared" si="8"/>
        <v>0.1967102942460543</v>
      </c>
      <c r="W77" s="7">
        <f t="shared" si="9"/>
        <v>1.2205004265019821E-2</v>
      </c>
      <c r="X77" t="s">
        <v>189</v>
      </c>
      <c r="Y77" t="s">
        <v>190</v>
      </c>
      <c r="Z77" t="s">
        <v>191</v>
      </c>
      <c r="AA77" t="s">
        <v>217</v>
      </c>
      <c r="AB77" t="s">
        <v>92</v>
      </c>
    </row>
    <row r="78" spans="1:28">
      <c r="A78" t="s">
        <v>181</v>
      </c>
      <c r="B78" t="s">
        <v>219</v>
      </c>
      <c r="C78" t="s">
        <v>183</v>
      </c>
      <c r="D78" t="s">
        <v>195</v>
      </c>
      <c r="E78" t="s">
        <v>96</v>
      </c>
      <c r="F78">
        <v>30</v>
      </c>
      <c r="G78" t="s">
        <v>185</v>
      </c>
      <c r="H78" t="s">
        <v>84</v>
      </c>
      <c r="I78" t="s">
        <v>186</v>
      </c>
      <c r="J78" t="s">
        <v>187</v>
      </c>
      <c r="K78" t="s">
        <v>29</v>
      </c>
      <c r="L78" t="s">
        <v>40</v>
      </c>
      <c r="M78" t="s">
        <v>188</v>
      </c>
      <c r="N78" s="7">
        <v>13.631494375572771</v>
      </c>
      <c r="O78" s="7">
        <v>1.136089185188168</v>
      </c>
      <c r="P78" s="7">
        <v>4</v>
      </c>
      <c r="Q78" s="7">
        <v>18.441776855758864</v>
      </c>
      <c r="R78" s="7">
        <v>1.0023387949526064</v>
      </c>
      <c r="S78" s="7">
        <v>4</v>
      </c>
      <c r="T78" s="7">
        <f t="shared" si="6"/>
        <v>2.2721783703763361</v>
      </c>
      <c r="U78" s="7">
        <f t="shared" si="7"/>
        <v>2.0046775899052127</v>
      </c>
      <c r="V78" s="7">
        <f t="shared" si="8"/>
        <v>0.30223569385312166</v>
      </c>
      <c r="W78" s="7">
        <f t="shared" si="9"/>
        <v>9.9001389937601759E-3</v>
      </c>
      <c r="X78" t="s">
        <v>189</v>
      </c>
      <c r="Y78" t="s">
        <v>190</v>
      </c>
      <c r="Z78" t="s">
        <v>191</v>
      </c>
      <c r="AA78" t="s">
        <v>220</v>
      </c>
      <c r="AB78" t="s">
        <v>92</v>
      </c>
    </row>
    <row r="79" spans="1:28">
      <c r="A79" t="s">
        <v>181</v>
      </c>
      <c r="B79" t="s">
        <v>221</v>
      </c>
      <c r="C79" t="s">
        <v>183</v>
      </c>
      <c r="D79" t="s">
        <v>195</v>
      </c>
      <c r="E79" t="s">
        <v>96</v>
      </c>
      <c r="F79">
        <v>60</v>
      </c>
      <c r="G79" t="s">
        <v>185</v>
      </c>
      <c r="H79" t="s">
        <v>84</v>
      </c>
      <c r="I79" t="s">
        <v>186</v>
      </c>
      <c r="J79" t="s">
        <v>187</v>
      </c>
      <c r="K79" t="s">
        <v>29</v>
      </c>
      <c r="L79" t="s">
        <v>40</v>
      </c>
      <c r="M79" t="s">
        <v>188</v>
      </c>
      <c r="N79" s="7">
        <v>13.631494375572771</v>
      </c>
      <c r="O79" s="7">
        <v>1.136089185188168</v>
      </c>
      <c r="P79" s="7">
        <v>4</v>
      </c>
      <c r="Q79" s="7">
        <v>16.918599381665469</v>
      </c>
      <c r="R79" s="7">
        <v>1.1360889837762713</v>
      </c>
      <c r="S79" s="7">
        <v>4</v>
      </c>
      <c r="T79" s="7">
        <f t="shared" si="6"/>
        <v>2.2721783703763361</v>
      </c>
      <c r="U79" s="7">
        <f t="shared" si="7"/>
        <v>2.2721779675525426</v>
      </c>
      <c r="V79" s="7">
        <f t="shared" si="8"/>
        <v>0.21603069348504872</v>
      </c>
      <c r="W79" s="7">
        <f t="shared" si="9"/>
        <v>1.1455212609935993E-2</v>
      </c>
      <c r="X79" t="s">
        <v>189</v>
      </c>
      <c r="Y79" t="s">
        <v>190</v>
      </c>
      <c r="Z79" t="s">
        <v>191</v>
      </c>
      <c r="AA79" t="s">
        <v>220</v>
      </c>
      <c r="AB79" t="s">
        <v>92</v>
      </c>
    </row>
    <row r="80" spans="1:28">
      <c r="A80" t="s">
        <v>181</v>
      </c>
      <c r="B80" t="s">
        <v>222</v>
      </c>
      <c r="C80" t="s">
        <v>183</v>
      </c>
      <c r="D80" t="s">
        <v>184</v>
      </c>
      <c r="E80" t="s">
        <v>96</v>
      </c>
      <c r="F80">
        <v>30</v>
      </c>
      <c r="G80" t="s">
        <v>185</v>
      </c>
      <c r="H80" t="s">
        <v>84</v>
      </c>
      <c r="I80" t="s">
        <v>186</v>
      </c>
      <c r="J80" t="s">
        <v>187</v>
      </c>
      <c r="K80" t="s">
        <v>29</v>
      </c>
      <c r="L80" t="s">
        <v>40</v>
      </c>
      <c r="M80" t="s">
        <v>188</v>
      </c>
      <c r="N80" s="7">
        <v>12.616567337032617</v>
      </c>
      <c r="O80" s="7">
        <v>1.0031257112357679</v>
      </c>
      <c r="P80" s="7">
        <v>4</v>
      </c>
      <c r="Q80" s="7">
        <v>18.441776855758864</v>
      </c>
      <c r="R80" s="7">
        <v>1.1353022689050178</v>
      </c>
      <c r="S80" s="7">
        <v>4</v>
      </c>
      <c r="T80" s="7">
        <f t="shared" si="6"/>
        <v>2.0062514224715358</v>
      </c>
      <c r="U80" s="7">
        <f t="shared" si="7"/>
        <v>2.2706045378100357</v>
      </c>
      <c r="V80" s="7">
        <f t="shared" si="8"/>
        <v>0.37960775396446889</v>
      </c>
      <c r="W80" s="7">
        <f t="shared" si="9"/>
        <v>1.0111429227426756E-2</v>
      </c>
      <c r="X80" t="s">
        <v>189</v>
      </c>
      <c r="Y80" t="s">
        <v>190</v>
      </c>
      <c r="Z80" t="s">
        <v>191</v>
      </c>
      <c r="AA80" t="s">
        <v>223</v>
      </c>
      <c r="AB80" t="s">
        <v>92</v>
      </c>
    </row>
    <row r="81" spans="1:28">
      <c r="A81" t="s">
        <v>181</v>
      </c>
      <c r="B81" t="s">
        <v>224</v>
      </c>
      <c r="C81" t="s">
        <v>183</v>
      </c>
      <c r="D81" t="s">
        <v>184</v>
      </c>
      <c r="E81" t="s">
        <v>96</v>
      </c>
      <c r="F81">
        <v>60</v>
      </c>
      <c r="G81" t="s">
        <v>185</v>
      </c>
      <c r="H81" t="s">
        <v>84</v>
      </c>
      <c r="I81" t="s">
        <v>186</v>
      </c>
      <c r="J81" t="s">
        <v>187</v>
      </c>
      <c r="K81" t="s">
        <v>29</v>
      </c>
      <c r="L81" t="s">
        <v>40</v>
      </c>
      <c r="M81" t="s">
        <v>188</v>
      </c>
      <c r="N81" s="7">
        <v>12.616567337032617</v>
      </c>
      <c r="O81" s="7">
        <v>1.0031257112357679</v>
      </c>
      <c r="P81" s="7">
        <v>4</v>
      </c>
      <c r="Q81" s="7">
        <v>15.395421907572075</v>
      </c>
      <c r="R81" s="7">
        <v>1.014927038540155</v>
      </c>
      <c r="S81" s="7">
        <v>4</v>
      </c>
      <c r="T81" s="7">
        <f t="shared" si="6"/>
        <v>2.0062514224715358</v>
      </c>
      <c r="U81" s="7">
        <f t="shared" si="7"/>
        <v>2.02985407708031</v>
      </c>
      <c r="V81" s="7">
        <f t="shared" si="8"/>
        <v>0.19905936820047357</v>
      </c>
      <c r="W81" s="7">
        <f t="shared" si="9"/>
        <v>1.0667586110773938E-2</v>
      </c>
      <c r="X81" t="s">
        <v>189</v>
      </c>
      <c r="Y81" t="s">
        <v>190</v>
      </c>
      <c r="Z81" t="s">
        <v>191</v>
      </c>
      <c r="AA81" t="s">
        <v>223</v>
      </c>
      <c r="AB81" t="s">
        <v>92</v>
      </c>
    </row>
    <row r="82" spans="1:28">
      <c r="A82" t="s">
        <v>181</v>
      </c>
      <c r="B82" t="s">
        <v>225</v>
      </c>
      <c r="C82" t="s">
        <v>183</v>
      </c>
      <c r="D82" t="s">
        <v>195</v>
      </c>
      <c r="E82" t="s">
        <v>96</v>
      </c>
      <c r="F82">
        <v>30</v>
      </c>
      <c r="G82" t="s">
        <v>185</v>
      </c>
      <c r="H82" t="s">
        <v>84</v>
      </c>
      <c r="I82" t="s">
        <v>186</v>
      </c>
      <c r="J82" t="s">
        <v>187</v>
      </c>
      <c r="K82" t="s">
        <v>29</v>
      </c>
      <c r="L82" t="s">
        <v>40</v>
      </c>
      <c r="M82" t="s">
        <v>188</v>
      </c>
      <c r="N82" s="7">
        <v>13.631494375572771</v>
      </c>
      <c r="O82" s="7">
        <v>1.0149272399520632</v>
      </c>
      <c r="P82" s="7">
        <v>4</v>
      </c>
      <c r="Q82" s="7">
        <v>18.441776855758864</v>
      </c>
      <c r="R82" s="7">
        <v>1.0023387949526064</v>
      </c>
      <c r="S82" s="7">
        <v>4</v>
      </c>
      <c r="T82" s="7">
        <f t="shared" si="6"/>
        <v>2.0298544799041265</v>
      </c>
      <c r="U82" s="7">
        <f t="shared" si="7"/>
        <v>2.0046775899052127</v>
      </c>
      <c r="V82" s="7">
        <f t="shared" si="8"/>
        <v>0.30223569385312166</v>
      </c>
      <c r="W82" s="7">
        <f t="shared" si="9"/>
        <v>8.4975738991232268E-3</v>
      </c>
      <c r="X82" t="s">
        <v>189</v>
      </c>
      <c r="Y82" t="s">
        <v>190</v>
      </c>
      <c r="Z82" t="s">
        <v>191</v>
      </c>
      <c r="AA82" t="s">
        <v>226</v>
      </c>
      <c r="AB82" t="s">
        <v>92</v>
      </c>
    </row>
    <row r="83" spans="1:28">
      <c r="A83" t="s">
        <v>181</v>
      </c>
      <c r="B83" t="s">
        <v>227</v>
      </c>
      <c r="C83" t="s">
        <v>183</v>
      </c>
      <c r="D83" t="s">
        <v>195</v>
      </c>
      <c r="E83" t="s">
        <v>96</v>
      </c>
      <c r="F83">
        <v>60</v>
      </c>
      <c r="G83" t="s">
        <v>185</v>
      </c>
      <c r="H83" t="s">
        <v>84</v>
      </c>
      <c r="I83" t="s">
        <v>186</v>
      </c>
      <c r="J83" t="s">
        <v>187</v>
      </c>
      <c r="K83" t="s">
        <v>29</v>
      </c>
      <c r="L83" t="s">
        <v>40</v>
      </c>
      <c r="M83" t="s">
        <v>188</v>
      </c>
      <c r="N83" s="7">
        <v>13.631494375572771</v>
      </c>
      <c r="O83" s="7">
        <v>1.0149272399520632</v>
      </c>
      <c r="P83" s="7">
        <v>4</v>
      </c>
      <c r="Q83" s="7">
        <v>14.646421414112925</v>
      </c>
      <c r="R83" s="7">
        <v>1.1360889837762713</v>
      </c>
      <c r="S83" s="7">
        <v>4</v>
      </c>
      <c r="T83" s="7">
        <f t="shared" si="6"/>
        <v>2.0298544799041265</v>
      </c>
      <c r="U83" s="7">
        <f t="shared" si="7"/>
        <v>2.2721779675525426</v>
      </c>
      <c r="V83" s="7">
        <f t="shared" si="8"/>
        <v>7.18131551443002E-2</v>
      </c>
      <c r="W83" s="7">
        <f t="shared" si="9"/>
        <v>1.1560230601562312E-2</v>
      </c>
      <c r="X83" t="s">
        <v>189</v>
      </c>
      <c r="Y83" t="s">
        <v>190</v>
      </c>
      <c r="Z83" t="s">
        <v>191</v>
      </c>
      <c r="AA83" t="s">
        <v>226</v>
      </c>
      <c r="AB83" t="s">
        <v>92</v>
      </c>
    </row>
    <row r="84" spans="1:28">
      <c r="A84" t="s">
        <v>181</v>
      </c>
      <c r="B84" t="s">
        <v>228</v>
      </c>
      <c r="C84" t="s">
        <v>183</v>
      </c>
      <c r="D84" t="s">
        <v>184</v>
      </c>
      <c r="E84" t="s">
        <v>96</v>
      </c>
      <c r="F84">
        <v>30</v>
      </c>
      <c r="G84" t="s">
        <v>185</v>
      </c>
      <c r="H84" t="s">
        <v>84</v>
      </c>
      <c r="I84" t="s">
        <v>186</v>
      </c>
      <c r="J84" t="s">
        <v>187</v>
      </c>
      <c r="K84" t="s">
        <v>41</v>
      </c>
      <c r="L84" t="s">
        <v>30</v>
      </c>
      <c r="M84" t="s">
        <v>188</v>
      </c>
      <c r="N84" s="7">
        <v>5.7108955266542791</v>
      </c>
      <c r="O84" s="7">
        <v>0.49858254636603039</v>
      </c>
      <c r="P84" s="7">
        <v>4</v>
      </c>
      <c r="Q84" s="7">
        <v>6.0788414815140541</v>
      </c>
      <c r="R84" s="7">
        <v>0.30881197436263602</v>
      </c>
      <c r="S84" s="7">
        <v>4</v>
      </c>
      <c r="T84" s="7">
        <f t="shared" si="6"/>
        <v>0.99716509273206078</v>
      </c>
      <c r="U84" s="7">
        <f t="shared" si="7"/>
        <v>0.61762394872527204</v>
      </c>
      <c r="V84" s="7">
        <f t="shared" si="8"/>
        <v>6.2438285857087529E-2</v>
      </c>
      <c r="W84" s="7">
        <f t="shared" si="9"/>
        <v>1.0202697374325565E-2</v>
      </c>
      <c r="X84" t="s">
        <v>189</v>
      </c>
      <c r="Y84" t="s">
        <v>190</v>
      </c>
      <c r="Z84" t="s">
        <v>191</v>
      </c>
      <c r="AA84" t="s">
        <v>229</v>
      </c>
      <c r="AB84" t="s">
        <v>92</v>
      </c>
    </row>
    <row r="85" spans="1:28">
      <c r="A85" t="s">
        <v>181</v>
      </c>
      <c r="B85" t="s">
        <v>230</v>
      </c>
      <c r="C85" t="s">
        <v>183</v>
      </c>
      <c r="D85" t="s">
        <v>184</v>
      </c>
      <c r="E85" t="s">
        <v>96</v>
      </c>
      <c r="F85">
        <v>60</v>
      </c>
      <c r="G85" t="s">
        <v>185</v>
      </c>
      <c r="H85" t="s">
        <v>84</v>
      </c>
      <c r="I85" t="s">
        <v>186</v>
      </c>
      <c r="J85" t="s">
        <v>187</v>
      </c>
      <c r="K85" t="s">
        <v>41</v>
      </c>
      <c r="L85" t="s">
        <v>30</v>
      </c>
      <c r="M85" t="s">
        <v>188</v>
      </c>
      <c r="N85" s="7">
        <v>5.7108955266542791</v>
      </c>
      <c r="O85" s="7">
        <v>0.49858254636603039</v>
      </c>
      <c r="P85" s="7">
        <v>4</v>
      </c>
      <c r="Q85" s="7">
        <v>7.0767795208935631</v>
      </c>
      <c r="R85" s="7">
        <v>0.12483889798924525</v>
      </c>
      <c r="S85" s="7">
        <v>4</v>
      </c>
      <c r="T85" s="7">
        <f t="shared" si="6"/>
        <v>0.99716509273206078</v>
      </c>
      <c r="U85" s="7">
        <f t="shared" si="7"/>
        <v>0.24967779597849049</v>
      </c>
      <c r="V85" s="7">
        <f t="shared" si="8"/>
        <v>0.21444308812941082</v>
      </c>
      <c r="W85" s="7">
        <f t="shared" si="9"/>
        <v>7.9331353372948769E-3</v>
      </c>
      <c r="X85" t="s">
        <v>189</v>
      </c>
      <c r="Y85" t="s">
        <v>190</v>
      </c>
      <c r="Z85" t="s">
        <v>191</v>
      </c>
      <c r="AA85" t="s">
        <v>229</v>
      </c>
      <c r="AB85" t="s">
        <v>92</v>
      </c>
    </row>
    <row r="86" spans="1:28">
      <c r="A86" t="s">
        <v>181</v>
      </c>
      <c r="B86" t="s">
        <v>231</v>
      </c>
      <c r="C86" t="s">
        <v>183</v>
      </c>
      <c r="D86" t="s">
        <v>195</v>
      </c>
      <c r="E86" t="s">
        <v>96</v>
      </c>
      <c r="F86">
        <v>30</v>
      </c>
      <c r="G86" t="s">
        <v>185</v>
      </c>
      <c r="H86" t="s">
        <v>84</v>
      </c>
      <c r="I86" t="s">
        <v>186</v>
      </c>
      <c r="J86" t="s">
        <v>187</v>
      </c>
      <c r="K86" t="s">
        <v>41</v>
      </c>
      <c r="L86" t="s">
        <v>30</v>
      </c>
      <c r="M86" t="s">
        <v>188</v>
      </c>
      <c r="N86" s="7">
        <v>6.4467878321478418</v>
      </c>
      <c r="O86" s="7">
        <v>0.18435954969712015</v>
      </c>
      <c r="P86" s="7">
        <v>4</v>
      </c>
      <c r="Q86" s="7">
        <v>11.042249711414785</v>
      </c>
      <c r="R86" s="7">
        <v>0.12483889798925087</v>
      </c>
      <c r="S86" s="7">
        <v>4</v>
      </c>
      <c r="T86" s="7">
        <f t="shared" si="6"/>
        <v>0.3687190993942403</v>
      </c>
      <c r="U86" s="7">
        <f t="shared" si="7"/>
        <v>0.24967779597850173</v>
      </c>
      <c r="V86" s="7">
        <f t="shared" si="8"/>
        <v>0.53814680205731025</v>
      </c>
      <c r="W86" s="7">
        <f t="shared" si="9"/>
        <v>9.4561098778577998E-4</v>
      </c>
      <c r="X86" t="s">
        <v>189</v>
      </c>
      <c r="Y86" t="s">
        <v>190</v>
      </c>
      <c r="Z86" t="s">
        <v>191</v>
      </c>
      <c r="AA86" t="s">
        <v>232</v>
      </c>
      <c r="AB86" t="s">
        <v>92</v>
      </c>
    </row>
    <row r="87" spans="1:28">
      <c r="A87" t="s">
        <v>181</v>
      </c>
      <c r="B87" t="s">
        <v>233</v>
      </c>
      <c r="C87" t="s">
        <v>183</v>
      </c>
      <c r="D87" t="s">
        <v>195</v>
      </c>
      <c r="E87" t="s">
        <v>96</v>
      </c>
      <c r="F87">
        <v>60</v>
      </c>
      <c r="G87" t="s">
        <v>185</v>
      </c>
      <c r="H87" t="s">
        <v>84</v>
      </c>
      <c r="I87" t="s">
        <v>186</v>
      </c>
      <c r="J87" t="s">
        <v>187</v>
      </c>
      <c r="K87" t="s">
        <v>41</v>
      </c>
      <c r="L87" t="s">
        <v>30</v>
      </c>
      <c r="M87" t="s">
        <v>188</v>
      </c>
      <c r="N87" s="7">
        <v>6.4467878321478418</v>
      </c>
      <c r="O87" s="7">
        <v>0.18435954969712015</v>
      </c>
      <c r="P87" s="7">
        <v>4</v>
      </c>
      <c r="Q87" s="7">
        <v>9.8070018139642183</v>
      </c>
      <c r="R87" s="7">
        <v>0.12483889798925087</v>
      </c>
      <c r="S87" s="7">
        <v>4</v>
      </c>
      <c r="T87" s="7">
        <f t="shared" si="6"/>
        <v>0.3687190993942403</v>
      </c>
      <c r="U87" s="7">
        <f t="shared" si="7"/>
        <v>0.24967779597850173</v>
      </c>
      <c r="V87" s="7">
        <f t="shared" si="8"/>
        <v>0.41951460513689592</v>
      </c>
      <c r="W87" s="7">
        <f t="shared" si="9"/>
        <v>9.7983703972754146E-4</v>
      </c>
      <c r="X87" t="s">
        <v>189</v>
      </c>
      <c r="Y87" t="s">
        <v>190</v>
      </c>
      <c r="Z87" t="s">
        <v>191</v>
      </c>
      <c r="AA87" t="s">
        <v>232</v>
      </c>
      <c r="AB87" t="s">
        <v>92</v>
      </c>
    </row>
    <row r="88" spans="1:28">
      <c r="A88" t="s">
        <v>181</v>
      </c>
      <c r="B88" t="s">
        <v>234</v>
      </c>
      <c r="C88" t="s">
        <v>183</v>
      </c>
      <c r="D88" t="s">
        <v>184</v>
      </c>
      <c r="E88" t="s">
        <v>96</v>
      </c>
      <c r="F88">
        <v>30</v>
      </c>
      <c r="G88" t="s">
        <v>185</v>
      </c>
      <c r="H88" t="s">
        <v>84</v>
      </c>
      <c r="I88" t="s">
        <v>186</v>
      </c>
      <c r="J88" t="s">
        <v>187</v>
      </c>
      <c r="K88" t="s">
        <v>41</v>
      </c>
      <c r="L88" t="s">
        <v>30</v>
      </c>
      <c r="M88" t="s">
        <v>188</v>
      </c>
      <c r="N88" s="7">
        <v>6.9461432262178278</v>
      </c>
      <c r="O88" s="7">
        <v>0.24929132265476672</v>
      </c>
      <c r="P88" s="7">
        <v>4</v>
      </c>
      <c r="Q88" s="7">
        <v>8.1922129703939035</v>
      </c>
      <c r="R88" s="7">
        <v>0.19015704532711819</v>
      </c>
      <c r="S88" s="7">
        <v>4</v>
      </c>
      <c r="T88" s="7">
        <f t="shared" si="6"/>
        <v>0.49858264530953345</v>
      </c>
      <c r="U88" s="7">
        <f t="shared" si="7"/>
        <v>0.38031409065423638</v>
      </c>
      <c r="V88" s="7">
        <f t="shared" si="8"/>
        <v>0.16499749125597257</v>
      </c>
      <c r="W88" s="7">
        <f t="shared" si="9"/>
        <v>1.8268261332209925E-3</v>
      </c>
      <c r="X88" t="s">
        <v>189</v>
      </c>
      <c r="Y88" t="s">
        <v>190</v>
      </c>
      <c r="Z88" t="s">
        <v>191</v>
      </c>
      <c r="AA88" t="s">
        <v>235</v>
      </c>
      <c r="AB88" t="s">
        <v>92</v>
      </c>
    </row>
    <row r="89" spans="1:28">
      <c r="A89" t="s">
        <v>181</v>
      </c>
      <c r="B89" t="s">
        <v>236</v>
      </c>
      <c r="C89" t="s">
        <v>183</v>
      </c>
      <c r="D89" t="s">
        <v>184</v>
      </c>
      <c r="E89" t="s">
        <v>96</v>
      </c>
      <c r="F89">
        <v>60</v>
      </c>
      <c r="G89" t="s">
        <v>185</v>
      </c>
      <c r="H89" t="s">
        <v>84</v>
      </c>
      <c r="I89" t="s">
        <v>186</v>
      </c>
      <c r="J89" t="s">
        <v>187</v>
      </c>
      <c r="K89" t="s">
        <v>41</v>
      </c>
      <c r="L89" t="s">
        <v>30</v>
      </c>
      <c r="M89" t="s">
        <v>188</v>
      </c>
      <c r="N89" s="7">
        <v>6.9461432262178278</v>
      </c>
      <c r="O89" s="7">
        <v>0.24929132265476672</v>
      </c>
      <c r="P89" s="7">
        <v>4</v>
      </c>
      <c r="Q89" s="7">
        <v>7.8126718263871258</v>
      </c>
      <c r="R89" s="7">
        <v>0.37413012170050897</v>
      </c>
      <c r="S89" s="7">
        <v>4</v>
      </c>
      <c r="T89" s="7">
        <f t="shared" si="6"/>
        <v>0.49858264530953345</v>
      </c>
      <c r="U89" s="7">
        <f t="shared" si="7"/>
        <v>0.74826024340101793</v>
      </c>
      <c r="V89" s="7">
        <f t="shared" si="8"/>
        <v>0.11756043453242151</v>
      </c>
      <c r="W89" s="7">
        <f t="shared" si="9"/>
        <v>3.5812550601366723E-3</v>
      </c>
      <c r="X89" t="s">
        <v>189</v>
      </c>
      <c r="Y89" t="s">
        <v>190</v>
      </c>
      <c r="Z89" t="s">
        <v>191</v>
      </c>
      <c r="AA89" t="s">
        <v>235</v>
      </c>
      <c r="AB89" t="s">
        <v>92</v>
      </c>
    </row>
    <row r="90" spans="1:28">
      <c r="A90" t="s">
        <v>181</v>
      </c>
      <c r="B90" t="s">
        <v>237</v>
      </c>
      <c r="C90" t="s">
        <v>183</v>
      </c>
      <c r="D90" t="s">
        <v>195</v>
      </c>
      <c r="E90" t="s">
        <v>96</v>
      </c>
      <c r="F90">
        <v>30</v>
      </c>
      <c r="G90" t="s">
        <v>185</v>
      </c>
      <c r="H90" t="s">
        <v>84</v>
      </c>
      <c r="I90" t="s">
        <v>186</v>
      </c>
      <c r="J90" t="s">
        <v>187</v>
      </c>
      <c r="K90" t="s">
        <v>41</v>
      </c>
      <c r="L90" t="s">
        <v>30</v>
      </c>
      <c r="M90" t="s">
        <v>188</v>
      </c>
      <c r="N90" s="7">
        <v>8.0615766757181682</v>
      </c>
      <c r="O90" s="7">
        <v>0.12483889798925087</v>
      </c>
      <c r="P90" s="7">
        <v>4</v>
      </c>
      <c r="Q90" s="7">
        <v>11.2911543628588</v>
      </c>
      <c r="R90" s="7">
        <v>0.12483889798925087</v>
      </c>
      <c r="S90" s="7">
        <v>4</v>
      </c>
      <c r="T90" s="7">
        <f t="shared" si="6"/>
        <v>0.24967779597850173</v>
      </c>
      <c r="U90" s="7">
        <f t="shared" si="7"/>
        <v>0.24967779597850173</v>
      </c>
      <c r="V90" s="7">
        <f t="shared" si="8"/>
        <v>0.33691046470085545</v>
      </c>
      <c r="W90" s="7">
        <f t="shared" si="9"/>
        <v>3.620486704209533E-4</v>
      </c>
      <c r="X90" t="s">
        <v>189</v>
      </c>
      <c r="Y90" t="s">
        <v>190</v>
      </c>
      <c r="Z90" t="s">
        <v>191</v>
      </c>
      <c r="AA90" t="s">
        <v>238</v>
      </c>
      <c r="AB90" t="s">
        <v>92</v>
      </c>
    </row>
    <row r="91" spans="1:28">
      <c r="A91" t="s">
        <v>181</v>
      </c>
      <c r="B91" t="s">
        <v>239</v>
      </c>
      <c r="C91" t="s">
        <v>183</v>
      </c>
      <c r="D91" t="s">
        <v>195</v>
      </c>
      <c r="E91" t="s">
        <v>96</v>
      </c>
      <c r="F91">
        <v>60</v>
      </c>
      <c r="G91" t="s">
        <v>185</v>
      </c>
      <c r="H91" t="s">
        <v>84</v>
      </c>
      <c r="I91" t="s">
        <v>186</v>
      </c>
      <c r="J91" t="s">
        <v>187</v>
      </c>
      <c r="K91" t="s">
        <v>41</v>
      </c>
      <c r="L91" t="s">
        <v>30</v>
      </c>
      <c r="M91" t="s">
        <v>188</v>
      </c>
      <c r="N91" s="7">
        <v>8.0615766757181682</v>
      </c>
      <c r="O91" s="7">
        <v>0.12483889798925087</v>
      </c>
      <c r="P91" s="7">
        <v>4</v>
      </c>
      <c r="Q91" s="7">
        <v>10.293989468013768</v>
      </c>
      <c r="R91" s="7">
        <v>0.12483889798925087</v>
      </c>
      <c r="S91" s="7">
        <v>4</v>
      </c>
      <c r="T91" s="7">
        <f t="shared" si="6"/>
        <v>0.24967779597850173</v>
      </c>
      <c r="U91" s="7">
        <f t="shared" si="7"/>
        <v>0.24967779597850173</v>
      </c>
      <c r="V91" s="7">
        <f t="shared" si="8"/>
        <v>0.24445102338839139</v>
      </c>
      <c r="W91" s="7">
        <f t="shared" si="9"/>
        <v>3.8687872370964755E-4</v>
      </c>
      <c r="X91" t="s">
        <v>189</v>
      </c>
      <c r="Y91" t="s">
        <v>190</v>
      </c>
      <c r="Z91" t="s">
        <v>191</v>
      </c>
      <c r="AA91" t="s">
        <v>238</v>
      </c>
      <c r="AB91" t="s">
        <v>92</v>
      </c>
    </row>
    <row r="92" spans="1:28">
      <c r="A92" t="s">
        <v>181</v>
      </c>
      <c r="B92" t="s">
        <v>240</v>
      </c>
      <c r="C92" t="s">
        <v>183</v>
      </c>
      <c r="D92" t="s">
        <v>184</v>
      </c>
      <c r="E92" t="s">
        <v>96</v>
      </c>
      <c r="F92">
        <v>30</v>
      </c>
      <c r="G92" t="s">
        <v>185</v>
      </c>
      <c r="H92" t="s">
        <v>84</v>
      </c>
      <c r="I92" t="s">
        <v>186</v>
      </c>
      <c r="J92" t="s">
        <v>187</v>
      </c>
      <c r="K92" t="s">
        <v>41</v>
      </c>
      <c r="L92" t="s">
        <v>30</v>
      </c>
      <c r="M92" t="s">
        <v>188</v>
      </c>
      <c r="N92" s="7">
        <v>7.3256843702246055</v>
      </c>
      <c r="O92" s="7">
        <v>0.12445232572201284</v>
      </c>
      <c r="P92" s="7">
        <v>4</v>
      </c>
      <c r="Q92" s="7">
        <v>8.0615766757181682</v>
      </c>
      <c r="R92" s="7">
        <v>0.12483889798925087</v>
      </c>
      <c r="S92" s="7">
        <v>4</v>
      </c>
      <c r="T92" s="7">
        <f t="shared" si="6"/>
        <v>0.24890465144402568</v>
      </c>
      <c r="U92" s="7">
        <f t="shared" si="7"/>
        <v>0.24967779597850173</v>
      </c>
      <c r="V92" s="7">
        <f t="shared" si="8"/>
        <v>9.5722574801644367E-2</v>
      </c>
      <c r="W92" s="7">
        <f t="shared" si="9"/>
        <v>5.2841474496471876E-4</v>
      </c>
      <c r="X92" t="s">
        <v>189</v>
      </c>
      <c r="Y92" t="s">
        <v>190</v>
      </c>
      <c r="Z92" t="s">
        <v>191</v>
      </c>
      <c r="AA92" t="s">
        <v>241</v>
      </c>
      <c r="AB92" t="s">
        <v>92</v>
      </c>
    </row>
    <row r="93" spans="1:28">
      <c r="A93" t="s">
        <v>181</v>
      </c>
      <c r="B93" t="s">
        <v>242</v>
      </c>
      <c r="C93" t="s">
        <v>183</v>
      </c>
      <c r="D93" t="s">
        <v>184</v>
      </c>
      <c r="E93" t="s">
        <v>96</v>
      </c>
      <c r="F93">
        <v>60</v>
      </c>
      <c r="G93" t="s">
        <v>185</v>
      </c>
      <c r="H93" t="s">
        <v>84</v>
      </c>
      <c r="I93" t="s">
        <v>186</v>
      </c>
      <c r="J93" t="s">
        <v>187</v>
      </c>
      <c r="K93" t="s">
        <v>41</v>
      </c>
      <c r="L93" t="s">
        <v>30</v>
      </c>
      <c r="M93" t="s">
        <v>188</v>
      </c>
      <c r="N93" s="7">
        <v>7.3256843702246055</v>
      </c>
      <c r="O93" s="7">
        <v>0.12445232572201284</v>
      </c>
      <c r="P93" s="7">
        <v>4</v>
      </c>
      <c r="Q93" s="7">
        <v>7.6936305229713868</v>
      </c>
      <c r="R93" s="7">
        <v>5.9134178384139896E-2</v>
      </c>
      <c r="S93" s="7">
        <v>4</v>
      </c>
      <c r="T93" s="7">
        <f t="shared" si="6"/>
        <v>0.24890465144402568</v>
      </c>
      <c r="U93" s="7">
        <f t="shared" si="7"/>
        <v>0.11826835676827979</v>
      </c>
      <c r="V93" s="7">
        <f t="shared" si="8"/>
        <v>4.9006201806958923E-2</v>
      </c>
      <c r="W93" s="7">
        <f t="shared" si="9"/>
        <v>3.4768530164805319E-4</v>
      </c>
      <c r="X93" t="s">
        <v>189</v>
      </c>
      <c r="Y93" t="s">
        <v>190</v>
      </c>
      <c r="Z93" t="s">
        <v>191</v>
      </c>
      <c r="AA93" t="s">
        <v>241</v>
      </c>
      <c r="AB93" t="s">
        <v>92</v>
      </c>
    </row>
    <row r="94" spans="1:28">
      <c r="A94" t="s">
        <v>181</v>
      </c>
      <c r="B94" t="s">
        <v>243</v>
      </c>
      <c r="C94" t="s">
        <v>183</v>
      </c>
      <c r="D94" t="s">
        <v>195</v>
      </c>
      <c r="E94" t="s">
        <v>96</v>
      </c>
      <c r="F94">
        <v>30</v>
      </c>
      <c r="G94" t="s">
        <v>185</v>
      </c>
      <c r="H94" t="s">
        <v>84</v>
      </c>
      <c r="I94" t="s">
        <v>186</v>
      </c>
      <c r="J94" t="s">
        <v>187</v>
      </c>
      <c r="K94" t="s">
        <v>41</v>
      </c>
      <c r="L94" t="s">
        <v>30</v>
      </c>
      <c r="M94" t="s">
        <v>188</v>
      </c>
      <c r="N94" s="7">
        <v>7.9433083189498781</v>
      </c>
      <c r="O94" s="7">
        <v>0.12483889798925087</v>
      </c>
      <c r="P94" s="7">
        <v>4</v>
      </c>
      <c r="Q94" s="7">
        <v>11.789737008168334</v>
      </c>
      <c r="R94" s="7">
        <v>0.12483889798925087</v>
      </c>
      <c r="S94" s="7">
        <v>4</v>
      </c>
      <c r="T94" s="7">
        <f t="shared" si="6"/>
        <v>0.24967779597850173</v>
      </c>
      <c r="U94" s="7">
        <f t="shared" si="7"/>
        <v>0.24967779597850173</v>
      </c>
      <c r="V94" s="7">
        <f t="shared" si="8"/>
        <v>0.39489955461994702</v>
      </c>
      <c r="W94" s="7">
        <f t="shared" si="9"/>
        <v>3.5912223556211899E-4</v>
      </c>
      <c r="X94" t="s">
        <v>189</v>
      </c>
      <c r="Y94" t="s">
        <v>190</v>
      </c>
      <c r="Z94" t="s">
        <v>191</v>
      </c>
      <c r="AA94" t="s">
        <v>244</v>
      </c>
      <c r="AB94" t="s">
        <v>92</v>
      </c>
    </row>
    <row r="95" spans="1:28">
      <c r="A95" t="s">
        <v>181</v>
      </c>
      <c r="B95" t="s">
        <v>245</v>
      </c>
      <c r="C95" t="s">
        <v>183</v>
      </c>
      <c r="D95" t="s">
        <v>195</v>
      </c>
      <c r="E95" t="s">
        <v>96</v>
      </c>
      <c r="F95">
        <v>60</v>
      </c>
      <c r="G95" t="s">
        <v>185</v>
      </c>
      <c r="H95" t="s">
        <v>84</v>
      </c>
      <c r="I95" t="s">
        <v>186</v>
      </c>
      <c r="J95" t="s">
        <v>187</v>
      </c>
      <c r="K95" t="s">
        <v>41</v>
      </c>
      <c r="L95" t="s">
        <v>30</v>
      </c>
      <c r="M95" t="s">
        <v>188</v>
      </c>
      <c r="N95" s="7">
        <v>7.9433083189498781</v>
      </c>
      <c r="O95" s="7">
        <v>0.12483889798925087</v>
      </c>
      <c r="P95" s="7">
        <v>4</v>
      </c>
      <c r="Q95" s="7">
        <v>11.042249711414785</v>
      </c>
      <c r="R95" s="7">
        <v>0.12483889798925087</v>
      </c>
      <c r="S95" s="7">
        <v>4</v>
      </c>
      <c r="T95" s="7">
        <f t="shared" si="6"/>
        <v>0.24967779597850173</v>
      </c>
      <c r="U95" s="7">
        <f t="shared" si="7"/>
        <v>0.24967779597850173</v>
      </c>
      <c r="V95" s="7">
        <f t="shared" si="8"/>
        <v>0.3293989449633547</v>
      </c>
      <c r="W95" s="7">
        <f t="shared" si="9"/>
        <v>3.7481588723225882E-4</v>
      </c>
      <c r="X95" t="s">
        <v>189</v>
      </c>
      <c r="Y95" t="s">
        <v>190</v>
      </c>
      <c r="Z95" t="s">
        <v>191</v>
      </c>
      <c r="AA95" t="s">
        <v>244</v>
      </c>
      <c r="AB95" t="s">
        <v>92</v>
      </c>
    </row>
    <row r="96" spans="1:28">
      <c r="A96" t="s">
        <v>181</v>
      </c>
      <c r="B96" t="s">
        <v>246</v>
      </c>
      <c r="C96" t="s">
        <v>183</v>
      </c>
      <c r="D96" t="s">
        <v>184</v>
      </c>
      <c r="E96" t="s">
        <v>96</v>
      </c>
      <c r="F96">
        <v>30</v>
      </c>
      <c r="G96" t="s">
        <v>185</v>
      </c>
      <c r="H96" t="s">
        <v>84</v>
      </c>
      <c r="I96" t="s">
        <v>186</v>
      </c>
      <c r="J96" t="s">
        <v>187</v>
      </c>
      <c r="K96" t="s">
        <v>29</v>
      </c>
      <c r="L96" t="s">
        <v>30</v>
      </c>
      <c r="M96" t="s">
        <v>188</v>
      </c>
      <c r="N96" s="7">
        <v>4.7177849707012571</v>
      </c>
      <c r="O96" s="7">
        <v>0.54482415377020288</v>
      </c>
      <c r="P96" s="7">
        <v>4</v>
      </c>
      <c r="Q96" s="7">
        <v>5.6791504861662698</v>
      </c>
      <c r="R96" s="7">
        <v>0.23770024040009441</v>
      </c>
      <c r="S96" s="7">
        <v>4</v>
      </c>
      <c r="T96" s="7">
        <f t="shared" si="6"/>
        <v>1.0896483075404058</v>
      </c>
      <c r="U96" s="7">
        <f t="shared" si="7"/>
        <v>0.47540048080018882</v>
      </c>
      <c r="V96" s="7">
        <f t="shared" si="8"/>
        <v>0.18546225567282293</v>
      </c>
      <c r="W96" s="7">
        <f t="shared" si="9"/>
        <v>1.5088164822515689E-2</v>
      </c>
      <c r="X96" t="s">
        <v>189</v>
      </c>
      <c r="Y96" t="s">
        <v>190</v>
      </c>
      <c r="Z96" t="s">
        <v>191</v>
      </c>
      <c r="AA96" t="s">
        <v>247</v>
      </c>
      <c r="AB96" t="s">
        <v>92</v>
      </c>
    </row>
    <row r="97" spans="1:28">
      <c r="A97" t="s">
        <v>181</v>
      </c>
      <c r="B97" t="s">
        <v>248</v>
      </c>
      <c r="C97" t="s">
        <v>183</v>
      </c>
      <c r="D97" t="s">
        <v>184</v>
      </c>
      <c r="E97" t="s">
        <v>96</v>
      </c>
      <c r="F97">
        <v>60</v>
      </c>
      <c r="G97" t="s">
        <v>185</v>
      </c>
      <c r="H97" t="s">
        <v>84</v>
      </c>
      <c r="I97" t="s">
        <v>186</v>
      </c>
      <c r="J97" t="s">
        <v>187</v>
      </c>
      <c r="K97" t="s">
        <v>29</v>
      </c>
      <c r="L97" t="s">
        <v>30</v>
      </c>
      <c r="M97" t="s">
        <v>188</v>
      </c>
      <c r="N97" s="7">
        <v>4.7177849707012571</v>
      </c>
      <c r="O97" s="7">
        <v>0.54482415377020288</v>
      </c>
      <c r="P97" s="7">
        <v>4</v>
      </c>
      <c r="Q97" s="7">
        <v>5.3199589388053043</v>
      </c>
      <c r="R97" s="7">
        <v>0.12149130696087039</v>
      </c>
      <c r="S97" s="7">
        <v>4</v>
      </c>
      <c r="T97" s="7">
        <f t="shared" si="6"/>
        <v>1.0896483075404058</v>
      </c>
      <c r="U97" s="7">
        <f t="shared" si="7"/>
        <v>0.24298261392174078</v>
      </c>
      <c r="V97" s="7">
        <f t="shared" si="8"/>
        <v>0.1201261814740766</v>
      </c>
      <c r="W97" s="7">
        <f t="shared" si="9"/>
        <v>1.3857856146486448E-2</v>
      </c>
      <c r="X97" t="s">
        <v>189</v>
      </c>
      <c r="Y97" t="s">
        <v>190</v>
      </c>
      <c r="Z97" t="s">
        <v>191</v>
      </c>
      <c r="AA97" t="s">
        <v>247</v>
      </c>
      <c r="AB97" t="s">
        <v>92</v>
      </c>
    </row>
    <row r="98" spans="1:28">
      <c r="A98" t="s">
        <v>181</v>
      </c>
      <c r="B98" t="s">
        <v>249</v>
      </c>
      <c r="C98" t="s">
        <v>183</v>
      </c>
      <c r="D98" t="s">
        <v>195</v>
      </c>
      <c r="E98" t="s">
        <v>96</v>
      </c>
      <c r="F98">
        <v>30</v>
      </c>
      <c r="G98" t="s">
        <v>185</v>
      </c>
      <c r="H98" t="s">
        <v>84</v>
      </c>
      <c r="I98" t="s">
        <v>186</v>
      </c>
      <c r="J98" t="s">
        <v>187</v>
      </c>
      <c r="K98" t="s">
        <v>29</v>
      </c>
      <c r="L98" t="s">
        <v>30</v>
      </c>
      <c r="M98" t="s">
        <v>188</v>
      </c>
      <c r="N98" s="7">
        <v>5.5636961085234731</v>
      </c>
      <c r="O98" s="7">
        <v>0.11583175213033106</v>
      </c>
      <c r="P98" s="7">
        <v>4</v>
      </c>
      <c r="Q98" s="7">
        <v>6.6533444160638782</v>
      </c>
      <c r="R98" s="7">
        <v>0.17959577368048241</v>
      </c>
      <c r="S98" s="7">
        <v>4</v>
      </c>
      <c r="T98" s="7">
        <f t="shared" ref="T98:T129" si="10">O98*SQRT(P98)</f>
        <v>0.23166350426066212</v>
      </c>
      <c r="U98" s="7">
        <f t="shared" ref="U98:U129" si="11">R98*SQRT(S98)</f>
        <v>0.35919154736096481</v>
      </c>
      <c r="V98" s="7">
        <f t="shared" si="8"/>
        <v>0.17885699283253031</v>
      </c>
      <c r="W98" s="7">
        <f t="shared" si="9"/>
        <v>1.1620781292906784E-3</v>
      </c>
      <c r="X98" t="s">
        <v>189</v>
      </c>
      <c r="Y98" t="s">
        <v>190</v>
      </c>
      <c r="Z98" t="s">
        <v>191</v>
      </c>
      <c r="AA98" t="s">
        <v>250</v>
      </c>
      <c r="AB98" t="s">
        <v>92</v>
      </c>
    </row>
    <row r="99" spans="1:28">
      <c r="A99" t="s">
        <v>181</v>
      </c>
      <c r="B99" t="s">
        <v>251</v>
      </c>
      <c r="C99" t="s">
        <v>183</v>
      </c>
      <c r="D99" t="s">
        <v>195</v>
      </c>
      <c r="E99" t="s">
        <v>96</v>
      </c>
      <c r="F99">
        <v>60</v>
      </c>
      <c r="G99" t="s">
        <v>185</v>
      </c>
      <c r="H99" t="s">
        <v>84</v>
      </c>
      <c r="I99" t="s">
        <v>186</v>
      </c>
      <c r="J99" t="s">
        <v>187</v>
      </c>
      <c r="K99" t="s">
        <v>29</v>
      </c>
      <c r="L99" t="s">
        <v>30</v>
      </c>
      <c r="M99" t="s">
        <v>188</v>
      </c>
      <c r="N99" s="7">
        <v>5.5636961085234731</v>
      </c>
      <c r="O99" s="7">
        <v>0.11583175213033106</v>
      </c>
      <c r="P99" s="7">
        <v>4</v>
      </c>
      <c r="Q99" s="7">
        <v>6.1666248256026277</v>
      </c>
      <c r="R99" s="7">
        <v>0.17959577368048241</v>
      </c>
      <c r="S99" s="7">
        <v>4</v>
      </c>
      <c r="T99" s="7">
        <f t="shared" si="10"/>
        <v>0.23166350426066212</v>
      </c>
      <c r="U99" s="7">
        <f t="shared" si="11"/>
        <v>0.35919154736096481</v>
      </c>
      <c r="V99" s="7">
        <f t="shared" si="8"/>
        <v>0.10288900323338496</v>
      </c>
      <c r="W99" s="7">
        <f t="shared" si="9"/>
        <v>1.28163732087174E-3</v>
      </c>
      <c r="X99" t="s">
        <v>189</v>
      </c>
      <c r="Y99" t="s">
        <v>190</v>
      </c>
      <c r="Z99" t="s">
        <v>191</v>
      </c>
      <c r="AA99" t="s">
        <v>250</v>
      </c>
      <c r="AB99" t="s">
        <v>92</v>
      </c>
    </row>
    <row r="100" spans="1:28">
      <c r="A100" t="s">
        <v>181</v>
      </c>
      <c r="B100" t="s">
        <v>252</v>
      </c>
      <c r="C100" t="s">
        <v>183</v>
      </c>
      <c r="D100" t="s">
        <v>184</v>
      </c>
      <c r="E100" t="s">
        <v>96</v>
      </c>
      <c r="F100">
        <v>30</v>
      </c>
      <c r="G100" t="s">
        <v>185</v>
      </c>
      <c r="H100" t="s">
        <v>84</v>
      </c>
      <c r="I100" t="s">
        <v>186</v>
      </c>
      <c r="J100" t="s">
        <v>187</v>
      </c>
      <c r="K100" t="s">
        <v>29</v>
      </c>
      <c r="L100" t="s">
        <v>30</v>
      </c>
      <c r="M100" t="s">
        <v>188</v>
      </c>
      <c r="N100" s="7">
        <v>4.4740478009830671</v>
      </c>
      <c r="O100" s="7">
        <v>0.17959577368048241</v>
      </c>
      <c r="P100" s="7">
        <v>4</v>
      </c>
      <c r="Q100" s="7">
        <v>6.4096072463457103</v>
      </c>
      <c r="R100" s="7">
        <v>5.8104563308935424E-2</v>
      </c>
      <c r="S100" s="7">
        <v>4</v>
      </c>
      <c r="T100" s="7">
        <f t="shared" si="10"/>
        <v>0.35919154736096481</v>
      </c>
      <c r="U100" s="7">
        <f t="shared" si="11"/>
        <v>0.11620912661787085</v>
      </c>
      <c r="V100" s="7">
        <f t="shared" si="8"/>
        <v>0.35950444985210928</v>
      </c>
      <c r="W100" s="7">
        <f t="shared" si="9"/>
        <v>1.6935324815828161E-3</v>
      </c>
      <c r="X100" t="s">
        <v>189</v>
      </c>
      <c r="Y100" t="s">
        <v>190</v>
      </c>
      <c r="Z100" t="s">
        <v>191</v>
      </c>
      <c r="AA100" t="s">
        <v>253</v>
      </c>
      <c r="AB100" t="s">
        <v>92</v>
      </c>
    </row>
    <row r="101" spans="1:28">
      <c r="A101" t="s">
        <v>181</v>
      </c>
      <c r="B101" t="s">
        <v>254</v>
      </c>
      <c r="C101" t="s">
        <v>183</v>
      </c>
      <c r="D101" t="s">
        <v>184</v>
      </c>
      <c r="E101" t="s">
        <v>96</v>
      </c>
      <c r="F101">
        <v>60</v>
      </c>
      <c r="G101" t="s">
        <v>185</v>
      </c>
      <c r="H101" t="s">
        <v>84</v>
      </c>
      <c r="I101" t="s">
        <v>186</v>
      </c>
      <c r="J101" t="s">
        <v>187</v>
      </c>
      <c r="K101" t="s">
        <v>29</v>
      </c>
      <c r="L101" t="s">
        <v>30</v>
      </c>
      <c r="M101" t="s">
        <v>188</v>
      </c>
      <c r="N101" s="7">
        <v>4.4740478009830671</v>
      </c>
      <c r="O101" s="7">
        <v>0.17959577368048241</v>
      </c>
      <c r="P101" s="7">
        <v>4</v>
      </c>
      <c r="Q101" s="7">
        <v>5.8066785292665779</v>
      </c>
      <c r="R101" s="7">
        <v>0.35919154736096481</v>
      </c>
      <c r="S101" s="7">
        <v>4</v>
      </c>
      <c r="T101" s="7">
        <f t="shared" si="10"/>
        <v>0.35919154736096481</v>
      </c>
      <c r="U101" s="7">
        <f t="shared" si="11"/>
        <v>0.71838309472192963</v>
      </c>
      <c r="V101" s="7">
        <f t="shared" si="8"/>
        <v>0.26071517849950188</v>
      </c>
      <c r="W101" s="7">
        <f t="shared" si="9"/>
        <v>5.4378094371160951E-3</v>
      </c>
      <c r="X101" t="s">
        <v>189</v>
      </c>
      <c r="Y101" t="s">
        <v>190</v>
      </c>
      <c r="Z101" t="s">
        <v>191</v>
      </c>
      <c r="AA101" t="s">
        <v>253</v>
      </c>
      <c r="AB101" t="s">
        <v>92</v>
      </c>
    </row>
    <row r="102" spans="1:28">
      <c r="A102" t="s">
        <v>181</v>
      </c>
      <c r="B102" t="s">
        <v>255</v>
      </c>
      <c r="C102" t="s">
        <v>183</v>
      </c>
      <c r="D102" t="s">
        <v>195</v>
      </c>
      <c r="E102" t="s">
        <v>96</v>
      </c>
      <c r="F102">
        <v>30</v>
      </c>
      <c r="G102" t="s">
        <v>185</v>
      </c>
      <c r="H102" t="s">
        <v>84</v>
      </c>
      <c r="I102" t="s">
        <v>186</v>
      </c>
      <c r="J102" t="s">
        <v>187</v>
      </c>
      <c r="K102" t="s">
        <v>29</v>
      </c>
      <c r="L102" t="s">
        <v>30</v>
      </c>
      <c r="M102" t="s">
        <v>188</v>
      </c>
      <c r="N102" s="7">
        <v>5.2045045611625076</v>
      </c>
      <c r="O102" s="7">
        <v>0.18525532851102172</v>
      </c>
      <c r="P102" s="7">
        <v>4</v>
      </c>
      <c r="Q102" s="7">
        <v>6.2933983129064979</v>
      </c>
      <c r="R102" s="7">
        <v>0.12186858485908676</v>
      </c>
      <c r="S102" s="7">
        <v>4</v>
      </c>
      <c r="T102" s="7">
        <f t="shared" si="10"/>
        <v>0.37051065702204344</v>
      </c>
      <c r="U102" s="7">
        <f t="shared" si="11"/>
        <v>0.24373716971817352</v>
      </c>
      <c r="V102" s="7">
        <f t="shared" si="8"/>
        <v>0.18997668477875679</v>
      </c>
      <c r="W102" s="7">
        <f t="shared" si="9"/>
        <v>1.6420018593018078E-3</v>
      </c>
      <c r="X102" t="s">
        <v>189</v>
      </c>
      <c r="Y102" t="s">
        <v>190</v>
      </c>
      <c r="Z102" t="s">
        <v>191</v>
      </c>
      <c r="AA102" t="s">
        <v>256</v>
      </c>
      <c r="AB102" t="s">
        <v>92</v>
      </c>
    </row>
    <row r="103" spans="1:28">
      <c r="A103" t="s">
        <v>181</v>
      </c>
      <c r="B103" t="s">
        <v>257</v>
      </c>
      <c r="C103" t="s">
        <v>183</v>
      </c>
      <c r="D103" t="s">
        <v>195</v>
      </c>
      <c r="E103" t="s">
        <v>96</v>
      </c>
      <c r="F103">
        <v>60</v>
      </c>
      <c r="G103" t="s">
        <v>185</v>
      </c>
      <c r="H103" t="s">
        <v>84</v>
      </c>
      <c r="I103" t="s">
        <v>186</v>
      </c>
      <c r="J103" t="s">
        <v>187</v>
      </c>
      <c r="K103" t="s">
        <v>29</v>
      </c>
      <c r="L103" t="s">
        <v>30</v>
      </c>
      <c r="M103" t="s">
        <v>188</v>
      </c>
      <c r="N103" s="7">
        <v>5.2045045611625076</v>
      </c>
      <c r="O103" s="7">
        <v>0.18525532851102172</v>
      </c>
      <c r="P103" s="7">
        <v>4</v>
      </c>
      <c r="Q103" s="7">
        <v>6.2933983129064979</v>
      </c>
      <c r="R103" s="7">
        <v>0.18563260640923812</v>
      </c>
      <c r="S103" s="7">
        <v>4</v>
      </c>
      <c r="T103" s="7">
        <f t="shared" si="10"/>
        <v>0.37051065702204344</v>
      </c>
      <c r="U103" s="7">
        <f t="shared" si="11"/>
        <v>0.37126521281847624</v>
      </c>
      <c r="V103" s="7">
        <f t="shared" si="8"/>
        <v>0.18997668477875679</v>
      </c>
      <c r="W103" s="7">
        <f t="shared" si="9"/>
        <v>2.137055277719319E-3</v>
      </c>
      <c r="X103" t="s">
        <v>189</v>
      </c>
      <c r="Y103" t="s">
        <v>190</v>
      </c>
      <c r="Z103" t="s">
        <v>191</v>
      </c>
      <c r="AA103" t="s">
        <v>256</v>
      </c>
      <c r="AB103" t="s">
        <v>92</v>
      </c>
    </row>
    <row r="104" spans="1:28">
      <c r="A104" t="s">
        <v>181</v>
      </c>
      <c r="B104" t="s">
        <v>258</v>
      </c>
      <c r="C104" t="s">
        <v>183</v>
      </c>
      <c r="D104" t="s">
        <v>184</v>
      </c>
      <c r="E104" t="s">
        <v>96</v>
      </c>
      <c r="F104">
        <v>30</v>
      </c>
      <c r="G104" t="s">
        <v>185</v>
      </c>
      <c r="H104" t="s">
        <v>84</v>
      </c>
      <c r="I104" t="s">
        <v>186</v>
      </c>
      <c r="J104" t="s">
        <v>187</v>
      </c>
      <c r="K104" t="s">
        <v>29</v>
      </c>
      <c r="L104" t="s">
        <v>30</v>
      </c>
      <c r="M104" t="s">
        <v>188</v>
      </c>
      <c r="N104" s="7">
        <v>4.5902567344223018</v>
      </c>
      <c r="O104" s="7">
        <v>0.12149130696087039</v>
      </c>
      <c r="P104" s="7">
        <v>4</v>
      </c>
      <c r="Q104" s="7">
        <v>6.5371352894460184</v>
      </c>
      <c r="R104" s="7">
        <v>0.17959577368048241</v>
      </c>
      <c r="S104" s="7">
        <v>4</v>
      </c>
      <c r="T104" s="7">
        <f t="shared" si="10"/>
        <v>0.24298261392174078</v>
      </c>
      <c r="U104" s="7">
        <f t="shared" si="11"/>
        <v>0.35919154736096481</v>
      </c>
      <c r="V104" s="7">
        <f t="shared" si="8"/>
        <v>0.35356308443605045</v>
      </c>
      <c r="W104" s="7">
        <f t="shared" si="9"/>
        <v>1.4552880168202016E-3</v>
      </c>
      <c r="X104" t="s">
        <v>189</v>
      </c>
      <c r="Y104" t="s">
        <v>190</v>
      </c>
      <c r="Z104" t="s">
        <v>191</v>
      </c>
      <c r="AA104" t="s">
        <v>259</v>
      </c>
      <c r="AB104" t="s">
        <v>92</v>
      </c>
    </row>
    <row r="105" spans="1:28">
      <c r="A105" t="s">
        <v>181</v>
      </c>
      <c r="B105" t="s">
        <v>260</v>
      </c>
      <c r="C105" t="s">
        <v>183</v>
      </c>
      <c r="D105" t="s">
        <v>184</v>
      </c>
      <c r="E105" t="s">
        <v>96</v>
      </c>
      <c r="F105">
        <v>60</v>
      </c>
      <c r="G105" t="s">
        <v>185</v>
      </c>
      <c r="H105" t="s">
        <v>84</v>
      </c>
      <c r="I105" t="s">
        <v>186</v>
      </c>
      <c r="J105" t="s">
        <v>187</v>
      </c>
      <c r="K105" t="s">
        <v>29</v>
      </c>
      <c r="L105" t="s">
        <v>30</v>
      </c>
      <c r="M105" t="s">
        <v>188</v>
      </c>
      <c r="N105" s="7">
        <v>4.5902567344223018</v>
      </c>
      <c r="O105" s="7">
        <v>0.12149130696087039</v>
      </c>
      <c r="P105" s="7">
        <v>4</v>
      </c>
      <c r="Q105" s="7">
        <v>6.1666248256026277</v>
      </c>
      <c r="R105" s="7">
        <v>0.17959577368048241</v>
      </c>
      <c r="S105" s="7">
        <v>4</v>
      </c>
      <c r="T105" s="7">
        <f t="shared" si="10"/>
        <v>0.24298261392174078</v>
      </c>
      <c r="U105" s="7">
        <f t="shared" si="11"/>
        <v>0.35919154736096481</v>
      </c>
      <c r="V105" s="7">
        <f t="shared" si="8"/>
        <v>0.29521570242216311</v>
      </c>
      <c r="W105" s="7">
        <f t="shared" si="9"/>
        <v>1.5487112701824271E-3</v>
      </c>
      <c r="X105" t="s">
        <v>189</v>
      </c>
      <c r="Y105" t="s">
        <v>190</v>
      </c>
      <c r="Z105" t="s">
        <v>191</v>
      </c>
      <c r="AA105" t="s">
        <v>259</v>
      </c>
      <c r="AB105" t="s">
        <v>92</v>
      </c>
    </row>
    <row r="106" spans="1:28">
      <c r="A106" t="s">
        <v>181</v>
      </c>
      <c r="B106" t="s">
        <v>261</v>
      </c>
      <c r="C106" t="s">
        <v>183</v>
      </c>
      <c r="D106" t="s">
        <v>195</v>
      </c>
      <c r="E106" t="s">
        <v>96</v>
      </c>
      <c r="F106">
        <v>30</v>
      </c>
      <c r="G106" t="s">
        <v>185</v>
      </c>
      <c r="H106" t="s">
        <v>84</v>
      </c>
      <c r="I106" t="s">
        <v>186</v>
      </c>
      <c r="J106" t="s">
        <v>187</v>
      </c>
      <c r="K106" t="s">
        <v>29</v>
      </c>
      <c r="L106" t="s">
        <v>30</v>
      </c>
      <c r="M106" t="s">
        <v>188</v>
      </c>
      <c r="N106" s="7">
        <v>5.9228876558844377</v>
      </c>
      <c r="O106" s="7">
        <v>0.12186858485908676</v>
      </c>
      <c r="P106" s="7">
        <v>4</v>
      </c>
      <c r="Q106" s="7">
        <v>6.7687987937066749</v>
      </c>
      <c r="R106" s="7">
        <v>0.17959587026980581</v>
      </c>
      <c r="S106" s="7">
        <v>4</v>
      </c>
      <c r="T106" s="7">
        <f t="shared" si="10"/>
        <v>0.24373716971817352</v>
      </c>
      <c r="U106" s="7">
        <f t="shared" si="11"/>
        <v>0.35919174053961161</v>
      </c>
      <c r="V106" s="7">
        <f t="shared" si="8"/>
        <v>0.13349953073410234</v>
      </c>
      <c r="W106" s="7">
        <f t="shared" si="9"/>
        <v>1.1273614053433079E-3</v>
      </c>
      <c r="X106" t="s">
        <v>189</v>
      </c>
      <c r="Y106" t="s">
        <v>190</v>
      </c>
      <c r="Z106" t="s">
        <v>191</v>
      </c>
      <c r="AA106" t="s">
        <v>262</v>
      </c>
      <c r="AB106" t="s">
        <v>92</v>
      </c>
    </row>
    <row r="107" spans="1:28">
      <c r="A107" t="s">
        <v>181</v>
      </c>
      <c r="B107" t="s">
        <v>263</v>
      </c>
      <c r="C107" t="s">
        <v>183</v>
      </c>
      <c r="D107" t="s">
        <v>195</v>
      </c>
      <c r="E107" t="s">
        <v>96</v>
      </c>
      <c r="F107">
        <v>60</v>
      </c>
      <c r="G107" t="s">
        <v>185</v>
      </c>
      <c r="H107" t="s">
        <v>84</v>
      </c>
      <c r="I107" t="s">
        <v>186</v>
      </c>
      <c r="J107" t="s">
        <v>187</v>
      </c>
      <c r="K107" t="s">
        <v>29</v>
      </c>
      <c r="L107" t="s">
        <v>30</v>
      </c>
      <c r="M107" t="s">
        <v>188</v>
      </c>
      <c r="N107" s="7">
        <v>5.9228876558844377</v>
      </c>
      <c r="O107" s="7">
        <v>0.12186858485908676</v>
      </c>
      <c r="P107" s="7">
        <v>4</v>
      </c>
      <c r="Q107" s="7">
        <v>6.1666248256026277</v>
      </c>
      <c r="R107" s="7">
        <v>0.12149121037154698</v>
      </c>
      <c r="S107" s="7">
        <v>4</v>
      </c>
      <c r="T107" s="7">
        <f t="shared" si="10"/>
        <v>0.24373716971817352</v>
      </c>
      <c r="U107" s="7">
        <f t="shared" si="11"/>
        <v>0.24298242074309395</v>
      </c>
      <c r="V107" s="7">
        <f t="shared" si="8"/>
        <v>4.0327548675467173E-2</v>
      </c>
      <c r="W107" s="7">
        <f t="shared" si="9"/>
        <v>8.1151215095218816E-4</v>
      </c>
      <c r="X107" t="s">
        <v>189</v>
      </c>
      <c r="Y107" t="s">
        <v>190</v>
      </c>
      <c r="Z107" t="s">
        <v>191</v>
      </c>
      <c r="AA107" t="s">
        <v>262</v>
      </c>
      <c r="AB107" t="s">
        <v>92</v>
      </c>
    </row>
    <row r="108" spans="1:28">
      <c r="A108" t="s">
        <v>181</v>
      </c>
      <c r="B108" t="s">
        <v>264</v>
      </c>
      <c r="C108" t="s">
        <v>183</v>
      </c>
      <c r="D108" t="s">
        <v>184</v>
      </c>
      <c r="E108" t="s">
        <v>96</v>
      </c>
      <c r="F108">
        <v>30</v>
      </c>
      <c r="G108" t="s">
        <v>185</v>
      </c>
      <c r="H108" t="s">
        <v>84</v>
      </c>
      <c r="I108" t="s">
        <v>186</v>
      </c>
      <c r="J108" t="s">
        <v>187</v>
      </c>
      <c r="K108" t="s">
        <v>41</v>
      </c>
      <c r="L108" t="s">
        <v>42</v>
      </c>
      <c r="M108" t="s">
        <v>188</v>
      </c>
      <c r="N108" s="7">
        <v>15.782917172174134</v>
      </c>
      <c r="O108" s="7">
        <v>0.56086418642428748</v>
      </c>
      <c r="P108" s="7">
        <v>4</v>
      </c>
      <c r="Q108" s="7">
        <v>19.173405338158794</v>
      </c>
      <c r="R108" s="7">
        <v>0.78858369661326122</v>
      </c>
      <c r="S108" s="7">
        <v>4</v>
      </c>
      <c r="T108" s="7">
        <f t="shared" si="10"/>
        <v>1.121728372848575</v>
      </c>
      <c r="U108" s="7">
        <f t="shared" si="11"/>
        <v>1.5771673932265224</v>
      </c>
      <c r="V108" s="7">
        <f t="shared" si="8"/>
        <v>0.19459601671582261</v>
      </c>
      <c r="W108" s="7">
        <f t="shared" si="9"/>
        <v>2.9544159721041586E-3</v>
      </c>
      <c r="X108" t="s">
        <v>189</v>
      </c>
      <c r="Y108" t="s">
        <v>190</v>
      </c>
      <c r="Z108" t="s">
        <v>191</v>
      </c>
      <c r="AA108" t="s">
        <v>265</v>
      </c>
      <c r="AB108" t="s">
        <v>92</v>
      </c>
    </row>
    <row r="109" spans="1:28">
      <c r="A109" t="s">
        <v>181</v>
      </c>
      <c r="B109" t="s">
        <v>266</v>
      </c>
      <c r="C109" t="s">
        <v>183</v>
      </c>
      <c r="D109" t="s">
        <v>184</v>
      </c>
      <c r="E109" t="s">
        <v>96</v>
      </c>
      <c r="F109">
        <v>60</v>
      </c>
      <c r="G109" t="s">
        <v>185</v>
      </c>
      <c r="H109" t="s">
        <v>84</v>
      </c>
      <c r="I109" t="s">
        <v>186</v>
      </c>
      <c r="J109" t="s">
        <v>187</v>
      </c>
      <c r="K109" t="s">
        <v>41</v>
      </c>
      <c r="L109" t="s">
        <v>42</v>
      </c>
      <c r="M109" t="s">
        <v>188</v>
      </c>
      <c r="N109" s="7">
        <v>15.782917172174134</v>
      </c>
      <c r="O109" s="7">
        <v>0.56086418642428748</v>
      </c>
      <c r="P109" s="7">
        <v>4</v>
      </c>
      <c r="Q109" s="7">
        <v>17.143610454237017</v>
      </c>
      <c r="R109" s="7">
        <v>0.56156715880818309</v>
      </c>
      <c r="S109" s="7">
        <v>4</v>
      </c>
      <c r="T109" s="7">
        <f t="shared" si="10"/>
        <v>1.121728372848575</v>
      </c>
      <c r="U109" s="7">
        <f t="shared" si="11"/>
        <v>1.1231343176163662</v>
      </c>
      <c r="V109" s="7">
        <f t="shared" si="8"/>
        <v>8.2697372436026234E-2</v>
      </c>
      <c r="W109" s="7">
        <f t="shared" si="9"/>
        <v>2.3358160723861102E-3</v>
      </c>
      <c r="X109" t="s">
        <v>189</v>
      </c>
      <c r="Y109" t="s">
        <v>190</v>
      </c>
      <c r="Z109" t="s">
        <v>191</v>
      </c>
      <c r="AA109" t="s">
        <v>265</v>
      </c>
      <c r="AB109" t="s">
        <v>92</v>
      </c>
    </row>
    <row r="110" spans="1:28">
      <c r="A110" t="s">
        <v>181</v>
      </c>
      <c r="B110" t="s">
        <v>267</v>
      </c>
      <c r="C110" t="s">
        <v>183</v>
      </c>
      <c r="D110" t="s">
        <v>195</v>
      </c>
      <c r="E110" t="s">
        <v>96</v>
      </c>
      <c r="F110">
        <v>30</v>
      </c>
      <c r="G110" t="s">
        <v>185</v>
      </c>
      <c r="H110" t="s">
        <v>84</v>
      </c>
      <c r="I110" t="s">
        <v>186</v>
      </c>
      <c r="J110" t="s">
        <v>187</v>
      </c>
      <c r="K110" t="s">
        <v>41</v>
      </c>
      <c r="L110" t="s">
        <v>42</v>
      </c>
      <c r="M110" t="s">
        <v>188</v>
      </c>
      <c r="N110" s="7">
        <v>15.113816290020774</v>
      </c>
      <c r="O110" s="7">
        <v>0.66910124200612797</v>
      </c>
      <c r="P110" s="7">
        <v>4</v>
      </c>
      <c r="Q110" s="7">
        <v>18.719372262548585</v>
      </c>
      <c r="R110" s="7">
        <v>0.90666020645266454</v>
      </c>
      <c r="S110" s="7">
        <v>4</v>
      </c>
      <c r="T110" s="7">
        <f t="shared" si="10"/>
        <v>1.3382024840122559</v>
      </c>
      <c r="U110" s="7">
        <f t="shared" si="11"/>
        <v>1.8133204129053291</v>
      </c>
      <c r="V110" s="7">
        <f t="shared" si="8"/>
        <v>0.21394962593332681</v>
      </c>
      <c r="W110" s="7">
        <f t="shared" si="9"/>
        <v>4.3057907628213975E-3</v>
      </c>
      <c r="X110" t="s">
        <v>189</v>
      </c>
      <c r="Y110" t="s">
        <v>190</v>
      </c>
      <c r="Z110" t="s">
        <v>191</v>
      </c>
      <c r="AA110" t="s">
        <v>268</v>
      </c>
      <c r="AB110" t="s">
        <v>92</v>
      </c>
    </row>
    <row r="111" spans="1:28">
      <c r="A111" t="s">
        <v>181</v>
      </c>
      <c r="B111" t="s">
        <v>269</v>
      </c>
      <c r="C111" t="s">
        <v>183</v>
      </c>
      <c r="D111" t="s">
        <v>195</v>
      </c>
      <c r="E111" t="s">
        <v>96</v>
      </c>
      <c r="F111">
        <v>60</v>
      </c>
      <c r="G111" t="s">
        <v>185</v>
      </c>
      <c r="H111" t="s">
        <v>84</v>
      </c>
      <c r="I111" t="s">
        <v>186</v>
      </c>
      <c r="J111" t="s">
        <v>187</v>
      </c>
      <c r="K111" t="s">
        <v>41</v>
      </c>
      <c r="L111" t="s">
        <v>42</v>
      </c>
      <c r="M111" t="s">
        <v>188</v>
      </c>
      <c r="N111" s="7">
        <v>15.113816290020774</v>
      </c>
      <c r="O111" s="7">
        <v>0.66910124200612797</v>
      </c>
      <c r="P111" s="7">
        <v>4</v>
      </c>
      <c r="Q111" s="7">
        <v>17.358678980485706</v>
      </c>
      <c r="R111" s="7">
        <v>0.45333028315272644</v>
      </c>
      <c r="S111" s="7">
        <v>4</v>
      </c>
      <c r="T111" s="7">
        <f t="shared" si="10"/>
        <v>1.3382024840122559</v>
      </c>
      <c r="U111" s="7">
        <f t="shared" si="11"/>
        <v>0.90666056630545289</v>
      </c>
      <c r="V111" s="7">
        <f t="shared" si="8"/>
        <v>0.13848329917228583</v>
      </c>
      <c r="W111" s="7">
        <f t="shared" si="9"/>
        <v>2.6419251283334687E-3</v>
      </c>
      <c r="X111" t="s">
        <v>189</v>
      </c>
      <c r="Y111" t="s">
        <v>190</v>
      </c>
      <c r="Z111" t="s">
        <v>191</v>
      </c>
      <c r="AA111" t="s">
        <v>268</v>
      </c>
      <c r="AB111" t="s">
        <v>92</v>
      </c>
    </row>
    <row r="112" spans="1:28">
      <c r="A112" t="s">
        <v>181</v>
      </c>
      <c r="B112" t="s">
        <v>270</v>
      </c>
      <c r="C112" t="s">
        <v>183</v>
      </c>
      <c r="D112" t="s">
        <v>184</v>
      </c>
      <c r="E112" t="s">
        <v>96</v>
      </c>
      <c r="F112">
        <v>30</v>
      </c>
      <c r="G112" t="s">
        <v>185</v>
      </c>
      <c r="H112" t="s">
        <v>84</v>
      </c>
      <c r="I112" t="s">
        <v>186</v>
      </c>
      <c r="J112" t="s">
        <v>187</v>
      </c>
      <c r="K112" t="s">
        <v>41</v>
      </c>
      <c r="L112" t="s">
        <v>42</v>
      </c>
      <c r="M112" t="s">
        <v>188</v>
      </c>
      <c r="N112" s="7">
        <v>16.236950247784343</v>
      </c>
      <c r="O112" s="7">
        <v>0.45333028315272644</v>
      </c>
      <c r="P112" s="7">
        <v>4</v>
      </c>
      <c r="Q112" s="7">
        <v>20.532692675453937</v>
      </c>
      <c r="R112" s="7">
        <v>0.78788072422940647</v>
      </c>
      <c r="S112" s="7">
        <v>4</v>
      </c>
      <c r="T112" s="7">
        <f t="shared" si="10"/>
        <v>0.90666056630545289</v>
      </c>
      <c r="U112" s="7">
        <f t="shared" si="11"/>
        <v>1.5757614484588129</v>
      </c>
      <c r="V112" s="7">
        <f t="shared" si="8"/>
        <v>0.23472885603968502</v>
      </c>
      <c r="W112" s="7">
        <f t="shared" si="9"/>
        <v>2.2519192243418929E-3</v>
      </c>
      <c r="X112" t="s">
        <v>189</v>
      </c>
      <c r="Y112" t="s">
        <v>190</v>
      </c>
      <c r="Z112" t="s">
        <v>191</v>
      </c>
      <c r="AA112" t="s">
        <v>271</v>
      </c>
      <c r="AB112" t="s">
        <v>92</v>
      </c>
    </row>
    <row r="113" spans="1:28">
      <c r="A113" t="s">
        <v>181</v>
      </c>
      <c r="B113" t="s">
        <v>272</v>
      </c>
      <c r="C113" t="s">
        <v>183</v>
      </c>
      <c r="D113" t="s">
        <v>184</v>
      </c>
      <c r="E113" t="s">
        <v>96</v>
      </c>
      <c r="F113">
        <v>60</v>
      </c>
      <c r="G113" t="s">
        <v>185</v>
      </c>
      <c r="H113" t="s">
        <v>84</v>
      </c>
      <c r="I113" t="s">
        <v>186</v>
      </c>
      <c r="J113" t="s">
        <v>187</v>
      </c>
      <c r="K113" t="s">
        <v>41</v>
      </c>
      <c r="L113" t="s">
        <v>42</v>
      </c>
      <c r="M113" t="s">
        <v>188</v>
      </c>
      <c r="N113" s="7">
        <v>16.236950247784343</v>
      </c>
      <c r="O113" s="7">
        <v>0.45333028315272644</v>
      </c>
      <c r="P113" s="7">
        <v>4</v>
      </c>
      <c r="Q113" s="7">
        <v>18.050271020542461</v>
      </c>
      <c r="R113" s="7">
        <v>0.57210958544962098</v>
      </c>
      <c r="S113" s="7">
        <v>4</v>
      </c>
      <c r="T113" s="7">
        <f t="shared" si="10"/>
        <v>0.90666056630545289</v>
      </c>
      <c r="U113" s="7">
        <f t="shared" si="11"/>
        <v>1.144219170899242</v>
      </c>
      <c r="V113" s="7">
        <f t="shared" si="8"/>
        <v>0.10587117518049569</v>
      </c>
      <c r="W113" s="7">
        <f t="shared" si="9"/>
        <v>1.7841028982606669E-3</v>
      </c>
      <c r="X113" t="s">
        <v>189</v>
      </c>
      <c r="Y113" t="s">
        <v>190</v>
      </c>
      <c r="Z113" t="s">
        <v>191</v>
      </c>
      <c r="AA113" t="s">
        <v>271</v>
      </c>
      <c r="AB113" t="s">
        <v>92</v>
      </c>
    </row>
    <row r="114" spans="1:28">
      <c r="A114" t="s">
        <v>181</v>
      </c>
      <c r="B114" t="s">
        <v>273</v>
      </c>
      <c r="C114" t="s">
        <v>183</v>
      </c>
      <c r="D114" t="s">
        <v>195</v>
      </c>
      <c r="E114" t="s">
        <v>96</v>
      </c>
      <c r="F114">
        <v>30</v>
      </c>
      <c r="G114" t="s">
        <v>185</v>
      </c>
      <c r="H114" t="s">
        <v>84</v>
      </c>
      <c r="I114" t="s">
        <v>186</v>
      </c>
      <c r="J114" t="s">
        <v>187</v>
      </c>
      <c r="K114" t="s">
        <v>41</v>
      </c>
      <c r="L114" t="s">
        <v>42</v>
      </c>
      <c r="M114" t="s">
        <v>188</v>
      </c>
      <c r="N114" s="7">
        <v>15.330290041331667</v>
      </c>
      <c r="O114" s="7">
        <v>0.56156697888177864</v>
      </c>
      <c r="P114" s="7">
        <v>4</v>
      </c>
      <c r="Q114" s="7">
        <v>19.388473504554714</v>
      </c>
      <c r="R114" s="7">
        <v>0.45403289568381322</v>
      </c>
      <c r="S114" s="7">
        <v>4</v>
      </c>
      <c r="T114" s="7">
        <f t="shared" si="10"/>
        <v>1.1231339577635573</v>
      </c>
      <c r="U114" s="7">
        <f t="shared" si="11"/>
        <v>0.90806579136762644</v>
      </c>
      <c r="V114" s="7">
        <f t="shared" si="8"/>
        <v>0.23484812768613694</v>
      </c>
      <c r="W114" s="7">
        <f t="shared" si="9"/>
        <v>1.8902324119496263E-3</v>
      </c>
      <c r="X114" t="s">
        <v>189</v>
      </c>
      <c r="Y114" t="s">
        <v>190</v>
      </c>
      <c r="Z114" t="s">
        <v>191</v>
      </c>
      <c r="AA114" t="s">
        <v>274</v>
      </c>
      <c r="AB114" t="s">
        <v>92</v>
      </c>
    </row>
    <row r="115" spans="1:28">
      <c r="A115" t="s">
        <v>181</v>
      </c>
      <c r="B115" t="s">
        <v>275</v>
      </c>
      <c r="C115" t="s">
        <v>183</v>
      </c>
      <c r="D115" t="s">
        <v>195</v>
      </c>
      <c r="E115" t="s">
        <v>96</v>
      </c>
      <c r="F115">
        <v>60</v>
      </c>
      <c r="G115" t="s">
        <v>185</v>
      </c>
      <c r="H115" t="s">
        <v>84</v>
      </c>
      <c r="I115" t="s">
        <v>186</v>
      </c>
      <c r="J115" t="s">
        <v>187</v>
      </c>
      <c r="K115" t="s">
        <v>41</v>
      </c>
      <c r="L115" t="s">
        <v>42</v>
      </c>
      <c r="M115" t="s">
        <v>188</v>
      </c>
      <c r="N115" s="7">
        <v>15.330290041331667</v>
      </c>
      <c r="O115" s="7">
        <v>0.56156697888177864</v>
      </c>
      <c r="P115" s="7">
        <v>4</v>
      </c>
      <c r="Q115" s="7">
        <v>17.143610454237017</v>
      </c>
      <c r="R115" s="7">
        <v>0.78858369661326122</v>
      </c>
      <c r="S115" s="7">
        <v>4</v>
      </c>
      <c r="T115" s="7">
        <f t="shared" si="10"/>
        <v>1.1231339577635573</v>
      </c>
      <c r="U115" s="7">
        <f t="shared" si="11"/>
        <v>1.5771673932265224</v>
      </c>
      <c r="V115" s="7">
        <f t="shared" si="8"/>
        <v>0.11179492336830849</v>
      </c>
      <c r="W115" s="7">
        <f t="shared" si="9"/>
        <v>3.4577249701513873E-3</v>
      </c>
      <c r="X115" t="s">
        <v>189</v>
      </c>
      <c r="Y115" t="s">
        <v>190</v>
      </c>
      <c r="Z115" t="s">
        <v>191</v>
      </c>
      <c r="AA115" t="s">
        <v>274</v>
      </c>
      <c r="AB115" t="s">
        <v>92</v>
      </c>
    </row>
    <row r="116" spans="1:28">
      <c r="A116" t="s">
        <v>181</v>
      </c>
      <c r="B116" t="s">
        <v>276</v>
      </c>
      <c r="C116" t="s">
        <v>183</v>
      </c>
      <c r="D116" t="s">
        <v>184</v>
      </c>
      <c r="E116" t="s">
        <v>96</v>
      </c>
      <c r="F116">
        <v>30</v>
      </c>
      <c r="G116" t="s">
        <v>185</v>
      </c>
      <c r="H116" t="s">
        <v>84</v>
      </c>
      <c r="I116" t="s">
        <v>186</v>
      </c>
      <c r="J116" t="s">
        <v>187</v>
      </c>
      <c r="K116" t="s">
        <v>41</v>
      </c>
      <c r="L116" t="s">
        <v>42</v>
      </c>
      <c r="M116" t="s">
        <v>188</v>
      </c>
      <c r="N116" s="7">
        <v>16.020476496473449</v>
      </c>
      <c r="O116" s="7">
        <v>0.68034664103144105</v>
      </c>
      <c r="P116" s="7">
        <v>4</v>
      </c>
      <c r="Q116" s="7">
        <v>19.842506220312156</v>
      </c>
      <c r="R116" s="7">
        <v>0.79912612325471954</v>
      </c>
      <c r="S116" s="7">
        <v>4</v>
      </c>
      <c r="T116" s="7">
        <f t="shared" si="10"/>
        <v>1.3606932820628821</v>
      </c>
      <c r="U116" s="7">
        <f t="shared" si="11"/>
        <v>1.5982522465094391</v>
      </c>
      <c r="V116" s="7">
        <f t="shared" si="8"/>
        <v>0.21395873041948901</v>
      </c>
      <c r="W116" s="7">
        <f t="shared" si="9"/>
        <v>3.4254234810054606E-3</v>
      </c>
      <c r="X116" t="s">
        <v>189</v>
      </c>
      <c r="Y116" t="s">
        <v>190</v>
      </c>
      <c r="Z116" t="s">
        <v>191</v>
      </c>
      <c r="AA116" t="s">
        <v>277</v>
      </c>
      <c r="AB116" t="s">
        <v>92</v>
      </c>
    </row>
    <row r="117" spans="1:28">
      <c r="A117" t="s">
        <v>181</v>
      </c>
      <c r="B117" t="s">
        <v>278</v>
      </c>
      <c r="C117" t="s">
        <v>183</v>
      </c>
      <c r="D117" t="s">
        <v>184</v>
      </c>
      <c r="E117" t="s">
        <v>96</v>
      </c>
      <c r="F117">
        <v>60</v>
      </c>
      <c r="G117" t="s">
        <v>185</v>
      </c>
      <c r="H117" t="s">
        <v>84</v>
      </c>
      <c r="I117" t="s">
        <v>186</v>
      </c>
      <c r="J117" t="s">
        <v>187</v>
      </c>
      <c r="K117" t="s">
        <v>41</v>
      </c>
      <c r="L117" t="s">
        <v>42</v>
      </c>
      <c r="M117" t="s">
        <v>188</v>
      </c>
      <c r="N117" s="7">
        <v>16.020476496473449</v>
      </c>
      <c r="O117" s="7">
        <v>0.68034664103144105</v>
      </c>
      <c r="P117" s="7">
        <v>4</v>
      </c>
      <c r="Q117" s="7">
        <v>17.812712056095911</v>
      </c>
      <c r="R117" s="7">
        <v>0.67964384857397031</v>
      </c>
      <c r="S117" s="7">
        <v>4</v>
      </c>
      <c r="T117" s="7">
        <f t="shared" si="10"/>
        <v>1.3606932820628821</v>
      </c>
      <c r="U117" s="7">
        <f t="shared" si="11"/>
        <v>1.3592876971479406</v>
      </c>
      <c r="V117" s="7">
        <f t="shared" si="8"/>
        <v>0.10604467781398465</v>
      </c>
      <c r="W117" s="7">
        <f t="shared" si="9"/>
        <v>3.2592761993223227E-3</v>
      </c>
      <c r="X117" t="s">
        <v>189</v>
      </c>
      <c r="Y117" t="s">
        <v>190</v>
      </c>
      <c r="Z117" t="s">
        <v>191</v>
      </c>
      <c r="AA117" t="s">
        <v>277</v>
      </c>
      <c r="AB117" t="s">
        <v>92</v>
      </c>
    </row>
    <row r="118" spans="1:28">
      <c r="A118" t="s">
        <v>181</v>
      </c>
      <c r="B118" t="s">
        <v>279</v>
      </c>
      <c r="C118" t="s">
        <v>183</v>
      </c>
      <c r="D118" t="s">
        <v>195</v>
      </c>
      <c r="E118" t="s">
        <v>96</v>
      </c>
      <c r="F118">
        <v>30</v>
      </c>
      <c r="G118" t="s">
        <v>185</v>
      </c>
      <c r="H118" t="s">
        <v>84</v>
      </c>
      <c r="I118" t="s">
        <v>186</v>
      </c>
      <c r="J118" t="s">
        <v>187</v>
      </c>
      <c r="K118" t="s">
        <v>41</v>
      </c>
      <c r="L118" t="s">
        <v>42</v>
      </c>
      <c r="M118" t="s">
        <v>188</v>
      </c>
      <c r="N118" s="7">
        <v>16.474509572083655</v>
      </c>
      <c r="O118" s="7">
        <v>0.44278749665852063</v>
      </c>
      <c r="P118" s="7">
        <v>4</v>
      </c>
      <c r="Q118" s="7">
        <v>20.080065544611468</v>
      </c>
      <c r="R118" s="7">
        <v>0.89611777981122664</v>
      </c>
      <c r="S118" s="7">
        <v>4</v>
      </c>
      <c r="T118" s="7">
        <f t="shared" si="10"/>
        <v>0.88557499331704126</v>
      </c>
      <c r="U118" s="7">
        <f t="shared" si="11"/>
        <v>1.7922355596224533</v>
      </c>
      <c r="V118" s="7">
        <f t="shared" si="8"/>
        <v>0.19791324705364588</v>
      </c>
      <c r="W118" s="7">
        <f t="shared" si="9"/>
        <v>2.7139699872328494E-3</v>
      </c>
      <c r="X118" t="s">
        <v>189</v>
      </c>
      <c r="Y118" t="s">
        <v>190</v>
      </c>
      <c r="Z118" t="s">
        <v>191</v>
      </c>
      <c r="AA118" t="s">
        <v>280</v>
      </c>
      <c r="AB118" t="s">
        <v>92</v>
      </c>
    </row>
    <row r="119" spans="1:28">
      <c r="A119" t="s">
        <v>181</v>
      </c>
      <c r="B119" t="s">
        <v>281</v>
      </c>
      <c r="C119" t="s">
        <v>183</v>
      </c>
      <c r="D119" t="s">
        <v>195</v>
      </c>
      <c r="E119" t="s">
        <v>96</v>
      </c>
      <c r="F119">
        <v>60</v>
      </c>
      <c r="G119" t="s">
        <v>185</v>
      </c>
      <c r="H119" t="s">
        <v>84</v>
      </c>
      <c r="I119" t="s">
        <v>186</v>
      </c>
      <c r="J119" t="s">
        <v>187</v>
      </c>
      <c r="K119" t="s">
        <v>41</v>
      </c>
      <c r="L119" t="s">
        <v>42</v>
      </c>
      <c r="M119" t="s">
        <v>188</v>
      </c>
      <c r="N119" s="7">
        <v>16.474509572083655</v>
      </c>
      <c r="O119" s="7">
        <v>0.44278749665852063</v>
      </c>
      <c r="P119" s="7">
        <v>4</v>
      </c>
      <c r="Q119" s="7">
        <v>17.812712056095911</v>
      </c>
      <c r="R119" s="7">
        <v>0.67964384857397031</v>
      </c>
      <c r="S119" s="7">
        <v>4</v>
      </c>
      <c r="T119" s="7">
        <f t="shared" si="10"/>
        <v>0.88557499331704126</v>
      </c>
      <c r="U119" s="7">
        <f t="shared" si="11"/>
        <v>1.3592876971479406</v>
      </c>
      <c r="V119" s="7">
        <f t="shared" si="8"/>
        <v>7.8098050923203613E-2</v>
      </c>
      <c r="W119" s="7">
        <f t="shared" si="9"/>
        <v>2.178183244640496E-3</v>
      </c>
      <c r="X119" t="s">
        <v>189</v>
      </c>
      <c r="Y119" t="s">
        <v>190</v>
      </c>
      <c r="Z119" t="s">
        <v>191</v>
      </c>
      <c r="AA119" t="s">
        <v>280</v>
      </c>
      <c r="AB119" t="s">
        <v>92</v>
      </c>
    </row>
    <row r="120" spans="1:28">
      <c r="A120" t="s">
        <v>181</v>
      </c>
      <c r="B120" t="s">
        <v>282</v>
      </c>
      <c r="C120" t="s">
        <v>183</v>
      </c>
      <c r="D120" t="s">
        <v>184</v>
      </c>
      <c r="E120" t="s">
        <v>96</v>
      </c>
      <c r="F120">
        <v>30</v>
      </c>
      <c r="G120" t="s">
        <v>185</v>
      </c>
      <c r="H120" t="s">
        <v>84</v>
      </c>
      <c r="I120" t="s">
        <v>186</v>
      </c>
      <c r="J120" t="s">
        <v>187</v>
      </c>
      <c r="K120" t="s">
        <v>29</v>
      </c>
      <c r="L120" t="s">
        <v>42</v>
      </c>
      <c r="M120" t="s">
        <v>188</v>
      </c>
      <c r="N120" s="7">
        <v>12.008869154449576</v>
      </c>
      <c r="O120" s="7">
        <v>0.95265494867813094</v>
      </c>
      <c r="P120" s="7">
        <v>4</v>
      </c>
      <c r="Q120" s="7">
        <v>14.065816259654351</v>
      </c>
      <c r="R120" s="7">
        <v>0.95265507471414668</v>
      </c>
      <c r="S120" s="7">
        <v>4</v>
      </c>
      <c r="T120" s="7">
        <f t="shared" si="10"/>
        <v>1.9053098973562619</v>
      </c>
      <c r="U120" s="7">
        <f t="shared" si="11"/>
        <v>1.9053101494282934</v>
      </c>
      <c r="V120" s="7">
        <f t="shared" si="8"/>
        <v>0.15810200207650354</v>
      </c>
      <c r="W120" s="7">
        <f t="shared" si="9"/>
        <v>1.0880269403430731E-2</v>
      </c>
      <c r="X120" t="s">
        <v>189</v>
      </c>
      <c r="Y120" t="s">
        <v>190</v>
      </c>
      <c r="Z120" t="s">
        <v>191</v>
      </c>
      <c r="AA120" t="s">
        <v>283</v>
      </c>
      <c r="AB120" t="s">
        <v>92</v>
      </c>
    </row>
    <row r="121" spans="1:28">
      <c r="A121" t="s">
        <v>181</v>
      </c>
      <c r="B121" t="s">
        <v>284</v>
      </c>
      <c r="C121" t="s">
        <v>183</v>
      </c>
      <c r="D121" t="s">
        <v>184</v>
      </c>
      <c r="E121" t="s">
        <v>96</v>
      </c>
      <c r="F121">
        <v>60</v>
      </c>
      <c r="G121" t="s">
        <v>185</v>
      </c>
      <c r="H121" t="s">
        <v>84</v>
      </c>
      <c r="I121" t="s">
        <v>186</v>
      </c>
      <c r="J121" t="s">
        <v>187</v>
      </c>
      <c r="K121" t="s">
        <v>29</v>
      </c>
      <c r="L121" t="s">
        <v>42</v>
      </c>
      <c r="M121" t="s">
        <v>188</v>
      </c>
      <c r="N121" s="7">
        <v>12.008869154449576</v>
      </c>
      <c r="O121" s="7">
        <v>0.95265494867813094</v>
      </c>
      <c r="P121" s="7">
        <v>4</v>
      </c>
      <c r="Q121" s="7">
        <v>13.112668888261503</v>
      </c>
      <c r="R121" s="7">
        <v>0.86994393918006363</v>
      </c>
      <c r="S121" s="7">
        <v>4</v>
      </c>
      <c r="T121" s="7">
        <f t="shared" si="10"/>
        <v>1.9053098973562619</v>
      </c>
      <c r="U121" s="7">
        <f t="shared" si="11"/>
        <v>1.7398878783601273</v>
      </c>
      <c r="V121" s="7">
        <f t="shared" si="8"/>
        <v>8.7933380588111801E-2</v>
      </c>
      <c r="W121" s="7">
        <f t="shared" si="9"/>
        <v>1.0694631059444416E-2</v>
      </c>
      <c r="X121" t="s">
        <v>189</v>
      </c>
      <c r="Y121" t="s">
        <v>190</v>
      </c>
      <c r="Z121" t="s">
        <v>191</v>
      </c>
      <c r="AA121" t="s">
        <v>283</v>
      </c>
      <c r="AB121" t="s">
        <v>92</v>
      </c>
    </row>
    <row r="122" spans="1:28">
      <c r="A122" t="s">
        <v>181</v>
      </c>
      <c r="B122" t="s">
        <v>285</v>
      </c>
      <c r="C122" t="s">
        <v>183</v>
      </c>
      <c r="D122" t="s">
        <v>195</v>
      </c>
      <c r="E122" t="s">
        <v>96</v>
      </c>
      <c r="F122">
        <v>30</v>
      </c>
      <c r="G122" t="s">
        <v>185</v>
      </c>
      <c r="H122" t="s">
        <v>84</v>
      </c>
      <c r="I122" t="s">
        <v>186</v>
      </c>
      <c r="J122" t="s">
        <v>187</v>
      </c>
      <c r="K122" t="s">
        <v>29</v>
      </c>
      <c r="L122" t="s">
        <v>42</v>
      </c>
      <c r="M122" t="s">
        <v>188</v>
      </c>
      <c r="N122" s="7">
        <v>12.477565589142753</v>
      </c>
      <c r="O122" s="7">
        <v>1.1116771108512038</v>
      </c>
      <c r="P122" s="7">
        <v>4</v>
      </c>
      <c r="Q122" s="7">
        <v>14.065816259654351</v>
      </c>
      <c r="R122" s="7">
        <v>0.95265507471414668</v>
      </c>
      <c r="S122" s="7">
        <v>4</v>
      </c>
      <c r="T122" s="7">
        <f t="shared" si="10"/>
        <v>2.2233542217024076</v>
      </c>
      <c r="U122" s="7">
        <f t="shared" si="11"/>
        <v>1.9053101494282934</v>
      </c>
      <c r="V122" s="7">
        <f t="shared" si="8"/>
        <v>0.11981519613044193</v>
      </c>
      <c r="W122" s="7">
        <f t="shared" si="9"/>
        <v>1.2524888106662574E-2</v>
      </c>
      <c r="X122" t="s">
        <v>189</v>
      </c>
      <c r="Y122" t="s">
        <v>190</v>
      </c>
      <c r="Z122" t="s">
        <v>191</v>
      </c>
      <c r="AA122" t="s">
        <v>286</v>
      </c>
      <c r="AB122" t="s">
        <v>92</v>
      </c>
    </row>
    <row r="123" spans="1:28">
      <c r="A123" t="s">
        <v>181</v>
      </c>
      <c r="B123" t="s">
        <v>287</v>
      </c>
      <c r="C123" t="s">
        <v>183</v>
      </c>
      <c r="D123" t="s">
        <v>195</v>
      </c>
      <c r="E123" t="s">
        <v>96</v>
      </c>
      <c r="F123">
        <v>60</v>
      </c>
      <c r="G123" t="s">
        <v>185</v>
      </c>
      <c r="H123" t="s">
        <v>84</v>
      </c>
      <c r="I123" t="s">
        <v>186</v>
      </c>
      <c r="J123" t="s">
        <v>187</v>
      </c>
      <c r="K123" t="s">
        <v>29</v>
      </c>
      <c r="L123" t="s">
        <v>42</v>
      </c>
      <c r="M123" t="s">
        <v>188</v>
      </c>
      <c r="N123" s="7">
        <v>12.477565589142753</v>
      </c>
      <c r="O123" s="7">
        <v>1.1116771108512038</v>
      </c>
      <c r="P123" s="7">
        <v>4</v>
      </c>
      <c r="Q123" s="7">
        <v>13.279075752687074</v>
      </c>
      <c r="R123" s="7">
        <v>1.103799733811927</v>
      </c>
      <c r="S123" s="7">
        <v>4</v>
      </c>
      <c r="T123" s="7">
        <f t="shared" si="10"/>
        <v>2.2233542217024076</v>
      </c>
      <c r="U123" s="7">
        <f t="shared" si="11"/>
        <v>2.207599467623854</v>
      </c>
      <c r="V123" s="7">
        <f t="shared" si="8"/>
        <v>6.2257265748994851E-2</v>
      </c>
      <c r="W123" s="7">
        <f t="shared" si="9"/>
        <v>1.4847225624992397E-2</v>
      </c>
      <c r="X123" t="s">
        <v>189</v>
      </c>
      <c r="Y123" t="s">
        <v>190</v>
      </c>
      <c r="Z123" t="s">
        <v>191</v>
      </c>
      <c r="AA123" t="s">
        <v>286</v>
      </c>
      <c r="AB123" t="s">
        <v>92</v>
      </c>
    </row>
    <row r="124" spans="1:28">
      <c r="A124" t="s">
        <v>181</v>
      </c>
      <c r="B124" t="s">
        <v>288</v>
      </c>
      <c r="C124" t="s">
        <v>183</v>
      </c>
      <c r="D124" t="s">
        <v>184</v>
      </c>
      <c r="E124" t="s">
        <v>96</v>
      </c>
      <c r="F124">
        <v>30</v>
      </c>
      <c r="G124" t="s">
        <v>185</v>
      </c>
      <c r="H124" t="s">
        <v>84</v>
      </c>
      <c r="I124" t="s">
        <v>186</v>
      </c>
      <c r="J124" t="s">
        <v>187</v>
      </c>
      <c r="K124" t="s">
        <v>29</v>
      </c>
      <c r="L124" t="s">
        <v>42</v>
      </c>
      <c r="M124" t="s">
        <v>188</v>
      </c>
      <c r="N124" s="7">
        <v>13.279075752687074</v>
      </c>
      <c r="O124" s="7">
        <v>1.103799733811927</v>
      </c>
      <c r="P124" s="7">
        <v>4</v>
      </c>
      <c r="Q124" s="7">
        <v>15.336022857891864</v>
      </c>
      <c r="R124" s="7">
        <v>1.3381479511585161</v>
      </c>
      <c r="S124" s="7">
        <v>4</v>
      </c>
      <c r="T124" s="7">
        <f t="shared" si="10"/>
        <v>2.207599467623854</v>
      </c>
      <c r="U124" s="7">
        <f t="shared" si="11"/>
        <v>2.6762959023170323</v>
      </c>
      <c r="V124" s="7">
        <f t="shared" si="8"/>
        <v>0.1440149515250036</v>
      </c>
      <c r="W124" s="7">
        <f t="shared" si="9"/>
        <v>1.4522944500671165E-2</v>
      </c>
      <c r="X124" t="s">
        <v>189</v>
      </c>
      <c r="Y124" t="s">
        <v>190</v>
      </c>
      <c r="Z124" t="s">
        <v>191</v>
      </c>
      <c r="AA124" t="s">
        <v>289</v>
      </c>
      <c r="AB124" t="s">
        <v>92</v>
      </c>
    </row>
    <row r="125" spans="1:28">
      <c r="A125" t="s">
        <v>181</v>
      </c>
      <c r="B125" t="s">
        <v>290</v>
      </c>
      <c r="C125" t="s">
        <v>183</v>
      </c>
      <c r="D125" t="s">
        <v>184</v>
      </c>
      <c r="E125" t="s">
        <v>96</v>
      </c>
      <c r="F125">
        <v>60</v>
      </c>
      <c r="G125" t="s">
        <v>185</v>
      </c>
      <c r="H125" t="s">
        <v>84</v>
      </c>
      <c r="I125" t="s">
        <v>186</v>
      </c>
      <c r="J125" t="s">
        <v>187</v>
      </c>
      <c r="K125" t="s">
        <v>29</v>
      </c>
      <c r="L125" t="s">
        <v>42</v>
      </c>
      <c r="M125" t="s">
        <v>188</v>
      </c>
      <c r="N125" s="7">
        <v>13.279075752687074</v>
      </c>
      <c r="O125" s="7">
        <v>1.103799733811927</v>
      </c>
      <c r="P125" s="7">
        <v>4</v>
      </c>
      <c r="Q125" s="7">
        <v>14.53451269434753</v>
      </c>
      <c r="R125" s="7">
        <v>0.94527012038960256</v>
      </c>
      <c r="S125" s="7">
        <v>4</v>
      </c>
      <c r="T125" s="7">
        <f t="shared" si="10"/>
        <v>2.207599467623854</v>
      </c>
      <c r="U125" s="7">
        <f t="shared" si="11"/>
        <v>1.8905402407792051</v>
      </c>
      <c r="V125" s="7">
        <f t="shared" si="8"/>
        <v>9.0336462398044742E-2</v>
      </c>
      <c r="W125" s="7">
        <f t="shared" si="9"/>
        <v>1.1139185280549642E-2</v>
      </c>
      <c r="X125" t="s">
        <v>189</v>
      </c>
      <c r="Y125" t="s">
        <v>190</v>
      </c>
      <c r="Z125" t="s">
        <v>191</v>
      </c>
      <c r="AA125" t="s">
        <v>289</v>
      </c>
      <c r="AB125" t="s">
        <v>92</v>
      </c>
    </row>
    <row r="126" spans="1:28">
      <c r="A126" t="s">
        <v>181</v>
      </c>
      <c r="B126" t="s">
        <v>291</v>
      </c>
      <c r="C126" t="s">
        <v>183</v>
      </c>
      <c r="D126" t="s">
        <v>195</v>
      </c>
      <c r="E126" t="s">
        <v>96</v>
      </c>
      <c r="F126">
        <v>30</v>
      </c>
      <c r="G126" t="s">
        <v>185</v>
      </c>
      <c r="H126" t="s">
        <v>84</v>
      </c>
      <c r="I126" t="s">
        <v>186</v>
      </c>
      <c r="J126" t="s">
        <v>187</v>
      </c>
      <c r="K126" t="s">
        <v>29</v>
      </c>
      <c r="L126" t="s">
        <v>42</v>
      </c>
      <c r="M126" t="s">
        <v>188</v>
      </c>
      <c r="N126" s="7">
        <v>12.962016525842424</v>
      </c>
      <c r="O126" s="7">
        <v>0.86206668817680976</v>
      </c>
      <c r="P126" s="7">
        <v>4</v>
      </c>
      <c r="Q126" s="7">
        <v>15.017979037689811</v>
      </c>
      <c r="R126" s="7">
        <v>0.62771847083022791</v>
      </c>
      <c r="S126" s="7">
        <v>4</v>
      </c>
      <c r="T126" s="7">
        <f t="shared" si="10"/>
        <v>1.7241333763536195</v>
      </c>
      <c r="U126" s="7">
        <f t="shared" si="11"/>
        <v>1.2554369416604558</v>
      </c>
      <c r="V126" s="7">
        <f t="shared" si="8"/>
        <v>0.14722481091422393</v>
      </c>
      <c r="W126" s="7">
        <f t="shared" si="9"/>
        <v>6.1702560959629848E-3</v>
      </c>
      <c r="X126" t="s">
        <v>189</v>
      </c>
      <c r="Y126" t="s">
        <v>190</v>
      </c>
      <c r="Z126" t="s">
        <v>191</v>
      </c>
      <c r="AA126" t="s">
        <v>292</v>
      </c>
      <c r="AB126" t="s">
        <v>92</v>
      </c>
    </row>
    <row r="127" spans="1:28">
      <c r="A127" t="s">
        <v>181</v>
      </c>
      <c r="B127" t="s">
        <v>293</v>
      </c>
      <c r="C127" t="s">
        <v>183</v>
      </c>
      <c r="D127" t="s">
        <v>195</v>
      </c>
      <c r="E127" t="s">
        <v>96</v>
      </c>
      <c r="F127">
        <v>60</v>
      </c>
      <c r="G127" t="s">
        <v>185</v>
      </c>
      <c r="H127" t="s">
        <v>84</v>
      </c>
      <c r="I127" t="s">
        <v>186</v>
      </c>
      <c r="J127" t="s">
        <v>187</v>
      </c>
      <c r="K127" t="s">
        <v>29</v>
      </c>
      <c r="L127" t="s">
        <v>42</v>
      </c>
      <c r="M127" t="s">
        <v>188</v>
      </c>
      <c r="N127" s="7">
        <v>12.962016525842424</v>
      </c>
      <c r="O127" s="7">
        <v>0.86206668817680976</v>
      </c>
      <c r="P127" s="7">
        <v>4</v>
      </c>
      <c r="Q127" s="7">
        <v>14.21646862207343</v>
      </c>
      <c r="R127" s="7">
        <v>1.0210885982778439</v>
      </c>
      <c r="S127" s="7">
        <v>4</v>
      </c>
      <c r="T127" s="7">
        <f t="shared" si="10"/>
        <v>1.7241333763536195</v>
      </c>
      <c r="U127" s="7">
        <f t="shared" si="11"/>
        <v>2.0421771965556879</v>
      </c>
      <c r="V127" s="7">
        <f t="shared" si="8"/>
        <v>9.2377779770380891E-2</v>
      </c>
      <c r="W127" s="7">
        <f t="shared" si="9"/>
        <v>9.5819371385401121E-3</v>
      </c>
      <c r="X127" t="s">
        <v>189</v>
      </c>
      <c r="Y127" t="s">
        <v>190</v>
      </c>
      <c r="Z127" t="s">
        <v>191</v>
      </c>
      <c r="AA127" t="s">
        <v>292</v>
      </c>
      <c r="AB127" t="s">
        <v>92</v>
      </c>
    </row>
    <row r="128" spans="1:28">
      <c r="A128" t="s">
        <v>181</v>
      </c>
      <c r="B128" t="s">
        <v>294</v>
      </c>
      <c r="C128" t="s">
        <v>183</v>
      </c>
      <c r="D128" t="s">
        <v>184</v>
      </c>
      <c r="E128" t="s">
        <v>96</v>
      </c>
      <c r="F128">
        <v>30</v>
      </c>
      <c r="G128" t="s">
        <v>185</v>
      </c>
      <c r="H128" t="s">
        <v>84</v>
      </c>
      <c r="I128" t="s">
        <v>186</v>
      </c>
      <c r="J128" t="s">
        <v>187</v>
      </c>
      <c r="K128" t="s">
        <v>29</v>
      </c>
      <c r="L128" t="s">
        <v>42</v>
      </c>
      <c r="M128" t="s">
        <v>188</v>
      </c>
      <c r="N128" s="7">
        <v>11.540172719756397</v>
      </c>
      <c r="O128" s="7">
        <v>1.1042921565266526</v>
      </c>
      <c r="P128" s="7">
        <v>4</v>
      </c>
      <c r="Q128" s="7">
        <v>14.85255676662163</v>
      </c>
      <c r="R128" s="7">
        <v>1.2628217699489772</v>
      </c>
      <c r="S128" s="7">
        <v>4</v>
      </c>
      <c r="T128" s="7">
        <f t="shared" si="10"/>
        <v>2.2085843130533052</v>
      </c>
      <c r="U128" s="7">
        <f t="shared" si="11"/>
        <v>2.5256435398979544</v>
      </c>
      <c r="V128" s="7">
        <f t="shared" si="8"/>
        <v>0.25233779524724415</v>
      </c>
      <c r="W128" s="7">
        <f t="shared" si="9"/>
        <v>1.6385849659344771E-2</v>
      </c>
      <c r="X128" t="s">
        <v>189</v>
      </c>
      <c r="Y128" t="s">
        <v>190</v>
      </c>
      <c r="Z128" t="s">
        <v>191</v>
      </c>
      <c r="AA128" t="s">
        <v>295</v>
      </c>
      <c r="AB128" t="s">
        <v>92</v>
      </c>
    </row>
    <row r="129" spans="1:28">
      <c r="A129" t="s">
        <v>181</v>
      </c>
      <c r="B129" t="s">
        <v>296</v>
      </c>
      <c r="C129" t="s">
        <v>183</v>
      </c>
      <c r="D129" t="s">
        <v>184</v>
      </c>
      <c r="E129" t="s">
        <v>96</v>
      </c>
      <c r="F129">
        <v>60</v>
      </c>
      <c r="G129" t="s">
        <v>185</v>
      </c>
      <c r="H129" t="s">
        <v>84</v>
      </c>
      <c r="I129" t="s">
        <v>186</v>
      </c>
      <c r="J129" t="s">
        <v>187</v>
      </c>
      <c r="K129" t="s">
        <v>29</v>
      </c>
      <c r="L129" t="s">
        <v>42</v>
      </c>
      <c r="M129" t="s">
        <v>188</v>
      </c>
      <c r="N129" s="7">
        <v>11.540172719756397</v>
      </c>
      <c r="O129" s="7">
        <v>1.1042921565266526</v>
      </c>
      <c r="P129" s="7">
        <v>4</v>
      </c>
      <c r="Q129" s="7">
        <v>13.279075752687074</v>
      </c>
      <c r="R129" s="7">
        <v>0.94527012038960256</v>
      </c>
      <c r="S129" s="7">
        <v>4</v>
      </c>
      <c r="T129" s="7">
        <f t="shared" si="10"/>
        <v>2.2085843130533052</v>
      </c>
      <c r="U129" s="7">
        <f t="shared" si="11"/>
        <v>1.8905402407792051</v>
      </c>
      <c r="V129" s="7">
        <f t="shared" si="8"/>
        <v>0.14035531667219839</v>
      </c>
      <c r="W129" s="7">
        <f t="shared" si="9"/>
        <v>1.4224086885694332E-2</v>
      </c>
      <c r="X129" t="s">
        <v>189</v>
      </c>
      <c r="Y129" t="s">
        <v>190</v>
      </c>
      <c r="Z129" t="s">
        <v>191</v>
      </c>
      <c r="AA129" t="s">
        <v>295</v>
      </c>
      <c r="AB129" t="s">
        <v>92</v>
      </c>
    </row>
    <row r="130" spans="1:28">
      <c r="A130" t="s">
        <v>181</v>
      </c>
      <c r="B130" t="s">
        <v>297</v>
      </c>
      <c r="C130" t="s">
        <v>183</v>
      </c>
      <c r="D130" t="s">
        <v>195</v>
      </c>
      <c r="E130" t="s">
        <v>96</v>
      </c>
      <c r="F130">
        <v>30</v>
      </c>
      <c r="G130" t="s">
        <v>185</v>
      </c>
      <c r="H130" t="s">
        <v>84</v>
      </c>
      <c r="I130" t="s">
        <v>186</v>
      </c>
      <c r="J130" t="s">
        <v>187</v>
      </c>
      <c r="K130" t="s">
        <v>29</v>
      </c>
      <c r="L130" t="s">
        <v>42</v>
      </c>
      <c r="M130" t="s">
        <v>188</v>
      </c>
      <c r="N130" s="7">
        <v>11.857231946601047</v>
      </c>
      <c r="O130" s="7">
        <v>1.1870032920607356</v>
      </c>
      <c r="P130" s="7">
        <v>4</v>
      </c>
      <c r="Q130" s="7">
        <v>14.065816259654351</v>
      </c>
      <c r="R130" s="7">
        <v>1.1874955887394383</v>
      </c>
      <c r="S130" s="7">
        <v>4</v>
      </c>
      <c r="T130" s="7">
        <f t="shared" ref="T130:T161" si="12">O130*SQRT(P130)</f>
        <v>2.3740065841214713</v>
      </c>
      <c r="U130" s="7">
        <f t="shared" ref="U130:U161" si="13">R130*SQRT(S130)</f>
        <v>2.3749911774788766</v>
      </c>
      <c r="V130" s="7">
        <f t="shared" ref="V130:V193" si="14">LN(Q130/N130)</f>
        <v>0.17080950278972054</v>
      </c>
      <c r="W130" s="7">
        <f t="shared" ref="W130:W193" si="15">(U130^2/(S130*Q130^2))+(T130^2/(P130*N130^2))</f>
        <v>1.7149052688266584E-2</v>
      </c>
      <c r="X130" t="s">
        <v>189</v>
      </c>
      <c r="Y130" t="s">
        <v>190</v>
      </c>
      <c r="Z130" t="s">
        <v>191</v>
      </c>
      <c r="AA130" t="s">
        <v>298</v>
      </c>
      <c r="AB130" t="s">
        <v>92</v>
      </c>
    </row>
    <row r="131" spans="1:28">
      <c r="A131" t="s">
        <v>181</v>
      </c>
      <c r="B131" t="s">
        <v>299</v>
      </c>
      <c r="C131" t="s">
        <v>183</v>
      </c>
      <c r="D131" t="s">
        <v>195</v>
      </c>
      <c r="E131" t="s">
        <v>96</v>
      </c>
      <c r="F131">
        <v>60</v>
      </c>
      <c r="G131" t="s">
        <v>185</v>
      </c>
      <c r="H131" t="s">
        <v>84</v>
      </c>
      <c r="I131" t="s">
        <v>186</v>
      </c>
      <c r="J131" t="s">
        <v>187</v>
      </c>
      <c r="K131" t="s">
        <v>29</v>
      </c>
      <c r="L131" t="s">
        <v>42</v>
      </c>
      <c r="M131" t="s">
        <v>188</v>
      </c>
      <c r="N131" s="7">
        <v>11.857231946601047</v>
      </c>
      <c r="O131" s="7">
        <v>1.1870032920607356</v>
      </c>
      <c r="P131" s="7">
        <v>4</v>
      </c>
      <c r="Q131" s="7">
        <v>13.89940939522878</v>
      </c>
      <c r="R131" s="7">
        <v>1.1116771108511967</v>
      </c>
      <c r="S131" s="7">
        <v>4</v>
      </c>
      <c r="T131" s="7">
        <f t="shared" si="12"/>
        <v>2.3740065841214713</v>
      </c>
      <c r="U131" s="7">
        <f t="shared" si="13"/>
        <v>2.2233542217023934</v>
      </c>
      <c r="V131" s="7">
        <f t="shared" si="14"/>
        <v>0.1589083774002322</v>
      </c>
      <c r="W131" s="7">
        <f t="shared" si="15"/>
        <v>1.6418430912399629E-2</v>
      </c>
      <c r="X131" t="s">
        <v>189</v>
      </c>
      <c r="Y131" t="s">
        <v>190</v>
      </c>
      <c r="Z131" t="s">
        <v>191</v>
      </c>
      <c r="AA131" t="s">
        <v>298</v>
      </c>
      <c r="AB131" t="s">
        <v>92</v>
      </c>
    </row>
    <row r="132" spans="1:28">
      <c r="A132" t="s">
        <v>181</v>
      </c>
      <c r="B132" t="s">
        <v>300</v>
      </c>
      <c r="C132" t="s">
        <v>183</v>
      </c>
      <c r="D132" t="s">
        <v>184</v>
      </c>
      <c r="E132" t="s">
        <v>96</v>
      </c>
      <c r="F132">
        <v>30</v>
      </c>
      <c r="G132" t="s">
        <v>185</v>
      </c>
      <c r="H132" t="s">
        <v>84</v>
      </c>
      <c r="I132" t="s">
        <v>186</v>
      </c>
      <c r="J132" t="s">
        <v>187</v>
      </c>
      <c r="K132" t="s">
        <v>41</v>
      </c>
      <c r="L132" t="s">
        <v>53</v>
      </c>
      <c r="M132" t="s">
        <v>188</v>
      </c>
      <c r="N132" s="7">
        <v>3.3005836912844666</v>
      </c>
      <c r="O132" s="7">
        <v>6.44095538312318E-2</v>
      </c>
      <c r="P132" s="7">
        <v>4</v>
      </c>
      <c r="Q132" s="7">
        <v>3.953068657336841</v>
      </c>
      <c r="R132" s="7">
        <v>2.0838402383263663E-2</v>
      </c>
      <c r="S132" s="7">
        <v>4</v>
      </c>
      <c r="T132" s="7">
        <f t="shared" si="12"/>
        <v>0.1288191076624636</v>
      </c>
      <c r="U132" s="7">
        <f t="shared" si="13"/>
        <v>4.1676804766527326E-2</v>
      </c>
      <c r="V132" s="7">
        <f t="shared" si="14"/>
        <v>0.1803928235982819</v>
      </c>
      <c r="W132" s="7">
        <f t="shared" si="15"/>
        <v>4.0860759742405826E-4</v>
      </c>
      <c r="X132" t="s">
        <v>189</v>
      </c>
      <c r="Y132" t="s">
        <v>190</v>
      </c>
      <c r="Z132" t="s">
        <v>191</v>
      </c>
      <c r="AA132" t="s">
        <v>301</v>
      </c>
      <c r="AB132" t="s">
        <v>92</v>
      </c>
    </row>
    <row r="133" spans="1:28">
      <c r="A133" t="s">
        <v>181</v>
      </c>
      <c r="B133" t="s">
        <v>302</v>
      </c>
      <c r="C133" t="s">
        <v>183</v>
      </c>
      <c r="D133" t="s">
        <v>184</v>
      </c>
      <c r="E133" t="s">
        <v>96</v>
      </c>
      <c r="F133">
        <v>60</v>
      </c>
      <c r="G133" t="s">
        <v>185</v>
      </c>
      <c r="H133" t="s">
        <v>84</v>
      </c>
      <c r="I133" t="s">
        <v>186</v>
      </c>
      <c r="J133" t="s">
        <v>187</v>
      </c>
      <c r="K133" t="s">
        <v>41</v>
      </c>
      <c r="L133" t="s">
        <v>53</v>
      </c>
      <c r="M133" t="s">
        <v>188</v>
      </c>
      <c r="N133" s="7">
        <v>3.3005836912844666</v>
      </c>
      <c r="O133" s="7">
        <v>6.44095538312318E-2</v>
      </c>
      <c r="P133" s="7">
        <v>4</v>
      </c>
      <c r="Q133" s="7">
        <v>3.4751389774144354</v>
      </c>
      <c r="R133" s="7">
        <v>0</v>
      </c>
      <c r="S133" s="7">
        <v>4</v>
      </c>
      <c r="T133" s="7">
        <f t="shared" si="12"/>
        <v>0.1288191076624636</v>
      </c>
      <c r="U133" s="7">
        <f t="shared" si="13"/>
        <v>0</v>
      </c>
      <c r="V133" s="7">
        <f t="shared" si="14"/>
        <v>5.1535142739092349E-2</v>
      </c>
      <c r="W133" s="7">
        <f t="shared" si="15"/>
        <v>3.808194160299238E-4</v>
      </c>
      <c r="X133" t="s">
        <v>189</v>
      </c>
      <c r="Y133" t="s">
        <v>190</v>
      </c>
      <c r="Z133" t="s">
        <v>191</v>
      </c>
      <c r="AA133" t="s">
        <v>301</v>
      </c>
      <c r="AB133" t="s">
        <v>92</v>
      </c>
    </row>
    <row r="134" spans="1:28">
      <c r="A134" t="s">
        <v>181</v>
      </c>
      <c r="B134" t="s">
        <v>303</v>
      </c>
      <c r="C134" t="s">
        <v>183</v>
      </c>
      <c r="D134" t="s">
        <v>195</v>
      </c>
      <c r="E134" t="s">
        <v>96</v>
      </c>
      <c r="F134">
        <v>30</v>
      </c>
      <c r="G134" t="s">
        <v>185</v>
      </c>
      <c r="H134" t="s">
        <v>84</v>
      </c>
      <c r="I134" t="s">
        <v>186</v>
      </c>
      <c r="J134" t="s">
        <v>187</v>
      </c>
      <c r="K134" t="s">
        <v>41</v>
      </c>
      <c r="L134" t="s">
        <v>53</v>
      </c>
      <c r="M134" t="s">
        <v>188</v>
      </c>
      <c r="N134" s="7">
        <v>3.3419898157128975</v>
      </c>
      <c r="O134" s="7">
        <v>0.1101457669391733</v>
      </c>
      <c r="P134" s="7">
        <v>4</v>
      </c>
      <c r="Q134" s="7">
        <v>4.0821584453373969</v>
      </c>
      <c r="R134" s="7">
        <v>8.7277643064984464E-2</v>
      </c>
      <c r="S134" s="7">
        <v>4</v>
      </c>
      <c r="T134" s="7">
        <f t="shared" si="12"/>
        <v>0.2202915338783466</v>
      </c>
      <c r="U134" s="7">
        <f t="shared" si="13"/>
        <v>0.17455528612996893</v>
      </c>
      <c r="V134" s="7">
        <f t="shared" si="14"/>
        <v>0.20005949644303175</v>
      </c>
      <c r="W134" s="7">
        <f t="shared" si="15"/>
        <v>1.5433548422108929E-3</v>
      </c>
      <c r="X134" t="s">
        <v>189</v>
      </c>
      <c r="Y134" t="s">
        <v>190</v>
      </c>
      <c r="Z134" t="s">
        <v>191</v>
      </c>
      <c r="AA134" t="s">
        <v>304</v>
      </c>
      <c r="AB134" t="s">
        <v>92</v>
      </c>
    </row>
    <row r="135" spans="1:28">
      <c r="A135" t="s">
        <v>181</v>
      </c>
      <c r="B135" t="s">
        <v>305</v>
      </c>
      <c r="C135" t="s">
        <v>183</v>
      </c>
      <c r="D135" t="s">
        <v>195</v>
      </c>
      <c r="E135" t="s">
        <v>96</v>
      </c>
      <c r="F135">
        <v>60</v>
      </c>
      <c r="G135" t="s">
        <v>185</v>
      </c>
      <c r="H135" t="s">
        <v>84</v>
      </c>
      <c r="I135" t="s">
        <v>186</v>
      </c>
      <c r="J135" t="s">
        <v>187</v>
      </c>
      <c r="K135" t="s">
        <v>41</v>
      </c>
      <c r="L135" t="s">
        <v>53</v>
      </c>
      <c r="M135" t="s">
        <v>188</v>
      </c>
      <c r="N135" s="7">
        <v>3.3419898157128975</v>
      </c>
      <c r="O135" s="7">
        <v>0.1101457669391733</v>
      </c>
      <c r="P135" s="7">
        <v>4</v>
      </c>
      <c r="Q135" s="7">
        <v>3.8659263544409006</v>
      </c>
      <c r="R135" s="7">
        <v>0.13098413468200079</v>
      </c>
      <c r="S135" s="7">
        <v>4</v>
      </c>
      <c r="T135" s="7">
        <f t="shared" si="12"/>
        <v>0.2202915338783466</v>
      </c>
      <c r="U135" s="7">
        <f t="shared" si="13"/>
        <v>0.26196826936400158</v>
      </c>
      <c r="V135" s="7">
        <f t="shared" si="14"/>
        <v>0.14563494824943296</v>
      </c>
      <c r="W135" s="7">
        <f t="shared" si="15"/>
        <v>2.2342081712373478E-3</v>
      </c>
      <c r="X135" t="s">
        <v>189</v>
      </c>
      <c r="Y135" t="s">
        <v>190</v>
      </c>
      <c r="Z135" t="s">
        <v>191</v>
      </c>
      <c r="AA135" t="s">
        <v>304</v>
      </c>
      <c r="AB135" t="s">
        <v>92</v>
      </c>
    </row>
    <row r="136" spans="1:28">
      <c r="A136" t="s">
        <v>181</v>
      </c>
      <c r="B136" t="s">
        <v>306</v>
      </c>
      <c r="C136" t="s">
        <v>183</v>
      </c>
      <c r="D136" t="s">
        <v>184</v>
      </c>
      <c r="E136" t="s">
        <v>96</v>
      </c>
      <c r="F136">
        <v>30</v>
      </c>
      <c r="G136" t="s">
        <v>185</v>
      </c>
      <c r="H136" t="s">
        <v>84</v>
      </c>
      <c r="I136" t="s">
        <v>186</v>
      </c>
      <c r="J136" t="s">
        <v>187</v>
      </c>
      <c r="K136" t="s">
        <v>41</v>
      </c>
      <c r="L136" t="s">
        <v>53</v>
      </c>
      <c r="M136" t="s">
        <v>188</v>
      </c>
      <c r="N136" s="7">
        <v>3.2131707080504337</v>
      </c>
      <c r="O136" s="7">
        <v>0.1079807399196361</v>
      </c>
      <c r="P136" s="7">
        <v>4</v>
      </c>
      <c r="Q136" s="7">
        <v>3.8201901759733952</v>
      </c>
      <c r="R136" s="7">
        <v>6.6574580850769005E-2</v>
      </c>
      <c r="S136" s="7">
        <v>4</v>
      </c>
      <c r="T136" s="7">
        <f t="shared" si="12"/>
        <v>0.21596147983927219</v>
      </c>
      <c r="U136" s="7">
        <f t="shared" si="13"/>
        <v>0.13314916170153801</v>
      </c>
      <c r="V136" s="7">
        <f t="shared" si="14"/>
        <v>0.17304199651975069</v>
      </c>
      <c r="W136" s="7">
        <f t="shared" si="15"/>
        <v>1.4330422363716881E-3</v>
      </c>
      <c r="X136" t="s">
        <v>189</v>
      </c>
      <c r="Y136" t="s">
        <v>190</v>
      </c>
      <c r="Z136" t="s">
        <v>191</v>
      </c>
      <c r="AA136" t="s">
        <v>307</v>
      </c>
      <c r="AB136" t="s">
        <v>92</v>
      </c>
    </row>
    <row r="137" spans="1:28">
      <c r="A137" t="s">
        <v>181</v>
      </c>
      <c r="B137" t="s">
        <v>308</v>
      </c>
      <c r="C137" t="s">
        <v>183</v>
      </c>
      <c r="D137" t="s">
        <v>184</v>
      </c>
      <c r="E137" t="s">
        <v>96</v>
      </c>
      <c r="F137">
        <v>60</v>
      </c>
      <c r="G137" t="s">
        <v>185</v>
      </c>
      <c r="H137" t="s">
        <v>84</v>
      </c>
      <c r="I137" t="s">
        <v>186</v>
      </c>
      <c r="J137" t="s">
        <v>187</v>
      </c>
      <c r="K137" t="s">
        <v>41</v>
      </c>
      <c r="L137" t="s">
        <v>53</v>
      </c>
      <c r="M137" t="s">
        <v>188</v>
      </c>
      <c r="N137" s="7">
        <v>3.2131707080504337</v>
      </c>
      <c r="O137" s="7">
        <v>0.1079807399196361</v>
      </c>
      <c r="P137" s="7">
        <v>4</v>
      </c>
      <c r="Q137" s="7">
        <v>3.3419898157128975</v>
      </c>
      <c r="R137" s="7">
        <v>0.10811601080781394</v>
      </c>
      <c r="S137" s="7">
        <v>4</v>
      </c>
      <c r="T137" s="7">
        <f t="shared" si="12"/>
        <v>0.21596147983927219</v>
      </c>
      <c r="U137" s="7">
        <f t="shared" si="13"/>
        <v>0.21623202161562788</v>
      </c>
      <c r="V137" s="7">
        <f t="shared" si="14"/>
        <v>3.9308173659805934E-2</v>
      </c>
      <c r="W137" s="7">
        <f t="shared" si="15"/>
        <v>2.1759143673383101E-3</v>
      </c>
      <c r="X137" t="s">
        <v>189</v>
      </c>
      <c r="Y137" t="s">
        <v>190</v>
      </c>
      <c r="Z137" t="s">
        <v>191</v>
      </c>
      <c r="AA137" t="s">
        <v>307</v>
      </c>
      <c r="AB137" t="s">
        <v>92</v>
      </c>
    </row>
    <row r="138" spans="1:28">
      <c r="A138" t="s">
        <v>181</v>
      </c>
      <c r="B138" t="s">
        <v>309</v>
      </c>
      <c r="C138" t="s">
        <v>183</v>
      </c>
      <c r="D138" t="s">
        <v>195</v>
      </c>
      <c r="E138" t="s">
        <v>96</v>
      </c>
      <c r="F138">
        <v>30</v>
      </c>
      <c r="G138" t="s">
        <v>185</v>
      </c>
      <c r="H138" t="s">
        <v>84</v>
      </c>
      <c r="I138" t="s">
        <v>186</v>
      </c>
      <c r="J138" t="s">
        <v>187</v>
      </c>
      <c r="K138" t="s">
        <v>41</v>
      </c>
      <c r="L138" t="s">
        <v>53</v>
      </c>
      <c r="M138" t="s">
        <v>188</v>
      </c>
      <c r="N138" s="7">
        <v>3.2131707080504337</v>
      </c>
      <c r="O138" s="7">
        <v>0.23896483996120271</v>
      </c>
      <c r="P138" s="7">
        <v>4</v>
      </c>
      <c r="Q138" s="7">
        <v>3.9073324788693315</v>
      </c>
      <c r="R138" s="7">
        <v>0.10798070527920191</v>
      </c>
      <c r="S138" s="7">
        <v>4</v>
      </c>
      <c r="T138" s="7">
        <f t="shared" si="12"/>
        <v>0.47792967992240543</v>
      </c>
      <c r="U138" s="7">
        <f t="shared" si="13"/>
        <v>0.21596141055840382</v>
      </c>
      <c r="V138" s="7">
        <f t="shared" si="14"/>
        <v>0.19559670155820136</v>
      </c>
      <c r="W138" s="7">
        <f t="shared" si="15"/>
        <v>6.2946741352852701E-3</v>
      </c>
      <c r="X138" t="s">
        <v>189</v>
      </c>
      <c r="Y138" t="s">
        <v>190</v>
      </c>
      <c r="Z138" t="s">
        <v>191</v>
      </c>
      <c r="AA138" t="s">
        <v>310</v>
      </c>
      <c r="AB138" t="s">
        <v>92</v>
      </c>
    </row>
    <row r="139" spans="1:28">
      <c r="A139" t="s">
        <v>181</v>
      </c>
      <c r="B139" t="s">
        <v>311</v>
      </c>
      <c r="C139" t="s">
        <v>183</v>
      </c>
      <c r="D139" t="s">
        <v>195</v>
      </c>
      <c r="E139" t="s">
        <v>96</v>
      </c>
      <c r="F139">
        <v>60</v>
      </c>
      <c r="G139" t="s">
        <v>185</v>
      </c>
      <c r="H139" t="s">
        <v>84</v>
      </c>
      <c r="I139" t="s">
        <v>186</v>
      </c>
      <c r="J139" t="s">
        <v>187</v>
      </c>
      <c r="K139" t="s">
        <v>41</v>
      </c>
      <c r="L139" t="s">
        <v>53</v>
      </c>
      <c r="M139" t="s">
        <v>188</v>
      </c>
      <c r="N139" s="7">
        <v>3.2131707080504337</v>
      </c>
      <c r="O139" s="7">
        <v>0.23896483996120271</v>
      </c>
      <c r="P139" s="7">
        <v>4</v>
      </c>
      <c r="Q139" s="7">
        <v>3.6913710683109318</v>
      </c>
      <c r="R139" s="7">
        <v>8.7277643064984464E-2</v>
      </c>
      <c r="S139" s="7">
        <v>4</v>
      </c>
      <c r="T139" s="7">
        <f t="shared" si="12"/>
        <v>0.47792967992240543</v>
      </c>
      <c r="U139" s="7">
        <f t="shared" si="13"/>
        <v>0.17455528612996893</v>
      </c>
      <c r="V139" s="7">
        <f t="shared" si="14"/>
        <v>0.13873974312204304</v>
      </c>
      <c r="W139" s="7">
        <f t="shared" si="15"/>
        <v>6.0899828736851007E-3</v>
      </c>
      <c r="X139" t="s">
        <v>189</v>
      </c>
      <c r="Y139" t="s">
        <v>190</v>
      </c>
      <c r="Z139" t="s">
        <v>191</v>
      </c>
      <c r="AA139" t="s">
        <v>310</v>
      </c>
      <c r="AB139" t="s">
        <v>92</v>
      </c>
    </row>
    <row r="140" spans="1:28">
      <c r="A140" t="s">
        <v>181</v>
      </c>
      <c r="B140" t="s">
        <v>312</v>
      </c>
      <c r="C140" t="s">
        <v>183</v>
      </c>
      <c r="D140" t="s">
        <v>184</v>
      </c>
      <c r="E140" t="s">
        <v>96</v>
      </c>
      <c r="F140">
        <v>30</v>
      </c>
      <c r="G140" t="s">
        <v>185</v>
      </c>
      <c r="H140" t="s">
        <v>84</v>
      </c>
      <c r="I140" t="s">
        <v>186</v>
      </c>
      <c r="J140" t="s">
        <v>187</v>
      </c>
      <c r="K140" t="s">
        <v>41</v>
      </c>
      <c r="L140" t="s">
        <v>53</v>
      </c>
      <c r="M140" t="s">
        <v>188</v>
      </c>
      <c r="N140" s="7">
        <v>3.3005836912844666</v>
      </c>
      <c r="O140" s="7">
        <v>0.19525838298462056</v>
      </c>
      <c r="P140" s="7">
        <v>4</v>
      </c>
      <c r="Q140" s="7">
        <v>3.5168157821809589</v>
      </c>
      <c r="R140" s="7">
        <v>0.12895441319107565</v>
      </c>
      <c r="S140" s="7">
        <v>4</v>
      </c>
      <c r="T140" s="7">
        <f t="shared" si="12"/>
        <v>0.39051676596924112</v>
      </c>
      <c r="U140" s="7">
        <f t="shared" si="13"/>
        <v>0.25790882638215129</v>
      </c>
      <c r="V140" s="7">
        <f t="shared" si="14"/>
        <v>6.3456643892415746E-2</v>
      </c>
      <c r="W140" s="7">
        <f t="shared" si="15"/>
        <v>4.8442952018771376E-3</v>
      </c>
      <c r="X140" t="s">
        <v>189</v>
      </c>
      <c r="Y140" t="s">
        <v>190</v>
      </c>
      <c r="Z140" t="s">
        <v>191</v>
      </c>
      <c r="AA140" t="s">
        <v>313</v>
      </c>
      <c r="AB140" t="s">
        <v>92</v>
      </c>
    </row>
    <row r="141" spans="1:28">
      <c r="A141" t="s">
        <v>181</v>
      </c>
      <c r="B141" t="s">
        <v>314</v>
      </c>
      <c r="C141" t="s">
        <v>183</v>
      </c>
      <c r="D141" t="s">
        <v>184</v>
      </c>
      <c r="E141" t="s">
        <v>96</v>
      </c>
      <c r="F141">
        <v>60</v>
      </c>
      <c r="G141" t="s">
        <v>185</v>
      </c>
      <c r="H141" t="s">
        <v>84</v>
      </c>
      <c r="I141" t="s">
        <v>186</v>
      </c>
      <c r="J141" t="s">
        <v>187</v>
      </c>
      <c r="K141" t="s">
        <v>41</v>
      </c>
      <c r="L141" t="s">
        <v>53</v>
      </c>
      <c r="M141" t="s">
        <v>188</v>
      </c>
      <c r="N141" s="7">
        <v>3.3005836912844666</v>
      </c>
      <c r="O141" s="7">
        <v>0.19525838298462056</v>
      </c>
      <c r="P141" s="7">
        <v>4</v>
      </c>
      <c r="Q141" s="7">
        <v>3.4751389774144354</v>
      </c>
      <c r="R141" s="7">
        <v>8.7277643064984464E-2</v>
      </c>
      <c r="S141" s="7">
        <v>4</v>
      </c>
      <c r="T141" s="7">
        <f t="shared" si="12"/>
        <v>0.39051676596924112</v>
      </c>
      <c r="U141" s="7">
        <f t="shared" si="13"/>
        <v>0.17455528612996893</v>
      </c>
      <c r="V141" s="7">
        <f t="shared" si="14"/>
        <v>5.1535142739092349E-2</v>
      </c>
      <c r="W141" s="7">
        <f t="shared" si="15"/>
        <v>4.1305132939366768E-3</v>
      </c>
      <c r="X141" t="s">
        <v>189</v>
      </c>
      <c r="Y141" t="s">
        <v>190</v>
      </c>
      <c r="Z141" t="s">
        <v>191</v>
      </c>
      <c r="AA141" t="s">
        <v>313</v>
      </c>
      <c r="AB141" t="s">
        <v>92</v>
      </c>
    </row>
    <row r="142" spans="1:28">
      <c r="A142" t="s">
        <v>181</v>
      </c>
      <c r="B142" t="s">
        <v>315</v>
      </c>
      <c r="C142" t="s">
        <v>183</v>
      </c>
      <c r="D142" t="s">
        <v>195</v>
      </c>
      <c r="E142" t="s">
        <v>96</v>
      </c>
      <c r="F142">
        <v>30</v>
      </c>
      <c r="G142" t="s">
        <v>185</v>
      </c>
      <c r="H142" t="s">
        <v>84</v>
      </c>
      <c r="I142" t="s">
        <v>186</v>
      </c>
      <c r="J142" t="s">
        <v>187</v>
      </c>
      <c r="K142" t="s">
        <v>41</v>
      </c>
      <c r="L142" t="s">
        <v>53</v>
      </c>
      <c r="M142" t="s">
        <v>188</v>
      </c>
      <c r="N142" s="7">
        <v>3.4751389774144354</v>
      </c>
      <c r="O142" s="7">
        <v>8.7277643064984464E-2</v>
      </c>
      <c r="P142" s="7">
        <v>4</v>
      </c>
      <c r="Q142" s="7">
        <v>3.9947454621033645</v>
      </c>
      <c r="R142" s="7">
        <v>6.44095538312318E-2</v>
      </c>
      <c r="S142" s="7">
        <v>4</v>
      </c>
      <c r="T142" s="7">
        <f t="shared" si="12"/>
        <v>0.17455528612996893</v>
      </c>
      <c r="U142" s="7">
        <f t="shared" si="13"/>
        <v>0.1288191076624636</v>
      </c>
      <c r="V142" s="7">
        <f t="shared" si="14"/>
        <v>0.13934539135400889</v>
      </c>
      <c r="W142" s="7">
        <f t="shared" si="15"/>
        <v>8.9072587274821634E-4</v>
      </c>
      <c r="X142" t="s">
        <v>189</v>
      </c>
      <c r="Y142" t="s">
        <v>190</v>
      </c>
      <c r="Z142" t="s">
        <v>191</v>
      </c>
      <c r="AA142" t="s">
        <v>316</v>
      </c>
      <c r="AB142" t="s">
        <v>92</v>
      </c>
    </row>
    <row r="143" spans="1:28">
      <c r="A143" t="s">
        <v>181</v>
      </c>
      <c r="B143" t="s">
        <v>317</v>
      </c>
      <c r="C143" t="s">
        <v>183</v>
      </c>
      <c r="D143" t="s">
        <v>195</v>
      </c>
      <c r="E143" t="s">
        <v>96</v>
      </c>
      <c r="F143">
        <v>60</v>
      </c>
      <c r="G143" t="s">
        <v>185</v>
      </c>
      <c r="H143" t="s">
        <v>84</v>
      </c>
      <c r="I143" t="s">
        <v>186</v>
      </c>
      <c r="J143" t="s">
        <v>187</v>
      </c>
      <c r="K143" t="s">
        <v>41</v>
      </c>
      <c r="L143" t="s">
        <v>53</v>
      </c>
      <c r="M143" t="s">
        <v>188</v>
      </c>
      <c r="N143" s="7">
        <v>3.4751389774144354</v>
      </c>
      <c r="O143" s="7">
        <v>8.7277643064984464E-2</v>
      </c>
      <c r="P143" s="7">
        <v>4</v>
      </c>
      <c r="Q143" s="7">
        <v>3.6913710683109318</v>
      </c>
      <c r="R143" s="7">
        <v>2.2868089233754638E-2</v>
      </c>
      <c r="S143" s="7">
        <v>4</v>
      </c>
      <c r="T143" s="7">
        <f t="shared" si="12"/>
        <v>0.17455528612996893</v>
      </c>
      <c r="U143" s="7">
        <f t="shared" si="13"/>
        <v>4.5736178467509277E-2</v>
      </c>
      <c r="V143" s="7">
        <f t="shared" si="14"/>
        <v>6.0363480550215294E-2</v>
      </c>
      <c r="W143" s="7">
        <f t="shared" si="15"/>
        <v>6.6913457518928709E-4</v>
      </c>
      <c r="X143" t="s">
        <v>189</v>
      </c>
      <c r="Y143" t="s">
        <v>190</v>
      </c>
      <c r="Z143" t="s">
        <v>191</v>
      </c>
      <c r="AA143" t="s">
        <v>316</v>
      </c>
      <c r="AB143" t="s">
        <v>92</v>
      </c>
    </row>
    <row r="144" spans="1:28">
      <c r="A144" t="s">
        <v>181</v>
      </c>
      <c r="B144" t="s">
        <v>318</v>
      </c>
      <c r="C144" t="s">
        <v>183</v>
      </c>
      <c r="D144" t="s">
        <v>184</v>
      </c>
      <c r="E144" t="s">
        <v>96</v>
      </c>
      <c r="F144">
        <v>30</v>
      </c>
      <c r="G144" t="s">
        <v>185</v>
      </c>
      <c r="H144" t="s">
        <v>84</v>
      </c>
      <c r="I144" t="s">
        <v>186</v>
      </c>
      <c r="J144" t="s">
        <v>187</v>
      </c>
      <c r="K144" t="s">
        <v>29</v>
      </c>
      <c r="L144" t="s">
        <v>53</v>
      </c>
      <c r="M144" t="s">
        <v>188</v>
      </c>
      <c r="N144" s="7">
        <v>2.2878798850714683</v>
      </c>
      <c r="O144" s="7">
        <v>0.11399452141517927</v>
      </c>
      <c r="P144" s="7">
        <v>4</v>
      </c>
      <c r="Q144" s="7">
        <v>2.8839613090165384</v>
      </c>
      <c r="R144" s="7">
        <v>4.594019820302421E-2</v>
      </c>
      <c r="S144" s="7">
        <v>4</v>
      </c>
      <c r="T144" s="7">
        <f t="shared" si="12"/>
        <v>0.22798904283035853</v>
      </c>
      <c r="U144" s="7">
        <f t="shared" si="13"/>
        <v>9.188039640604842E-2</v>
      </c>
      <c r="V144" s="7">
        <f t="shared" si="14"/>
        <v>0.23153922924037496</v>
      </c>
      <c r="W144" s="7">
        <f t="shared" si="15"/>
        <v>2.7363205712057593E-3</v>
      </c>
      <c r="X144" t="s">
        <v>189</v>
      </c>
      <c r="Y144" t="s">
        <v>190</v>
      </c>
      <c r="Z144" t="s">
        <v>191</v>
      </c>
      <c r="AA144" t="s">
        <v>319</v>
      </c>
      <c r="AB144" t="s">
        <v>92</v>
      </c>
    </row>
    <row r="145" spans="1:28">
      <c r="A145" t="s">
        <v>181</v>
      </c>
      <c r="B145" t="s">
        <v>320</v>
      </c>
      <c r="C145" t="s">
        <v>183</v>
      </c>
      <c r="D145" t="s">
        <v>184</v>
      </c>
      <c r="E145" t="s">
        <v>96</v>
      </c>
      <c r="F145">
        <v>60</v>
      </c>
      <c r="G145" t="s">
        <v>185</v>
      </c>
      <c r="H145" t="s">
        <v>84</v>
      </c>
      <c r="I145" t="s">
        <v>186</v>
      </c>
      <c r="J145" t="s">
        <v>187</v>
      </c>
      <c r="K145" t="s">
        <v>29</v>
      </c>
      <c r="L145" t="s">
        <v>53</v>
      </c>
      <c r="M145" t="s">
        <v>188</v>
      </c>
      <c r="N145" s="7">
        <v>2.2878798850714683</v>
      </c>
      <c r="O145" s="7">
        <v>0.11399452141517927</v>
      </c>
      <c r="P145" s="7">
        <v>4</v>
      </c>
      <c r="Q145" s="7">
        <v>2.4719260756288253</v>
      </c>
      <c r="R145" s="7">
        <v>0</v>
      </c>
      <c r="S145" s="7">
        <v>4</v>
      </c>
      <c r="T145" s="7">
        <f t="shared" si="12"/>
        <v>0.22798904283035853</v>
      </c>
      <c r="U145" s="7">
        <f t="shared" si="13"/>
        <v>0</v>
      </c>
      <c r="V145" s="7">
        <f t="shared" si="14"/>
        <v>7.7372060111349145E-2</v>
      </c>
      <c r="W145" s="7">
        <f t="shared" si="15"/>
        <v>2.4825700927007697E-3</v>
      </c>
      <c r="X145" t="s">
        <v>189</v>
      </c>
      <c r="Y145" t="s">
        <v>190</v>
      </c>
      <c r="Z145" t="s">
        <v>191</v>
      </c>
      <c r="AA145" t="s">
        <v>319</v>
      </c>
      <c r="AB145" t="s">
        <v>92</v>
      </c>
    </row>
    <row r="146" spans="1:28">
      <c r="A146" t="s">
        <v>181</v>
      </c>
      <c r="B146" t="s">
        <v>321</v>
      </c>
      <c r="C146" t="s">
        <v>183</v>
      </c>
      <c r="D146" t="s">
        <v>195</v>
      </c>
      <c r="E146" t="s">
        <v>96</v>
      </c>
      <c r="F146">
        <v>30</v>
      </c>
      <c r="G146" t="s">
        <v>185</v>
      </c>
      <c r="H146" t="s">
        <v>84</v>
      </c>
      <c r="I146" t="s">
        <v>186</v>
      </c>
      <c r="J146" t="s">
        <v>187</v>
      </c>
      <c r="K146" t="s">
        <v>29</v>
      </c>
      <c r="L146" t="s">
        <v>53</v>
      </c>
      <c r="M146" t="s">
        <v>188</v>
      </c>
      <c r="N146" s="7">
        <v>2.6077493243078775</v>
      </c>
      <c r="O146" s="7">
        <v>0.11399452141517927</v>
      </c>
      <c r="P146" s="7">
        <v>4</v>
      </c>
      <c r="Q146" s="7">
        <v>2.971561615817286</v>
      </c>
      <c r="R146" s="7">
        <v>8.9883013952129359E-2</v>
      </c>
      <c r="S146" s="7">
        <v>4</v>
      </c>
      <c r="T146" s="7">
        <f t="shared" si="12"/>
        <v>0.22798904283035853</v>
      </c>
      <c r="U146" s="7">
        <f t="shared" si="13"/>
        <v>0.17976602790425872</v>
      </c>
      <c r="V146" s="7">
        <f t="shared" si="14"/>
        <v>0.13060008973883377</v>
      </c>
      <c r="W146" s="7">
        <f t="shared" si="15"/>
        <v>2.8258181769947699E-3</v>
      </c>
      <c r="X146" t="s">
        <v>189</v>
      </c>
      <c r="Y146" t="s">
        <v>190</v>
      </c>
      <c r="Z146" t="s">
        <v>191</v>
      </c>
      <c r="AA146" t="s">
        <v>322</v>
      </c>
      <c r="AB146" t="s">
        <v>92</v>
      </c>
    </row>
    <row r="147" spans="1:28">
      <c r="A147" t="s">
        <v>181</v>
      </c>
      <c r="B147" t="s">
        <v>323</v>
      </c>
      <c r="C147" t="s">
        <v>183</v>
      </c>
      <c r="D147" t="s">
        <v>195</v>
      </c>
      <c r="E147" t="s">
        <v>96</v>
      </c>
      <c r="F147">
        <v>60</v>
      </c>
      <c r="G147" t="s">
        <v>185</v>
      </c>
      <c r="H147" t="s">
        <v>84</v>
      </c>
      <c r="I147" t="s">
        <v>186</v>
      </c>
      <c r="J147" t="s">
        <v>187</v>
      </c>
      <c r="K147" t="s">
        <v>29</v>
      </c>
      <c r="L147" t="s">
        <v>53</v>
      </c>
      <c r="M147" t="s">
        <v>188</v>
      </c>
      <c r="N147" s="7">
        <v>2.6077493243078775</v>
      </c>
      <c r="O147" s="7">
        <v>0.11399452141517927</v>
      </c>
      <c r="P147" s="7">
        <v>4</v>
      </c>
      <c r="Q147" s="7">
        <v>2.8839613090165384</v>
      </c>
      <c r="R147" s="7">
        <v>0.11399452141517927</v>
      </c>
      <c r="S147" s="7">
        <v>4</v>
      </c>
      <c r="T147" s="7">
        <f t="shared" si="12"/>
        <v>0.22798904283035853</v>
      </c>
      <c r="U147" s="7">
        <f t="shared" si="13"/>
        <v>0.22798904283035853</v>
      </c>
      <c r="V147" s="7">
        <f t="shared" si="14"/>
        <v>0.10067728213175127</v>
      </c>
      <c r="W147" s="7">
        <f t="shared" si="15"/>
        <v>3.4732813276981338E-3</v>
      </c>
      <c r="X147" t="s">
        <v>189</v>
      </c>
      <c r="Y147" t="s">
        <v>190</v>
      </c>
      <c r="Z147" t="s">
        <v>191</v>
      </c>
      <c r="AA147" t="s">
        <v>322</v>
      </c>
      <c r="AB147" t="s">
        <v>92</v>
      </c>
    </row>
    <row r="148" spans="1:28">
      <c r="A148" t="s">
        <v>181</v>
      </c>
      <c r="B148" t="s">
        <v>324</v>
      </c>
      <c r="C148" t="s">
        <v>183</v>
      </c>
      <c r="D148" t="s">
        <v>184</v>
      </c>
      <c r="E148" t="s">
        <v>96</v>
      </c>
      <c r="F148">
        <v>30</v>
      </c>
      <c r="G148" t="s">
        <v>185</v>
      </c>
      <c r="H148" t="s">
        <v>84</v>
      </c>
      <c r="I148" t="s">
        <v>186</v>
      </c>
      <c r="J148" t="s">
        <v>187</v>
      </c>
      <c r="K148" t="s">
        <v>29</v>
      </c>
      <c r="L148" t="s">
        <v>53</v>
      </c>
      <c r="M148" t="s">
        <v>188</v>
      </c>
      <c r="N148" s="7">
        <v>2.195714090920164</v>
      </c>
      <c r="O148" s="7">
        <v>0.11385182254255034</v>
      </c>
      <c r="P148" s="7">
        <v>4</v>
      </c>
      <c r="Q148" s="7">
        <v>2.8357383671382337</v>
      </c>
      <c r="R148" s="7">
        <v>7.0194368014804331E-2</v>
      </c>
      <c r="S148" s="7">
        <v>4</v>
      </c>
      <c r="T148" s="7">
        <f t="shared" si="12"/>
        <v>0.22770364508510069</v>
      </c>
      <c r="U148" s="7">
        <f t="shared" si="13"/>
        <v>0.14038873602960866</v>
      </c>
      <c r="V148" s="7">
        <f t="shared" si="14"/>
        <v>0.25579503045205093</v>
      </c>
      <c r="W148" s="7">
        <f t="shared" si="15"/>
        <v>3.3013479699087953E-3</v>
      </c>
      <c r="X148" t="s">
        <v>189</v>
      </c>
      <c r="Y148" t="s">
        <v>190</v>
      </c>
      <c r="Z148" t="s">
        <v>191</v>
      </c>
      <c r="AA148" t="s">
        <v>325</v>
      </c>
      <c r="AB148" t="s">
        <v>92</v>
      </c>
    </row>
    <row r="149" spans="1:28">
      <c r="A149" t="s">
        <v>181</v>
      </c>
      <c r="B149" t="s">
        <v>326</v>
      </c>
      <c r="C149" t="s">
        <v>183</v>
      </c>
      <c r="D149" t="s">
        <v>184</v>
      </c>
      <c r="E149" t="s">
        <v>96</v>
      </c>
      <c r="F149">
        <v>60</v>
      </c>
      <c r="G149" t="s">
        <v>185</v>
      </c>
      <c r="H149" t="s">
        <v>84</v>
      </c>
      <c r="I149" t="s">
        <v>186</v>
      </c>
      <c r="J149" t="s">
        <v>187</v>
      </c>
      <c r="K149" t="s">
        <v>29</v>
      </c>
      <c r="L149" t="s">
        <v>53</v>
      </c>
      <c r="M149" t="s">
        <v>188</v>
      </c>
      <c r="N149" s="7">
        <v>2.195714090920164</v>
      </c>
      <c r="O149" s="7">
        <v>0.11385182254255034</v>
      </c>
      <c r="P149" s="7">
        <v>4</v>
      </c>
      <c r="Q149" s="7">
        <v>2.6516921765808772</v>
      </c>
      <c r="R149" s="7">
        <v>0.11385185906644905</v>
      </c>
      <c r="S149" s="7">
        <v>4</v>
      </c>
      <c r="T149" s="7">
        <f t="shared" si="12"/>
        <v>0.22770364508510069</v>
      </c>
      <c r="U149" s="7">
        <f t="shared" si="13"/>
        <v>0.22770371813289811</v>
      </c>
      <c r="V149" s="7">
        <f t="shared" si="14"/>
        <v>0.18869067362798095</v>
      </c>
      <c r="W149" s="7">
        <f t="shared" si="15"/>
        <v>4.5320749909918056E-3</v>
      </c>
      <c r="X149" t="s">
        <v>189</v>
      </c>
      <c r="Y149" t="s">
        <v>190</v>
      </c>
      <c r="Z149" t="s">
        <v>191</v>
      </c>
      <c r="AA149" t="s">
        <v>325</v>
      </c>
      <c r="AB149" t="s">
        <v>92</v>
      </c>
    </row>
    <row r="150" spans="1:28">
      <c r="A150" t="s">
        <v>181</v>
      </c>
      <c r="B150" t="s">
        <v>327</v>
      </c>
      <c r="C150" t="s">
        <v>183</v>
      </c>
      <c r="D150" t="s">
        <v>195</v>
      </c>
      <c r="E150" t="s">
        <v>96</v>
      </c>
      <c r="F150">
        <v>30</v>
      </c>
      <c r="G150" t="s">
        <v>185</v>
      </c>
      <c r="H150" t="s">
        <v>84</v>
      </c>
      <c r="I150" t="s">
        <v>186</v>
      </c>
      <c r="J150" t="s">
        <v>187</v>
      </c>
      <c r="K150" t="s">
        <v>29</v>
      </c>
      <c r="L150" t="s">
        <v>53</v>
      </c>
      <c r="M150" t="s">
        <v>188</v>
      </c>
      <c r="N150" s="7">
        <v>2.4237031337505206</v>
      </c>
      <c r="O150" s="7">
        <v>0.25210051376950976</v>
      </c>
      <c r="P150" s="7">
        <v>4</v>
      </c>
      <c r="Q150" s="7">
        <v>2.9276188365920839</v>
      </c>
      <c r="R150" s="7">
        <v>0.11399452141517927</v>
      </c>
      <c r="S150" s="7">
        <v>4</v>
      </c>
      <c r="T150" s="7">
        <f t="shared" si="12"/>
        <v>0.50420102753901952</v>
      </c>
      <c r="U150" s="7">
        <f t="shared" si="13"/>
        <v>0.22798904283035853</v>
      </c>
      <c r="V150" s="7">
        <f t="shared" si="14"/>
        <v>0.18889281773335131</v>
      </c>
      <c r="W150" s="7">
        <f t="shared" si="15"/>
        <v>1.2335175728301929E-2</v>
      </c>
      <c r="X150" t="s">
        <v>189</v>
      </c>
      <c r="Y150" t="s">
        <v>190</v>
      </c>
      <c r="Z150" t="s">
        <v>191</v>
      </c>
      <c r="AA150" t="s">
        <v>328</v>
      </c>
      <c r="AB150" t="s">
        <v>92</v>
      </c>
    </row>
    <row r="151" spans="1:28">
      <c r="A151" t="s">
        <v>181</v>
      </c>
      <c r="B151" t="s">
        <v>329</v>
      </c>
      <c r="C151" t="s">
        <v>183</v>
      </c>
      <c r="D151" t="s">
        <v>195</v>
      </c>
      <c r="E151" t="s">
        <v>96</v>
      </c>
      <c r="F151">
        <v>60</v>
      </c>
      <c r="G151" t="s">
        <v>185</v>
      </c>
      <c r="H151" t="s">
        <v>84</v>
      </c>
      <c r="I151" t="s">
        <v>186</v>
      </c>
      <c r="J151" t="s">
        <v>187</v>
      </c>
      <c r="K151" t="s">
        <v>29</v>
      </c>
      <c r="L151" t="s">
        <v>53</v>
      </c>
      <c r="M151" t="s">
        <v>188</v>
      </c>
      <c r="N151" s="7">
        <v>2.4237031337505206</v>
      </c>
      <c r="O151" s="7">
        <v>0.25210051376950976</v>
      </c>
      <c r="P151" s="7">
        <v>4</v>
      </c>
      <c r="Q151" s="7">
        <v>2.6999151184591814</v>
      </c>
      <c r="R151" s="7">
        <v>9.2023095278677344E-2</v>
      </c>
      <c r="S151" s="7">
        <v>4</v>
      </c>
      <c r="T151" s="7">
        <f t="shared" si="12"/>
        <v>0.50420102753901952</v>
      </c>
      <c r="U151" s="7">
        <f t="shared" si="13"/>
        <v>0.18404619055735469</v>
      </c>
      <c r="V151" s="7">
        <f t="shared" si="14"/>
        <v>0.10792374377621128</v>
      </c>
      <c r="W151" s="7">
        <f t="shared" si="15"/>
        <v>1.1980735731289051E-2</v>
      </c>
      <c r="X151" t="s">
        <v>189</v>
      </c>
      <c r="Y151" t="s">
        <v>190</v>
      </c>
      <c r="Z151" t="s">
        <v>191</v>
      </c>
      <c r="AA151" t="s">
        <v>328</v>
      </c>
      <c r="AB151" t="s">
        <v>92</v>
      </c>
    </row>
    <row r="152" spans="1:28">
      <c r="A152" t="s">
        <v>181</v>
      </c>
      <c r="B152" t="s">
        <v>330</v>
      </c>
      <c r="C152" t="s">
        <v>183</v>
      </c>
      <c r="D152" t="s">
        <v>184</v>
      </c>
      <c r="E152" t="s">
        <v>96</v>
      </c>
      <c r="F152">
        <v>30</v>
      </c>
      <c r="G152" t="s">
        <v>185</v>
      </c>
      <c r="H152" t="s">
        <v>84</v>
      </c>
      <c r="I152" t="s">
        <v>186</v>
      </c>
      <c r="J152" t="s">
        <v>187</v>
      </c>
      <c r="K152" t="s">
        <v>29</v>
      </c>
      <c r="L152" t="s">
        <v>53</v>
      </c>
      <c r="M152" t="s">
        <v>188</v>
      </c>
      <c r="N152" s="7">
        <v>2.3318227373444764</v>
      </c>
      <c r="O152" s="7">
        <v>0.18418885290608489</v>
      </c>
      <c r="P152" s="7">
        <v>4</v>
      </c>
      <c r="Q152" s="7">
        <v>2.9276188365920839</v>
      </c>
      <c r="R152" s="7">
        <v>0.11399452141517927</v>
      </c>
      <c r="S152" s="7">
        <v>4</v>
      </c>
      <c r="T152" s="7">
        <f t="shared" si="12"/>
        <v>0.36837770581216978</v>
      </c>
      <c r="U152" s="7">
        <f t="shared" si="13"/>
        <v>0.22798904283035853</v>
      </c>
      <c r="V152" s="7">
        <f t="shared" si="14"/>
        <v>0.22753915641203376</v>
      </c>
      <c r="W152" s="7">
        <f t="shared" si="15"/>
        <v>7.7554350109140437E-3</v>
      </c>
      <c r="X152" t="s">
        <v>189</v>
      </c>
      <c r="Y152" t="s">
        <v>190</v>
      </c>
      <c r="Z152" t="s">
        <v>191</v>
      </c>
      <c r="AA152" t="s">
        <v>331</v>
      </c>
      <c r="AB152" t="s">
        <v>92</v>
      </c>
    </row>
    <row r="153" spans="1:28">
      <c r="A153" t="s">
        <v>181</v>
      </c>
      <c r="B153" t="s">
        <v>332</v>
      </c>
      <c r="C153" t="s">
        <v>183</v>
      </c>
      <c r="D153" t="s">
        <v>184</v>
      </c>
      <c r="E153" t="s">
        <v>96</v>
      </c>
      <c r="F153">
        <v>60</v>
      </c>
      <c r="G153" t="s">
        <v>185</v>
      </c>
      <c r="H153" t="s">
        <v>84</v>
      </c>
      <c r="I153" t="s">
        <v>186</v>
      </c>
      <c r="J153" t="s">
        <v>187</v>
      </c>
      <c r="K153" t="s">
        <v>29</v>
      </c>
      <c r="L153" t="s">
        <v>53</v>
      </c>
      <c r="M153" t="s">
        <v>188</v>
      </c>
      <c r="N153" s="7">
        <v>2.3318227373444764</v>
      </c>
      <c r="O153" s="7">
        <v>0.18418885290608489</v>
      </c>
      <c r="P153" s="7">
        <v>4</v>
      </c>
      <c r="Q153" s="7">
        <v>2.4719260756288253</v>
      </c>
      <c r="R153" s="7">
        <v>0.11399452141517927</v>
      </c>
      <c r="S153" s="7">
        <v>4</v>
      </c>
      <c r="T153" s="7">
        <f t="shared" si="12"/>
        <v>0.36837770581216978</v>
      </c>
      <c r="U153" s="7">
        <f t="shared" si="13"/>
        <v>0.22798904283035853</v>
      </c>
      <c r="V153" s="7">
        <f t="shared" si="14"/>
        <v>5.8347382013887387E-2</v>
      </c>
      <c r="W153" s="7">
        <f t="shared" si="15"/>
        <v>8.365951254626542E-3</v>
      </c>
      <c r="X153" t="s">
        <v>189</v>
      </c>
      <c r="Y153" t="s">
        <v>190</v>
      </c>
      <c r="Z153" t="s">
        <v>191</v>
      </c>
      <c r="AA153" t="s">
        <v>331</v>
      </c>
      <c r="AB153" t="s">
        <v>92</v>
      </c>
    </row>
    <row r="154" spans="1:28">
      <c r="A154" t="s">
        <v>181</v>
      </c>
      <c r="B154" t="s">
        <v>333</v>
      </c>
      <c r="C154" t="s">
        <v>183</v>
      </c>
      <c r="D154" t="s">
        <v>195</v>
      </c>
      <c r="E154" t="s">
        <v>96</v>
      </c>
      <c r="F154">
        <v>30</v>
      </c>
      <c r="G154" t="s">
        <v>185</v>
      </c>
      <c r="H154" t="s">
        <v>84</v>
      </c>
      <c r="I154" t="s">
        <v>186</v>
      </c>
      <c r="J154" t="s">
        <v>187</v>
      </c>
      <c r="K154" t="s">
        <v>29</v>
      </c>
      <c r="L154" t="s">
        <v>53</v>
      </c>
      <c r="M154" t="s">
        <v>188</v>
      </c>
      <c r="N154" s="7">
        <v>2.4719260756288253</v>
      </c>
      <c r="O154" s="7">
        <v>0.11399452141517927</v>
      </c>
      <c r="P154" s="7">
        <v>4</v>
      </c>
      <c r="Q154" s="7">
        <v>3.0197845576955906</v>
      </c>
      <c r="R154" s="7">
        <v>4.6082860551754416E-2</v>
      </c>
      <c r="S154" s="7">
        <v>4</v>
      </c>
      <c r="T154" s="7">
        <f t="shared" si="12"/>
        <v>0.22798904283035853</v>
      </c>
      <c r="U154" s="7">
        <f t="shared" si="13"/>
        <v>9.2165721103508833E-2</v>
      </c>
      <c r="V154" s="7">
        <f t="shared" si="14"/>
        <v>0.20018785586327731</v>
      </c>
      <c r="W154" s="7">
        <f t="shared" si="15"/>
        <v>2.3595319881659685E-3</v>
      </c>
      <c r="X154" t="s">
        <v>189</v>
      </c>
      <c r="Y154" t="s">
        <v>190</v>
      </c>
      <c r="Z154" t="s">
        <v>191</v>
      </c>
      <c r="AA154" t="s">
        <v>334</v>
      </c>
      <c r="AB154" t="s">
        <v>92</v>
      </c>
    </row>
    <row r="155" spans="1:28">
      <c r="A155" t="s">
        <v>181</v>
      </c>
      <c r="B155" t="s">
        <v>335</v>
      </c>
      <c r="C155" t="s">
        <v>183</v>
      </c>
      <c r="D155" t="s">
        <v>195</v>
      </c>
      <c r="E155" t="s">
        <v>96</v>
      </c>
      <c r="F155">
        <v>60</v>
      </c>
      <c r="G155" t="s">
        <v>185</v>
      </c>
      <c r="H155" t="s">
        <v>84</v>
      </c>
      <c r="I155" t="s">
        <v>186</v>
      </c>
      <c r="J155" t="s">
        <v>187</v>
      </c>
      <c r="K155" t="s">
        <v>29</v>
      </c>
      <c r="L155" t="s">
        <v>53</v>
      </c>
      <c r="M155" t="s">
        <v>188</v>
      </c>
      <c r="N155" s="7">
        <v>2.4719260756288253</v>
      </c>
      <c r="O155" s="7">
        <v>0.11399452141517927</v>
      </c>
      <c r="P155" s="7">
        <v>4</v>
      </c>
      <c r="Q155" s="7">
        <v>2.8839613090165384</v>
      </c>
      <c r="R155" s="7">
        <v>0</v>
      </c>
      <c r="S155" s="7">
        <v>4</v>
      </c>
      <c r="T155" s="7">
        <f t="shared" si="12"/>
        <v>0.22798904283035853</v>
      </c>
      <c r="U155" s="7">
        <f t="shared" si="13"/>
        <v>0</v>
      </c>
      <c r="V155" s="7">
        <f t="shared" si="14"/>
        <v>0.15416716912902587</v>
      </c>
      <c r="W155" s="7">
        <f t="shared" si="15"/>
        <v>2.1266548048988658E-3</v>
      </c>
      <c r="X155" t="s">
        <v>189</v>
      </c>
      <c r="Y155" t="s">
        <v>190</v>
      </c>
      <c r="Z155" t="s">
        <v>191</v>
      </c>
      <c r="AA155" t="s">
        <v>334</v>
      </c>
      <c r="AB155" t="s">
        <v>92</v>
      </c>
    </row>
    <row r="156" spans="1:28">
      <c r="A156" t="s">
        <v>181</v>
      </c>
      <c r="B156" t="s">
        <v>336</v>
      </c>
      <c r="C156" t="s">
        <v>183</v>
      </c>
      <c r="D156" t="s">
        <v>184</v>
      </c>
      <c r="E156" t="s">
        <v>96</v>
      </c>
      <c r="F156">
        <v>30</v>
      </c>
      <c r="G156" t="s">
        <v>185</v>
      </c>
      <c r="H156" t="s">
        <v>84</v>
      </c>
      <c r="I156" t="s">
        <v>186</v>
      </c>
      <c r="J156" t="s">
        <v>187</v>
      </c>
      <c r="K156" t="s">
        <v>41</v>
      </c>
      <c r="L156" t="s">
        <v>337</v>
      </c>
      <c r="M156" t="s">
        <v>188</v>
      </c>
      <c r="N156" s="7">
        <v>6.3351896276595738</v>
      </c>
      <c r="O156" s="7">
        <v>0.16752200797872532</v>
      </c>
      <c r="P156" s="7">
        <v>4</v>
      </c>
      <c r="Q156" s="7">
        <v>7.0852726063829783</v>
      </c>
      <c r="R156" s="7">
        <v>0.16778171542552822</v>
      </c>
      <c r="S156" s="7">
        <v>4</v>
      </c>
      <c r="T156" s="7">
        <f t="shared" si="12"/>
        <v>0.33504401595745065</v>
      </c>
      <c r="U156" s="7">
        <f t="shared" si="13"/>
        <v>0.33556343085105644</v>
      </c>
      <c r="V156" s="7">
        <f t="shared" si="14"/>
        <v>0.1118986022988193</v>
      </c>
      <c r="W156" s="7">
        <f t="shared" si="15"/>
        <v>1.2599960072606309E-3</v>
      </c>
      <c r="X156" t="s">
        <v>189</v>
      </c>
      <c r="Y156" t="s">
        <v>190</v>
      </c>
      <c r="Z156" t="s">
        <v>191</v>
      </c>
      <c r="AA156" t="s">
        <v>338</v>
      </c>
      <c r="AB156" t="s">
        <v>92</v>
      </c>
    </row>
    <row r="157" spans="1:28">
      <c r="A157" t="s">
        <v>181</v>
      </c>
      <c r="B157" t="s">
        <v>339</v>
      </c>
      <c r="C157" t="s">
        <v>183</v>
      </c>
      <c r="D157" t="s">
        <v>184</v>
      </c>
      <c r="E157" t="s">
        <v>96</v>
      </c>
      <c r="F157">
        <v>60</v>
      </c>
      <c r="G157" t="s">
        <v>185</v>
      </c>
      <c r="H157" t="s">
        <v>84</v>
      </c>
      <c r="I157" t="s">
        <v>186</v>
      </c>
      <c r="J157" t="s">
        <v>187</v>
      </c>
      <c r="K157" t="s">
        <v>41</v>
      </c>
      <c r="L157" t="s">
        <v>337</v>
      </c>
      <c r="M157" t="s">
        <v>188</v>
      </c>
      <c r="N157" s="7">
        <v>6.3351896276595738</v>
      </c>
      <c r="O157" s="7">
        <v>0.16752200797872532</v>
      </c>
      <c r="P157" s="7">
        <v>4</v>
      </c>
      <c r="Q157" s="7">
        <v>6.3351896276595738</v>
      </c>
      <c r="R157" s="7">
        <v>0.16752200797872532</v>
      </c>
      <c r="S157" s="7">
        <v>4</v>
      </c>
      <c r="T157" s="7">
        <f t="shared" si="12"/>
        <v>0.33504401595745065</v>
      </c>
      <c r="U157" s="7">
        <f t="shared" si="13"/>
        <v>0.33504401595745065</v>
      </c>
      <c r="V157" s="7">
        <f t="shared" si="14"/>
        <v>0</v>
      </c>
      <c r="W157" s="7">
        <f t="shared" si="15"/>
        <v>1.3984743261628936E-3</v>
      </c>
      <c r="X157" t="s">
        <v>189</v>
      </c>
      <c r="Y157" t="s">
        <v>190</v>
      </c>
      <c r="Z157" t="s">
        <v>191</v>
      </c>
      <c r="AA157" t="s">
        <v>338</v>
      </c>
      <c r="AB157" t="s">
        <v>92</v>
      </c>
    </row>
    <row r="158" spans="1:28">
      <c r="A158" t="s">
        <v>181</v>
      </c>
      <c r="B158" t="s">
        <v>340</v>
      </c>
      <c r="C158" t="s">
        <v>183</v>
      </c>
      <c r="D158" t="s">
        <v>195</v>
      </c>
      <c r="E158" t="s">
        <v>96</v>
      </c>
      <c r="F158">
        <v>30</v>
      </c>
      <c r="G158" t="s">
        <v>185</v>
      </c>
      <c r="H158" t="s">
        <v>84</v>
      </c>
      <c r="I158" t="s">
        <v>186</v>
      </c>
      <c r="J158" t="s">
        <v>187</v>
      </c>
      <c r="K158" t="s">
        <v>41</v>
      </c>
      <c r="L158" t="s">
        <v>337</v>
      </c>
      <c r="M158" t="s">
        <v>188</v>
      </c>
      <c r="N158" s="7">
        <v>7.1730594414893609</v>
      </c>
      <c r="O158" s="7">
        <v>0.12388836436170406</v>
      </c>
      <c r="P158" s="7">
        <v>4</v>
      </c>
      <c r="Q158" s="7">
        <v>7.3403216755319143</v>
      </c>
      <c r="R158" s="7">
        <v>8.3631183510641999E-2</v>
      </c>
      <c r="S158" s="7">
        <v>4</v>
      </c>
      <c r="T158" s="7">
        <f t="shared" si="12"/>
        <v>0.24777672872340811</v>
      </c>
      <c r="U158" s="7">
        <f t="shared" si="13"/>
        <v>0.167262367021284</v>
      </c>
      <c r="V158" s="7">
        <f t="shared" si="14"/>
        <v>2.3050402722469186E-2</v>
      </c>
      <c r="W158" s="7">
        <f t="shared" si="15"/>
        <v>4.2810870924899077E-4</v>
      </c>
      <c r="X158" t="s">
        <v>189</v>
      </c>
      <c r="Y158" t="s">
        <v>190</v>
      </c>
      <c r="Z158" t="s">
        <v>191</v>
      </c>
      <c r="AA158" t="s">
        <v>341</v>
      </c>
      <c r="AB158" t="s">
        <v>92</v>
      </c>
    </row>
    <row r="159" spans="1:28">
      <c r="A159" t="s">
        <v>181</v>
      </c>
      <c r="B159" t="s">
        <v>342</v>
      </c>
      <c r="C159" t="s">
        <v>183</v>
      </c>
      <c r="D159" t="s">
        <v>195</v>
      </c>
      <c r="E159" t="s">
        <v>96</v>
      </c>
      <c r="F159">
        <v>60</v>
      </c>
      <c r="G159" t="s">
        <v>185</v>
      </c>
      <c r="H159" t="s">
        <v>84</v>
      </c>
      <c r="I159" t="s">
        <v>186</v>
      </c>
      <c r="J159" t="s">
        <v>187</v>
      </c>
      <c r="K159" t="s">
        <v>41</v>
      </c>
      <c r="L159" t="s">
        <v>337</v>
      </c>
      <c r="M159" t="s">
        <v>188</v>
      </c>
      <c r="N159" s="7">
        <v>7.1730594414893609</v>
      </c>
      <c r="O159" s="7">
        <v>0.12388836436170406</v>
      </c>
      <c r="P159" s="7">
        <v>4</v>
      </c>
      <c r="Q159" s="7">
        <v>6.3351896276595738</v>
      </c>
      <c r="R159" s="7">
        <v>0.16752200797872532</v>
      </c>
      <c r="S159" s="7">
        <v>4</v>
      </c>
      <c r="T159" s="7">
        <f t="shared" si="12"/>
        <v>0.24777672872340811</v>
      </c>
      <c r="U159" s="7">
        <f t="shared" si="13"/>
        <v>0.33504401595745065</v>
      </c>
      <c r="V159" s="7">
        <f t="shared" si="14"/>
        <v>-0.12421251729069283</v>
      </c>
      <c r="W159" s="7">
        <f t="shared" si="15"/>
        <v>9.9753642508156959E-4</v>
      </c>
      <c r="X159" t="s">
        <v>189</v>
      </c>
      <c r="Y159" t="s">
        <v>190</v>
      </c>
      <c r="Z159" t="s">
        <v>191</v>
      </c>
      <c r="AA159" t="s">
        <v>341</v>
      </c>
      <c r="AB159" t="s">
        <v>92</v>
      </c>
    </row>
    <row r="160" spans="1:28">
      <c r="A160" t="s">
        <v>181</v>
      </c>
      <c r="B160" t="s">
        <v>343</v>
      </c>
      <c r="C160" t="s">
        <v>183</v>
      </c>
      <c r="D160" t="s">
        <v>184</v>
      </c>
      <c r="E160" t="s">
        <v>96</v>
      </c>
      <c r="F160">
        <v>30</v>
      </c>
      <c r="G160" t="s">
        <v>185</v>
      </c>
      <c r="H160" t="s">
        <v>84</v>
      </c>
      <c r="I160" t="s">
        <v>186</v>
      </c>
      <c r="J160" t="s">
        <v>187</v>
      </c>
      <c r="K160" t="s">
        <v>41</v>
      </c>
      <c r="L160" t="s">
        <v>337</v>
      </c>
      <c r="M160" t="s">
        <v>188</v>
      </c>
      <c r="N160" s="7">
        <v>7.3403216755319143</v>
      </c>
      <c r="O160" s="7">
        <v>0.16362619680851434</v>
      </c>
      <c r="P160" s="7">
        <v>4</v>
      </c>
      <c r="Q160" s="7">
        <v>7.5081034574468086</v>
      </c>
      <c r="R160" s="7">
        <v>8.3890824468083339E-2</v>
      </c>
      <c r="S160" s="7">
        <v>4</v>
      </c>
      <c r="T160" s="7">
        <f t="shared" si="12"/>
        <v>0.32725239361702868</v>
      </c>
      <c r="U160" s="7">
        <f t="shared" si="13"/>
        <v>0.16778164893616668</v>
      </c>
      <c r="V160" s="7">
        <f t="shared" si="14"/>
        <v>2.2600231586810734E-2</v>
      </c>
      <c r="W160" s="7">
        <f t="shared" si="15"/>
        <v>6.2175164291350859E-4</v>
      </c>
      <c r="X160" t="s">
        <v>189</v>
      </c>
      <c r="Y160" t="s">
        <v>190</v>
      </c>
      <c r="Z160" t="s">
        <v>191</v>
      </c>
      <c r="AA160" t="s">
        <v>344</v>
      </c>
      <c r="AB160" t="s">
        <v>92</v>
      </c>
    </row>
    <row r="161" spans="1:28">
      <c r="A161" t="s">
        <v>181</v>
      </c>
      <c r="B161" t="s">
        <v>345</v>
      </c>
      <c r="C161" t="s">
        <v>183</v>
      </c>
      <c r="D161" t="s">
        <v>184</v>
      </c>
      <c r="E161" t="s">
        <v>96</v>
      </c>
      <c r="F161">
        <v>60</v>
      </c>
      <c r="G161" t="s">
        <v>185</v>
      </c>
      <c r="H161" t="s">
        <v>84</v>
      </c>
      <c r="I161" t="s">
        <v>186</v>
      </c>
      <c r="J161" t="s">
        <v>187</v>
      </c>
      <c r="K161" t="s">
        <v>41</v>
      </c>
      <c r="L161" t="s">
        <v>337</v>
      </c>
      <c r="M161" t="s">
        <v>188</v>
      </c>
      <c r="N161" s="7">
        <v>7.3403216755319143</v>
      </c>
      <c r="O161" s="7">
        <v>0.16362619680851434</v>
      </c>
      <c r="P161" s="7">
        <v>4</v>
      </c>
      <c r="Q161" s="7">
        <v>7.3403216755319143</v>
      </c>
      <c r="R161" s="7">
        <v>8.3631183510641999E-2</v>
      </c>
      <c r="S161" s="7">
        <v>4</v>
      </c>
      <c r="T161" s="7">
        <f t="shared" si="12"/>
        <v>0.32725239361702868</v>
      </c>
      <c r="U161" s="7">
        <f t="shared" si="13"/>
        <v>0.167262367021284</v>
      </c>
      <c r="V161" s="7">
        <f t="shared" si="14"/>
        <v>0</v>
      </c>
      <c r="W161" s="7">
        <f t="shared" si="15"/>
        <v>6.2671687354089157E-4</v>
      </c>
      <c r="X161" t="s">
        <v>189</v>
      </c>
      <c r="Y161" t="s">
        <v>190</v>
      </c>
      <c r="Z161" t="s">
        <v>191</v>
      </c>
      <c r="AA161" t="s">
        <v>344</v>
      </c>
      <c r="AB161" t="s">
        <v>92</v>
      </c>
    </row>
    <row r="162" spans="1:28">
      <c r="A162" t="s">
        <v>181</v>
      </c>
      <c r="B162" t="s">
        <v>346</v>
      </c>
      <c r="C162" t="s">
        <v>183</v>
      </c>
      <c r="D162" t="s">
        <v>195</v>
      </c>
      <c r="E162" t="s">
        <v>96</v>
      </c>
      <c r="F162">
        <v>30</v>
      </c>
      <c r="G162" t="s">
        <v>185</v>
      </c>
      <c r="H162" t="s">
        <v>84</v>
      </c>
      <c r="I162" t="s">
        <v>186</v>
      </c>
      <c r="J162" t="s">
        <v>187</v>
      </c>
      <c r="K162" t="s">
        <v>41</v>
      </c>
      <c r="L162" t="s">
        <v>337</v>
      </c>
      <c r="M162" t="s">
        <v>188</v>
      </c>
      <c r="N162" s="7">
        <v>6.5024518617021272</v>
      </c>
      <c r="O162" s="7">
        <v>0.71008557180850695</v>
      </c>
      <c r="P162" s="7">
        <v>4</v>
      </c>
      <c r="Q162" s="7">
        <v>7.5875789893617016</v>
      </c>
      <c r="R162" s="7">
        <v>8.3631117021272905E-2</v>
      </c>
      <c r="S162" s="7">
        <v>4</v>
      </c>
      <c r="T162" s="7">
        <f t="shared" ref="T162:T179" si="16">O162*SQRT(P162)</f>
        <v>1.4201711436170139</v>
      </c>
      <c r="U162" s="7">
        <f t="shared" ref="U162:U179" si="17">R162*SQRT(S162)</f>
        <v>0.16726223404254581</v>
      </c>
      <c r="V162" s="7">
        <f t="shared" si="14"/>
        <v>0.15433325152234922</v>
      </c>
      <c r="W162" s="7">
        <f t="shared" si="15"/>
        <v>1.2046725690003021E-2</v>
      </c>
      <c r="X162" t="s">
        <v>189</v>
      </c>
      <c r="Y162" t="s">
        <v>190</v>
      </c>
      <c r="Z162" t="s">
        <v>191</v>
      </c>
      <c r="AA162" t="s">
        <v>347</v>
      </c>
      <c r="AB162" t="s">
        <v>92</v>
      </c>
    </row>
    <row r="163" spans="1:28">
      <c r="A163" t="s">
        <v>181</v>
      </c>
      <c r="B163" t="s">
        <v>348</v>
      </c>
      <c r="C163" t="s">
        <v>183</v>
      </c>
      <c r="D163" t="s">
        <v>195</v>
      </c>
      <c r="E163" t="s">
        <v>96</v>
      </c>
      <c r="F163">
        <v>60</v>
      </c>
      <c r="G163" t="s">
        <v>185</v>
      </c>
      <c r="H163" t="s">
        <v>84</v>
      </c>
      <c r="I163" t="s">
        <v>186</v>
      </c>
      <c r="J163" t="s">
        <v>187</v>
      </c>
      <c r="K163" t="s">
        <v>41</v>
      </c>
      <c r="L163" t="s">
        <v>337</v>
      </c>
      <c r="M163" t="s">
        <v>188</v>
      </c>
      <c r="N163" s="7">
        <v>6.5024518617021272</v>
      </c>
      <c r="O163" s="7">
        <v>0.71008557180850695</v>
      </c>
      <c r="P163" s="7">
        <v>4</v>
      </c>
      <c r="Q163" s="7">
        <v>7.2525349734042548</v>
      </c>
      <c r="R163" s="7">
        <v>0.12752453457446616</v>
      </c>
      <c r="S163" s="7">
        <v>4</v>
      </c>
      <c r="T163" s="7">
        <f t="shared" si="16"/>
        <v>1.4201711436170139</v>
      </c>
      <c r="U163" s="7">
        <f t="shared" si="17"/>
        <v>0.25504906914893233</v>
      </c>
      <c r="V163" s="7">
        <f t="shared" si="14"/>
        <v>0.10917174398816547</v>
      </c>
      <c r="W163" s="7">
        <f t="shared" si="15"/>
        <v>1.2234416283763231E-2</v>
      </c>
      <c r="X163" t="s">
        <v>189</v>
      </c>
      <c r="Y163" t="s">
        <v>190</v>
      </c>
      <c r="Z163" t="s">
        <v>191</v>
      </c>
      <c r="AA163" t="s">
        <v>347</v>
      </c>
      <c r="AB163" t="s">
        <v>92</v>
      </c>
    </row>
    <row r="164" spans="1:28">
      <c r="A164" t="s">
        <v>181</v>
      </c>
      <c r="B164" t="s">
        <v>349</v>
      </c>
      <c r="C164" t="s">
        <v>183</v>
      </c>
      <c r="D164" t="s">
        <v>184</v>
      </c>
      <c r="E164" t="s">
        <v>96</v>
      </c>
      <c r="F164">
        <v>30</v>
      </c>
      <c r="G164" t="s">
        <v>185</v>
      </c>
      <c r="H164" t="s">
        <v>84</v>
      </c>
      <c r="I164" t="s">
        <v>186</v>
      </c>
      <c r="J164" t="s">
        <v>187</v>
      </c>
      <c r="K164" t="s">
        <v>41</v>
      </c>
      <c r="L164" t="s">
        <v>337</v>
      </c>
      <c r="M164" t="s">
        <v>188</v>
      </c>
      <c r="N164" s="7">
        <v>7.4203167553191482</v>
      </c>
      <c r="O164" s="7">
        <v>0.12362865691489361</v>
      </c>
      <c r="P164" s="7">
        <v>4</v>
      </c>
      <c r="Q164" s="7">
        <v>7.2525349734042548</v>
      </c>
      <c r="R164" s="7">
        <v>0.1236287234042627</v>
      </c>
      <c r="S164" s="7">
        <v>4</v>
      </c>
      <c r="T164" s="7">
        <f t="shared" si="16"/>
        <v>0.24725731382978722</v>
      </c>
      <c r="U164" s="7">
        <f t="shared" si="17"/>
        <v>0.24725744680852541</v>
      </c>
      <c r="V164" s="7">
        <f t="shared" si="14"/>
        <v>-2.2870686407457624E-2</v>
      </c>
      <c r="W164" s="7">
        <f t="shared" si="15"/>
        <v>5.6815892523178683E-4</v>
      </c>
      <c r="X164" t="s">
        <v>189</v>
      </c>
      <c r="Y164" t="s">
        <v>190</v>
      </c>
      <c r="Z164" t="s">
        <v>191</v>
      </c>
      <c r="AA164" t="s">
        <v>350</v>
      </c>
      <c r="AB164" t="s">
        <v>92</v>
      </c>
    </row>
    <row r="165" spans="1:28">
      <c r="A165" t="s">
        <v>181</v>
      </c>
      <c r="B165" t="s">
        <v>351</v>
      </c>
      <c r="C165" t="s">
        <v>183</v>
      </c>
      <c r="D165" t="s">
        <v>184</v>
      </c>
      <c r="E165" t="s">
        <v>96</v>
      </c>
      <c r="F165">
        <v>60</v>
      </c>
      <c r="G165" t="s">
        <v>185</v>
      </c>
      <c r="H165" t="s">
        <v>84</v>
      </c>
      <c r="I165" t="s">
        <v>186</v>
      </c>
      <c r="J165" t="s">
        <v>187</v>
      </c>
      <c r="K165" t="s">
        <v>41</v>
      </c>
      <c r="L165" t="s">
        <v>337</v>
      </c>
      <c r="M165" t="s">
        <v>188</v>
      </c>
      <c r="N165" s="7">
        <v>7.4203167553191482</v>
      </c>
      <c r="O165" s="7">
        <v>0.12362865691489361</v>
      </c>
      <c r="P165" s="7">
        <v>4</v>
      </c>
      <c r="Q165" s="7">
        <v>7.3403216755319143</v>
      </c>
      <c r="R165" s="7">
        <v>0.1236287234042627</v>
      </c>
      <c r="S165" s="7">
        <v>4</v>
      </c>
      <c r="T165" s="7">
        <f t="shared" si="16"/>
        <v>0.24725731382978722</v>
      </c>
      <c r="U165" s="7">
        <f t="shared" si="17"/>
        <v>0.24725744680852541</v>
      </c>
      <c r="V165" s="7">
        <f t="shared" si="14"/>
        <v>-1.0839078993749651E-2</v>
      </c>
      <c r="W165" s="7">
        <f t="shared" si="15"/>
        <v>5.6125019919004782E-4</v>
      </c>
      <c r="X165" t="s">
        <v>189</v>
      </c>
      <c r="Y165" t="s">
        <v>190</v>
      </c>
      <c r="Z165" t="s">
        <v>191</v>
      </c>
      <c r="AA165" t="s">
        <v>350</v>
      </c>
      <c r="AB165" t="s">
        <v>92</v>
      </c>
    </row>
    <row r="166" spans="1:28">
      <c r="A166" t="s">
        <v>181</v>
      </c>
      <c r="B166" t="s">
        <v>352</v>
      </c>
      <c r="C166" t="s">
        <v>183</v>
      </c>
      <c r="D166" t="s">
        <v>195</v>
      </c>
      <c r="E166" t="s">
        <v>96</v>
      </c>
      <c r="F166">
        <v>30</v>
      </c>
      <c r="G166" t="s">
        <v>185</v>
      </c>
      <c r="H166" t="s">
        <v>84</v>
      </c>
      <c r="I166" t="s">
        <v>186</v>
      </c>
      <c r="J166" t="s">
        <v>187</v>
      </c>
      <c r="K166" t="s">
        <v>41</v>
      </c>
      <c r="L166" t="s">
        <v>337</v>
      </c>
      <c r="M166" t="s">
        <v>188</v>
      </c>
      <c r="N166" s="7">
        <v>7.3403216755319143</v>
      </c>
      <c r="O166" s="7">
        <v>8.3631183510641999E-2</v>
      </c>
      <c r="P166" s="7">
        <v>4</v>
      </c>
      <c r="Q166" s="7">
        <v>8.1703998670212759</v>
      </c>
      <c r="R166" s="7">
        <v>0.50282579787234039</v>
      </c>
      <c r="S166" s="7">
        <v>4</v>
      </c>
      <c r="T166" s="7">
        <f t="shared" si="16"/>
        <v>0.167262367021284</v>
      </c>
      <c r="U166" s="7">
        <f t="shared" si="17"/>
        <v>1.0056515957446808</v>
      </c>
      <c r="V166" s="7">
        <f t="shared" si="14"/>
        <v>0.10713518433559845</v>
      </c>
      <c r="W166" s="7">
        <f t="shared" si="15"/>
        <v>3.9172731472843164E-3</v>
      </c>
      <c r="X166" t="s">
        <v>189</v>
      </c>
      <c r="Y166" t="s">
        <v>190</v>
      </c>
      <c r="Z166" t="s">
        <v>191</v>
      </c>
      <c r="AA166" t="s">
        <v>353</v>
      </c>
      <c r="AB166" t="s">
        <v>92</v>
      </c>
    </row>
    <row r="167" spans="1:28">
      <c r="A167" t="s">
        <v>181</v>
      </c>
      <c r="B167" t="s">
        <v>354</v>
      </c>
      <c r="C167" t="s">
        <v>183</v>
      </c>
      <c r="D167" t="s">
        <v>195</v>
      </c>
      <c r="E167" t="s">
        <v>96</v>
      </c>
      <c r="F167">
        <v>60</v>
      </c>
      <c r="G167" t="s">
        <v>185</v>
      </c>
      <c r="H167" t="s">
        <v>84</v>
      </c>
      <c r="I167" t="s">
        <v>186</v>
      </c>
      <c r="J167" t="s">
        <v>187</v>
      </c>
      <c r="K167" t="s">
        <v>41</v>
      </c>
      <c r="L167" t="s">
        <v>337</v>
      </c>
      <c r="M167" t="s">
        <v>188</v>
      </c>
      <c r="N167" s="7">
        <v>7.3403216755319143</v>
      </c>
      <c r="O167" s="7">
        <v>8.3631183510641999E-2</v>
      </c>
      <c r="P167" s="7">
        <v>4</v>
      </c>
      <c r="Q167" s="7">
        <v>7.5875789893617016</v>
      </c>
      <c r="R167" s="7">
        <v>0.50256609042553002</v>
      </c>
      <c r="S167" s="7">
        <v>4</v>
      </c>
      <c r="T167" s="7">
        <f t="shared" si="16"/>
        <v>0.167262367021284</v>
      </c>
      <c r="U167" s="7">
        <f t="shared" si="17"/>
        <v>1.00513218085106</v>
      </c>
      <c r="V167" s="7">
        <f t="shared" si="14"/>
        <v>3.3129900120475744E-2</v>
      </c>
      <c r="W167" s="7">
        <f t="shared" si="15"/>
        <v>4.516933488318174E-3</v>
      </c>
      <c r="X167" t="s">
        <v>189</v>
      </c>
      <c r="Y167" t="s">
        <v>190</v>
      </c>
      <c r="Z167" t="s">
        <v>191</v>
      </c>
      <c r="AA167" t="s">
        <v>353</v>
      </c>
      <c r="AB167" t="s">
        <v>92</v>
      </c>
    </row>
    <row r="168" spans="1:28">
      <c r="A168" t="s">
        <v>181</v>
      </c>
      <c r="B168" t="s">
        <v>355</v>
      </c>
      <c r="C168" t="s">
        <v>183</v>
      </c>
      <c r="D168" t="s">
        <v>184</v>
      </c>
      <c r="E168" t="s">
        <v>96</v>
      </c>
      <c r="F168">
        <v>30</v>
      </c>
      <c r="G168" t="s">
        <v>185</v>
      </c>
      <c r="H168" t="s">
        <v>84</v>
      </c>
      <c r="I168" t="s">
        <v>186</v>
      </c>
      <c r="J168" t="s">
        <v>187</v>
      </c>
      <c r="K168" t="s">
        <v>29</v>
      </c>
      <c r="L168" t="s">
        <v>337</v>
      </c>
      <c r="M168" t="s">
        <v>188</v>
      </c>
      <c r="N168" s="7">
        <v>5.4203806311732112</v>
      </c>
      <c r="O168" s="7">
        <v>0.17088401480475521</v>
      </c>
      <c r="P168" s="7">
        <v>4</v>
      </c>
      <c r="Q168" s="7">
        <v>6.3139393574385174</v>
      </c>
      <c r="R168" s="7">
        <v>0.13794764678828608</v>
      </c>
      <c r="S168" s="7">
        <v>4</v>
      </c>
      <c r="T168" s="7">
        <f t="shared" si="16"/>
        <v>0.34176802960951042</v>
      </c>
      <c r="U168" s="7">
        <f t="shared" si="17"/>
        <v>0.27589529357657216</v>
      </c>
      <c r="V168" s="7">
        <f t="shared" si="14"/>
        <v>0.15259374549003901</v>
      </c>
      <c r="W168" s="7">
        <f t="shared" si="15"/>
        <v>1.471241360195342E-3</v>
      </c>
      <c r="X168" t="s">
        <v>189</v>
      </c>
      <c r="Y168" t="s">
        <v>190</v>
      </c>
      <c r="Z168" t="s">
        <v>191</v>
      </c>
      <c r="AA168" t="s">
        <v>356</v>
      </c>
      <c r="AB168" t="s">
        <v>92</v>
      </c>
    </row>
    <row r="169" spans="1:28">
      <c r="A169" t="s">
        <v>181</v>
      </c>
      <c r="B169" t="s">
        <v>357</v>
      </c>
      <c r="C169" t="s">
        <v>183</v>
      </c>
      <c r="D169" t="s">
        <v>184</v>
      </c>
      <c r="E169" t="s">
        <v>96</v>
      </c>
      <c r="F169">
        <v>60</v>
      </c>
      <c r="G169" t="s">
        <v>185</v>
      </c>
      <c r="H169" t="s">
        <v>84</v>
      </c>
      <c r="I169" t="s">
        <v>186</v>
      </c>
      <c r="J169" t="s">
        <v>187</v>
      </c>
      <c r="K169" t="s">
        <v>29</v>
      </c>
      <c r="L169" t="s">
        <v>337</v>
      </c>
      <c r="M169" t="s">
        <v>188</v>
      </c>
      <c r="N169" s="7">
        <v>5.4203806311732112</v>
      </c>
      <c r="O169" s="7">
        <v>0.17088401480475521</v>
      </c>
      <c r="P169" s="7">
        <v>4</v>
      </c>
      <c r="Q169" s="7">
        <v>5.348091807012552</v>
      </c>
      <c r="R169" s="7">
        <v>0.13794770153960856</v>
      </c>
      <c r="S169" s="7">
        <v>4</v>
      </c>
      <c r="T169" s="7">
        <f t="shared" si="16"/>
        <v>0.34176802960951042</v>
      </c>
      <c r="U169" s="7">
        <f t="shared" si="17"/>
        <v>0.27589540307921712</v>
      </c>
      <c r="V169" s="7">
        <f t="shared" si="14"/>
        <v>-1.3426214440435357E-2</v>
      </c>
      <c r="W169" s="7">
        <f t="shared" si="15"/>
        <v>1.6592224108910375E-3</v>
      </c>
      <c r="X169" t="s">
        <v>189</v>
      </c>
      <c r="Y169" t="s">
        <v>190</v>
      </c>
      <c r="Z169" t="s">
        <v>191</v>
      </c>
      <c r="AA169" t="s">
        <v>356</v>
      </c>
      <c r="AB169" t="s">
        <v>92</v>
      </c>
    </row>
    <row r="170" spans="1:28">
      <c r="A170" t="s">
        <v>181</v>
      </c>
      <c r="B170" t="s">
        <v>358</v>
      </c>
      <c r="C170" t="s">
        <v>183</v>
      </c>
      <c r="D170" t="s">
        <v>195</v>
      </c>
      <c r="E170" t="s">
        <v>96</v>
      </c>
      <c r="F170">
        <v>30</v>
      </c>
      <c r="G170" t="s">
        <v>185</v>
      </c>
      <c r="H170" t="s">
        <v>84</v>
      </c>
      <c r="I170" t="s">
        <v>186</v>
      </c>
      <c r="J170" t="s">
        <v>187</v>
      </c>
      <c r="K170" t="s">
        <v>29</v>
      </c>
      <c r="L170" t="s">
        <v>337</v>
      </c>
      <c r="M170" t="s">
        <v>188</v>
      </c>
      <c r="N170" s="7">
        <v>6.1757777972449199</v>
      </c>
      <c r="O170" s="7">
        <v>0.17409211361993818</v>
      </c>
      <c r="P170" s="7">
        <v>4</v>
      </c>
      <c r="Q170" s="7">
        <v>6.3139393574385174</v>
      </c>
      <c r="R170" s="7">
        <v>0.10501133352313943</v>
      </c>
      <c r="S170" s="7">
        <v>4</v>
      </c>
      <c r="T170" s="7">
        <f t="shared" si="16"/>
        <v>0.34818422723987635</v>
      </c>
      <c r="U170" s="7">
        <f t="shared" si="17"/>
        <v>0.21002266704627887</v>
      </c>
      <c r="V170" s="7">
        <f t="shared" si="14"/>
        <v>2.21249519796448E-2</v>
      </c>
      <c r="W170" s="7">
        <f t="shared" si="15"/>
        <v>1.0712604718353968E-3</v>
      </c>
      <c r="X170" t="s">
        <v>189</v>
      </c>
      <c r="Y170" t="s">
        <v>190</v>
      </c>
      <c r="Z170" t="s">
        <v>191</v>
      </c>
      <c r="AA170" t="s">
        <v>359</v>
      </c>
      <c r="AB170" t="s">
        <v>92</v>
      </c>
    </row>
    <row r="171" spans="1:28">
      <c r="A171" t="s">
        <v>181</v>
      </c>
      <c r="B171" t="s">
        <v>360</v>
      </c>
      <c r="C171" t="s">
        <v>183</v>
      </c>
      <c r="D171" t="s">
        <v>195</v>
      </c>
      <c r="E171" t="s">
        <v>96</v>
      </c>
      <c r="F171">
        <v>60</v>
      </c>
      <c r="G171" t="s">
        <v>185</v>
      </c>
      <c r="H171" t="s">
        <v>84</v>
      </c>
      <c r="I171" t="s">
        <v>186</v>
      </c>
      <c r="J171" t="s">
        <v>187</v>
      </c>
      <c r="K171" t="s">
        <v>29</v>
      </c>
      <c r="L171" t="s">
        <v>337</v>
      </c>
      <c r="M171" t="s">
        <v>188</v>
      </c>
      <c r="N171" s="7">
        <v>6.1757777972449199</v>
      </c>
      <c r="O171" s="7">
        <v>0.17409211361993818</v>
      </c>
      <c r="P171" s="7">
        <v>4</v>
      </c>
      <c r="Q171" s="7">
        <v>5.2167741617572982</v>
      </c>
      <c r="R171" s="7">
        <v>0.1018031799566371</v>
      </c>
      <c r="S171" s="7">
        <v>4</v>
      </c>
      <c r="T171" s="7">
        <f t="shared" si="16"/>
        <v>0.34818422723987635</v>
      </c>
      <c r="U171" s="7">
        <f t="shared" si="17"/>
        <v>0.20360635991327419</v>
      </c>
      <c r="V171" s="7">
        <f t="shared" si="14"/>
        <v>-0.16875559945645571</v>
      </c>
      <c r="W171" s="7">
        <f t="shared" si="15"/>
        <v>1.1754671485782056E-3</v>
      </c>
      <c r="X171" t="s">
        <v>189</v>
      </c>
      <c r="Y171" t="s">
        <v>190</v>
      </c>
      <c r="Z171" t="s">
        <v>191</v>
      </c>
      <c r="AA171" t="s">
        <v>359</v>
      </c>
      <c r="AB171" t="s">
        <v>92</v>
      </c>
    </row>
    <row r="172" spans="1:28">
      <c r="A172" t="s">
        <v>181</v>
      </c>
      <c r="B172" t="s">
        <v>361</v>
      </c>
      <c r="C172" t="s">
        <v>183</v>
      </c>
      <c r="D172" t="s">
        <v>184</v>
      </c>
      <c r="E172" t="s">
        <v>96</v>
      </c>
      <c r="F172">
        <v>30</v>
      </c>
      <c r="G172" t="s">
        <v>185</v>
      </c>
      <c r="H172" t="s">
        <v>84</v>
      </c>
      <c r="I172" t="s">
        <v>186</v>
      </c>
      <c r="J172" t="s">
        <v>187</v>
      </c>
      <c r="K172" t="s">
        <v>29</v>
      </c>
      <c r="L172" t="s">
        <v>337</v>
      </c>
      <c r="M172" t="s">
        <v>188</v>
      </c>
      <c r="N172" s="7">
        <v>6.3139393574385174</v>
      </c>
      <c r="O172" s="7">
        <v>0.17088396005343584</v>
      </c>
      <c r="P172" s="7">
        <v>4</v>
      </c>
      <c r="Q172" s="7">
        <v>6.5175457173517914</v>
      </c>
      <c r="R172" s="7">
        <v>0.1020170933619485</v>
      </c>
      <c r="S172" s="7">
        <v>4</v>
      </c>
      <c r="T172" s="7">
        <f t="shared" si="16"/>
        <v>0.34176792010687168</v>
      </c>
      <c r="U172" s="7">
        <f t="shared" si="17"/>
        <v>0.204034186723897</v>
      </c>
      <c r="V172" s="7">
        <f t="shared" si="14"/>
        <v>3.1738095724807375E-2</v>
      </c>
      <c r="W172" s="7">
        <f t="shared" si="15"/>
        <v>9.7749670976766934E-4</v>
      </c>
      <c r="X172" t="s">
        <v>189</v>
      </c>
      <c r="Y172" t="s">
        <v>190</v>
      </c>
      <c r="Z172" t="s">
        <v>191</v>
      </c>
      <c r="AA172" t="s">
        <v>362</v>
      </c>
      <c r="AB172" t="s">
        <v>92</v>
      </c>
    </row>
    <row r="173" spans="1:28">
      <c r="A173" t="s">
        <v>181</v>
      </c>
      <c r="B173" t="s">
        <v>363</v>
      </c>
      <c r="C173" t="s">
        <v>183</v>
      </c>
      <c r="D173" t="s">
        <v>184</v>
      </c>
      <c r="E173" t="s">
        <v>96</v>
      </c>
      <c r="F173">
        <v>60</v>
      </c>
      <c r="G173" t="s">
        <v>185</v>
      </c>
      <c r="H173" t="s">
        <v>84</v>
      </c>
      <c r="I173" t="s">
        <v>186</v>
      </c>
      <c r="J173" t="s">
        <v>187</v>
      </c>
      <c r="K173" t="s">
        <v>29</v>
      </c>
      <c r="L173" t="s">
        <v>337</v>
      </c>
      <c r="M173" t="s">
        <v>188</v>
      </c>
      <c r="N173" s="7">
        <v>6.3139393574385174</v>
      </c>
      <c r="O173" s="7">
        <v>0.17088396005343584</v>
      </c>
      <c r="P173" s="7">
        <v>4</v>
      </c>
      <c r="Q173" s="7">
        <v>6.3798119839688168</v>
      </c>
      <c r="R173" s="7">
        <v>6.8866866691487338E-2</v>
      </c>
      <c r="S173" s="7">
        <v>4</v>
      </c>
      <c r="T173" s="7">
        <f t="shared" si="16"/>
        <v>0.34176792010687168</v>
      </c>
      <c r="U173" s="7">
        <f t="shared" si="17"/>
        <v>0.13773373338297468</v>
      </c>
      <c r="V173" s="7">
        <f t="shared" si="14"/>
        <v>1.0378841695585624E-2</v>
      </c>
      <c r="W173" s="7">
        <f t="shared" si="15"/>
        <v>8.4901132998188534E-4</v>
      </c>
      <c r="X173" t="s">
        <v>189</v>
      </c>
      <c r="Y173" t="s">
        <v>190</v>
      </c>
      <c r="Z173" t="s">
        <v>191</v>
      </c>
      <c r="AA173" t="s">
        <v>362</v>
      </c>
      <c r="AB173" t="s">
        <v>92</v>
      </c>
    </row>
    <row r="174" spans="1:28">
      <c r="A174" t="s">
        <v>181</v>
      </c>
      <c r="B174" t="s">
        <v>364</v>
      </c>
      <c r="C174" t="s">
        <v>183</v>
      </c>
      <c r="D174" t="s">
        <v>195</v>
      </c>
      <c r="E174" t="s">
        <v>96</v>
      </c>
      <c r="F174">
        <v>30</v>
      </c>
      <c r="G174" t="s">
        <v>185</v>
      </c>
      <c r="H174" t="s">
        <v>84</v>
      </c>
      <c r="I174" t="s">
        <v>186</v>
      </c>
      <c r="J174" t="s">
        <v>187</v>
      </c>
      <c r="K174" t="s">
        <v>29</v>
      </c>
      <c r="L174" t="s">
        <v>337</v>
      </c>
      <c r="M174" t="s">
        <v>188</v>
      </c>
      <c r="N174" s="7">
        <v>5.4862533672061558</v>
      </c>
      <c r="O174" s="7">
        <v>0.34155411620419901</v>
      </c>
      <c r="P174" s="7">
        <v>4</v>
      </c>
      <c r="Q174" s="7">
        <v>6.5834184533847298</v>
      </c>
      <c r="R174" s="7">
        <v>6.8866921442806706E-2</v>
      </c>
      <c r="S174" s="7">
        <v>4</v>
      </c>
      <c r="T174" s="7">
        <f t="shared" si="16"/>
        <v>0.68310823240839802</v>
      </c>
      <c r="U174" s="7">
        <f t="shared" si="17"/>
        <v>0.13773384288561341</v>
      </c>
      <c r="V174" s="7">
        <f t="shared" si="14"/>
        <v>0.18230855644969085</v>
      </c>
      <c r="W174" s="7">
        <f t="shared" si="15"/>
        <v>3.9852787294447729E-3</v>
      </c>
      <c r="X174" t="s">
        <v>189</v>
      </c>
      <c r="Y174" t="s">
        <v>190</v>
      </c>
      <c r="Z174" t="s">
        <v>191</v>
      </c>
      <c r="AA174" t="s">
        <v>365</v>
      </c>
      <c r="AB174" t="s">
        <v>92</v>
      </c>
    </row>
    <row r="175" spans="1:28">
      <c r="A175" t="s">
        <v>181</v>
      </c>
      <c r="B175" t="s">
        <v>366</v>
      </c>
      <c r="C175" t="s">
        <v>183</v>
      </c>
      <c r="D175" t="s">
        <v>195</v>
      </c>
      <c r="E175" t="s">
        <v>96</v>
      </c>
      <c r="F175">
        <v>60</v>
      </c>
      <c r="G175" t="s">
        <v>185</v>
      </c>
      <c r="H175" t="s">
        <v>84</v>
      </c>
      <c r="I175" t="s">
        <v>186</v>
      </c>
      <c r="J175" t="s">
        <v>187</v>
      </c>
      <c r="K175" t="s">
        <v>29</v>
      </c>
      <c r="L175" t="s">
        <v>337</v>
      </c>
      <c r="M175" t="s">
        <v>188</v>
      </c>
      <c r="N175" s="7">
        <v>5.4862533672061558</v>
      </c>
      <c r="O175" s="7">
        <v>0.34155411620419901</v>
      </c>
      <c r="P175" s="7">
        <v>4</v>
      </c>
      <c r="Q175" s="7">
        <v>6.2416504237752131</v>
      </c>
      <c r="R175" s="7">
        <v>0.13794770153960856</v>
      </c>
      <c r="S175" s="7">
        <v>4</v>
      </c>
      <c r="T175" s="7">
        <f t="shared" si="16"/>
        <v>0.68310823240839802</v>
      </c>
      <c r="U175" s="7">
        <f t="shared" si="17"/>
        <v>0.27589540307921712</v>
      </c>
      <c r="V175" s="7">
        <f t="shared" si="14"/>
        <v>0.12899906262557465</v>
      </c>
      <c r="W175" s="7">
        <f t="shared" si="15"/>
        <v>4.3643144405600669E-3</v>
      </c>
      <c r="X175" t="s">
        <v>189</v>
      </c>
      <c r="Y175" t="s">
        <v>190</v>
      </c>
      <c r="Z175" t="s">
        <v>191</v>
      </c>
      <c r="AA175" t="s">
        <v>365</v>
      </c>
      <c r="AB175" t="s">
        <v>92</v>
      </c>
    </row>
    <row r="176" spans="1:28">
      <c r="A176" t="s">
        <v>181</v>
      </c>
      <c r="B176" t="s">
        <v>367</v>
      </c>
      <c r="C176" t="s">
        <v>183</v>
      </c>
      <c r="D176" t="s">
        <v>184</v>
      </c>
      <c r="E176" t="s">
        <v>96</v>
      </c>
      <c r="F176">
        <v>30</v>
      </c>
      <c r="G176" t="s">
        <v>185</v>
      </c>
      <c r="H176" t="s">
        <v>84</v>
      </c>
      <c r="I176" t="s">
        <v>186</v>
      </c>
      <c r="J176" t="s">
        <v>187</v>
      </c>
      <c r="K176" t="s">
        <v>29</v>
      </c>
      <c r="L176" t="s">
        <v>337</v>
      </c>
      <c r="M176" t="s">
        <v>188</v>
      </c>
      <c r="N176" s="7">
        <v>6.8593137469613019</v>
      </c>
      <c r="O176" s="7">
        <v>0.10180323470795646</v>
      </c>
      <c r="P176" s="7">
        <v>4</v>
      </c>
      <c r="Q176" s="7">
        <v>6.1757777972449199</v>
      </c>
      <c r="R176" s="7">
        <v>0.2068145682310959</v>
      </c>
      <c r="S176" s="7">
        <v>4</v>
      </c>
      <c r="T176" s="7">
        <f t="shared" si="16"/>
        <v>0.20360646941591293</v>
      </c>
      <c r="U176" s="7">
        <f t="shared" si="17"/>
        <v>0.41362913646219179</v>
      </c>
      <c r="V176" s="7">
        <f t="shared" si="14"/>
        <v>-0.10497256619779648</v>
      </c>
      <c r="W176" s="7">
        <f t="shared" si="15"/>
        <v>1.3417207402165424E-3</v>
      </c>
      <c r="X176" t="s">
        <v>189</v>
      </c>
      <c r="Y176" t="s">
        <v>190</v>
      </c>
      <c r="Z176" t="s">
        <v>191</v>
      </c>
      <c r="AA176" t="s">
        <v>368</v>
      </c>
      <c r="AB176" t="s">
        <v>92</v>
      </c>
    </row>
    <row r="177" spans="1:28">
      <c r="A177" t="s">
        <v>181</v>
      </c>
      <c r="B177" t="s">
        <v>369</v>
      </c>
      <c r="C177" t="s">
        <v>183</v>
      </c>
      <c r="D177" t="s">
        <v>184</v>
      </c>
      <c r="E177" t="s">
        <v>96</v>
      </c>
      <c r="F177">
        <v>60</v>
      </c>
      <c r="G177" t="s">
        <v>185</v>
      </c>
      <c r="H177" t="s">
        <v>84</v>
      </c>
      <c r="I177" t="s">
        <v>186</v>
      </c>
      <c r="J177" t="s">
        <v>187</v>
      </c>
      <c r="K177" t="s">
        <v>29</v>
      </c>
      <c r="L177" t="s">
        <v>337</v>
      </c>
      <c r="M177" t="s">
        <v>188</v>
      </c>
      <c r="N177" s="7">
        <v>6.8593137469613019</v>
      </c>
      <c r="O177" s="7">
        <v>0.10180323470795646</v>
      </c>
      <c r="P177" s="7">
        <v>4</v>
      </c>
      <c r="Q177" s="7">
        <v>6.2416504237752131</v>
      </c>
      <c r="R177" s="7">
        <v>0.17409211361993818</v>
      </c>
      <c r="S177" s="7">
        <v>4</v>
      </c>
      <c r="T177" s="7">
        <f t="shared" si="16"/>
        <v>0.20360646941591293</v>
      </c>
      <c r="U177" s="7">
        <f t="shared" si="17"/>
        <v>0.34818422723987635</v>
      </c>
      <c r="V177" s="7">
        <f t="shared" si="14"/>
        <v>-9.4362761448284996E-2</v>
      </c>
      <c r="W177" s="7">
        <f t="shared" si="15"/>
        <v>9.9823694410604161E-4</v>
      </c>
      <c r="X177" t="s">
        <v>189</v>
      </c>
      <c r="Y177" t="s">
        <v>190</v>
      </c>
      <c r="Z177" t="s">
        <v>191</v>
      </c>
      <c r="AA177" t="s">
        <v>368</v>
      </c>
      <c r="AB177" t="s">
        <v>92</v>
      </c>
    </row>
    <row r="178" spans="1:28">
      <c r="A178" t="s">
        <v>181</v>
      </c>
      <c r="B178" t="s">
        <v>370</v>
      </c>
      <c r="C178" t="s">
        <v>183</v>
      </c>
      <c r="D178" t="s">
        <v>195</v>
      </c>
      <c r="E178" t="s">
        <v>96</v>
      </c>
      <c r="F178">
        <v>30</v>
      </c>
      <c r="G178" t="s">
        <v>185</v>
      </c>
      <c r="H178" t="s">
        <v>84</v>
      </c>
      <c r="I178" t="s">
        <v>186</v>
      </c>
      <c r="J178" t="s">
        <v>187</v>
      </c>
      <c r="K178" t="s">
        <v>29</v>
      </c>
      <c r="L178" t="s">
        <v>337</v>
      </c>
      <c r="M178" t="s">
        <v>188</v>
      </c>
      <c r="N178" s="7">
        <v>6.2416504237752131</v>
      </c>
      <c r="O178" s="7">
        <v>3.2936313265146649E-2</v>
      </c>
      <c r="P178" s="7">
        <v>4</v>
      </c>
      <c r="Q178" s="7">
        <v>6.9316025711219673</v>
      </c>
      <c r="R178" s="7">
        <v>0.30861780293905239</v>
      </c>
      <c r="S178" s="7">
        <v>4</v>
      </c>
      <c r="T178" s="7">
        <f t="shared" si="16"/>
        <v>6.5872626530293299E-2</v>
      </c>
      <c r="U178" s="7">
        <f t="shared" si="17"/>
        <v>0.61723560587810478</v>
      </c>
      <c r="V178" s="7">
        <f t="shared" si="14"/>
        <v>0.10484639931213731</v>
      </c>
      <c r="W178" s="7">
        <f t="shared" si="15"/>
        <v>2.0101692617766919E-3</v>
      </c>
      <c r="X178" t="s">
        <v>189</v>
      </c>
      <c r="Y178" t="s">
        <v>190</v>
      </c>
      <c r="Z178" t="s">
        <v>191</v>
      </c>
      <c r="AA178" t="s">
        <v>371</v>
      </c>
      <c r="AB178" t="s">
        <v>92</v>
      </c>
    </row>
    <row r="179" spans="1:28">
      <c r="A179" t="s">
        <v>181</v>
      </c>
      <c r="B179" t="s">
        <v>372</v>
      </c>
      <c r="C179" t="s">
        <v>183</v>
      </c>
      <c r="D179" t="s">
        <v>195</v>
      </c>
      <c r="E179" t="s">
        <v>96</v>
      </c>
      <c r="F179">
        <v>60</v>
      </c>
      <c r="G179" t="s">
        <v>185</v>
      </c>
      <c r="H179" t="s">
        <v>84</v>
      </c>
      <c r="I179" t="s">
        <v>186</v>
      </c>
      <c r="J179" t="s">
        <v>187</v>
      </c>
      <c r="K179" t="s">
        <v>29</v>
      </c>
      <c r="L179" t="s">
        <v>337</v>
      </c>
      <c r="M179" t="s">
        <v>188</v>
      </c>
      <c r="N179" s="7">
        <v>6.2416504237752131</v>
      </c>
      <c r="O179" s="7">
        <v>3.2936313265146649E-2</v>
      </c>
      <c r="P179" s="7">
        <v>4</v>
      </c>
      <c r="Q179" s="7">
        <v>6.5834184533847298</v>
      </c>
      <c r="R179" s="7">
        <v>0.3779123869385238</v>
      </c>
      <c r="S179" s="7">
        <v>4</v>
      </c>
      <c r="T179" s="7">
        <f t="shared" si="16"/>
        <v>6.5872626530293299E-2</v>
      </c>
      <c r="U179" s="7">
        <f t="shared" si="17"/>
        <v>0.75582477387704761</v>
      </c>
      <c r="V179" s="7">
        <f t="shared" si="14"/>
        <v>5.3309493824116261E-2</v>
      </c>
      <c r="W179" s="7">
        <f t="shared" si="15"/>
        <v>3.3230266917729013E-3</v>
      </c>
      <c r="X179" t="s">
        <v>189</v>
      </c>
      <c r="Y179" t="s">
        <v>190</v>
      </c>
      <c r="Z179" t="s">
        <v>191</v>
      </c>
      <c r="AA179" t="s">
        <v>371</v>
      </c>
      <c r="AB179" t="s">
        <v>92</v>
      </c>
    </row>
    <row r="180" spans="1:28">
      <c r="A180" t="s">
        <v>373</v>
      </c>
      <c r="B180" t="s">
        <v>374</v>
      </c>
      <c r="C180" t="s">
        <v>375</v>
      </c>
      <c r="E180" t="s">
        <v>96</v>
      </c>
      <c r="F180">
        <v>3</v>
      </c>
      <c r="G180" t="s">
        <v>185</v>
      </c>
      <c r="H180" t="s">
        <v>376</v>
      </c>
      <c r="I180" t="s">
        <v>377</v>
      </c>
      <c r="J180" t="s">
        <v>378</v>
      </c>
      <c r="K180" t="s">
        <v>149</v>
      </c>
      <c r="L180" t="s">
        <v>40</v>
      </c>
      <c r="M180" t="s">
        <v>188</v>
      </c>
      <c r="N180" s="7">
        <v>16.59</v>
      </c>
      <c r="O180" s="7"/>
      <c r="P180" s="7">
        <v>3</v>
      </c>
      <c r="Q180" s="7">
        <v>17.03</v>
      </c>
      <c r="R180" s="7"/>
      <c r="S180" s="7">
        <v>3</v>
      </c>
      <c r="T180" s="7">
        <v>0.95</v>
      </c>
      <c r="U180" s="7">
        <v>1.06</v>
      </c>
      <c r="V180" s="7">
        <f t="shared" si="14"/>
        <v>2.6176390472243877E-2</v>
      </c>
      <c r="W180" s="7">
        <f t="shared" si="15"/>
        <v>2.3844339558637918E-3</v>
      </c>
      <c r="X180" t="s">
        <v>379</v>
      </c>
      <c r="Y180" t="s">
        <v>380</v>
      </c>
      <c r="Z180" t="s">
        <v>381</v>
      </c>
      <c r="AA180" t="s">
        <v>382</v>
      </c>
      <c r="AB180" t="s">
        <v>92</v>
      </c>
    </row>
    <row r="181" spans="1:28">
      <c r="A181" t="s">
        <v>373</v>
      </c>
      <c r="B181" t="s">
        <v>383</v>
      </c>
      <c r="C181" t="s">
        <v>375</v>
      </c>
      <c r="E181" t="s">
        <v>96</v>
      </c>
      <c r="F181">
        <v>6</v>
      </c>
      <c r="G181" t="s">
        <v>185</v>
      </c>
      <c r="H181" t="s">
        <v>376</v>
      </c>
      <c r="I181" t="s">
        <v>377</v>
      </c>
      <c r="J181" t="s">
        <v>378</v>
      </c>
      <c r="K181" t="s">
        <v>149</v>
      </c>
      <c r="L181" t="s">
        <v>40</v>
      </c>
      <c r="M181" t="s">
        <v>188</v>
      </c>
      <c r="N181" s="7">
        <v>16.59</v>
      </c>
      <c r="O181" s="7"/>
      <c r="P181" s="7">
        <v>3</v>
      </c>
      <c r="Q181" s="7">
        <v>17.170000000000002</v>
      </c>
      <c r="R181" s="7"/>
      <c r="S181" s="7">
        <v>3</v>
      </c>
      <c r="T181" s="7">
        <v>0.95</v>
      </c>
      <c r="U181" s="7">
        <v>0.99</v>
      </c>
      <c r="V181" s="7">
        <f t="shared" si="14"/>
        <v>3.4363570707031242E-2</v>
      </c>
      <c r="W181" s="7">
        <f t="shared" si="15"/>
        <v>2.201208272388211E-3</v>
      </c>
      <c r="X181" t="s">
        <v>379</v>
      </c>
      <c r="Y181" t="s">
        <v>380</v>
      </c>
      <c r="Z181" t="s">
        <v>381</v>
      </c>
      <c r="AA181" t="s">
        <v>382</v>
      </c>
      <c r="AB181" t="s">
        <v>92</v>
      </c>
    </row>
    <row r="182" spans="1:28">
      <c r="A182" t="s">
        <v>373</v>
      </c>
      <c r="B182" t="s">
        <v>384</v>
      </c>
      <c r="C182" t="s">
        <v>375</v>
      </c>
      <c r="E182" t="s">
        <v>96</v>
      </c>
      <c r="F182">
        <v>3</v>
      </c>
      <c r="G182" t="s">
        <v>185</v>
      </c>
      <c r="H182" t="s">
        <v>376</v>
      </c>
      <c r="I182" t="s">
        <v>377</v>
      </c>
      <c r="J182" t="s">
        <v>378</v>
      </c>
      <c r="K182" t="s">
        <v>149</v>
      </c>
      <c r="L182" t="s">
        <v>30</v>
      </c>
      <c r="M182" t="s">
        <v>188</v>
      </c>
      <c r="N182" s="7">
        <v>8.0399999999999991</v>
      </c>
      <c r="O182" s="7"/>
      <c r="P182" s="7">
        <v>3</v>
      </c>
      <c r="Q182" s="7">
        <v>8.9600000000000009</v>
      </c>
      <c r="R182" s="7"/>
      <c r="S182" s="7">
        <v>3</v>
      </c>
      <c r="T182" s="7">
        <v>0.9</v>
      </c>
      <c r="U182" s="7">
        <v>1.04</v>
      </c>
      <c r="V182" s="7">
        <f t="shared" si="14"/>
        <v>0.10834114379596434</v>
      </c>
      <c r="W182" s="7">
        <f t="shared" si="15"/>
        <v>8.667735653517368E-3</v>
      </c>
      <c r="X182" t="s">
        <v>379</v>
      </c>
      <c r="Y182" t="s">
        <v>380</v>
      </c>
      <c r="Z182" t="s">
        <v>381</v>
      </c>
      <c r="AA182" t="s">
        <v>385</v>
      </c>
      <c r="AB182" t="s">
        <v>92</v>
      </c>
    </row>
    <row r="183" spans="1:28">
      <c r="A183" t="s">
        <v>373</v>
      </c>
      <c r="B183" t="s">
        <v>386</v>
      </c>
      <c r="C183" t="s">
        <v>375</v>
      </c>
      <c r="E183" t="s">
        <v>96</v>
      </c>
      <c r="F183">
        <v>6</v>
      </c>
      <c r="G183" t="s">
        <v>185</v>
      </c>
      <c r="H183" t="s">
        <v>376</v>
      </c>
      <c r="I183" t="s">
        <v>377</v>
      </c>
      <c r="J183" t="s">
        <v>378</v>
      </c>
      <c r="K183" t="s">
        <v>149</v>
      </c>
      <c r="L183" t="s">
        <v>30</v>
      </c>
      <c r="M183" t="s">
        <v>188</v>
      </c>
      <c r="N183" s="7">
        <v>8.0399999999999991</v>
      </c>
      <c r="O183" s="7"/>
      <c r="P183" s="7">
        <v>3</v>
      </c>
      <c r="Q183" s="7">
        <v>10.36</v>
      </c>
      <c r="R183" s="7"/>
      <c r="S183" s="7">
        <v>3</v>
      </c>
      <c r="T183" s="7">
        <v>0.9</v>
      </c>
      <c r="U183" s="7">
        <v>0.93</v>
      </c>
      <c r="V183" s="7">
        <f t="shared" si="14"/>
        <v>0.25352315364046202</v>
      </c>
      <c r="W183" s="7">
        <f t="shared" si="15"/>
        <v>6.8629950849013171E-3</v>
      </c>
      <c r="X183" t="s">
        <v>379</v>
      </c>
      <c r="Y183" t="s">
        <v>380</v>
      </c>
      <c r="Z183" t="s">
        <v>381</v>
      </c>
      <c r="AA183" t="s">
        <v>385</v>
      </c>
      <c r="AB183" t="s">
        <v>92</v>
      </c>
    </row>
    <row r="184" spans="1:28">
      <c r="A184" t="s">
        <v>373</v>
      </c>
      <c r="B184" t="s">
        <v>387</v>
      </c>
      <c r="C184" t="s">
        <v>375</v>
      </c>
      <c r="E184" t="s">
        <v>96</v>
      </c>
      <c r="F184">
        <v>3</v>
      </c>
      <c r="G184" t="s">
        <v>185</v>
      </c>
      <c r="H184" t="s">
        <v>376</v>
      </c>
      <c r="I184" t="s">
        <v>377</v>
      </c>
      <c r="J184" t="s">
        <v>378</v>
      </c>
      <c r="K184" t="s">
        <v>149</v>
      </c>
      <c r="L184" t="s">
        <v>337</v>
      </c>
      <c r="M184" t="s">
        <v>188</v>
      </c>
      <c r="N184" s="7">
        <v>5.04</v>
      </c>
      <c r="O184" s="7"/>
      <c r="P184" s="7">
        <v>3</v>
      </c>
      <c r="Q184" s="7">
        <v>5.51</v>
      </c>
      <c r="R184" s="7"/>
      <c r="S184" s="7">
        <v>3</v>
      </c>
      <c r="T184" s="7">
        <v>0.14000000000000001</v>
      </c>
      <c r="U184" s="7">
        <v>0.161</v>
      </c>
      <c r="V184" s="7">
        <f t="shared" si="14"/>
        <v>8.9158541081545778E-2</v>
      </c>
      <c r="W184" s="7">
        <f t="shared" si="15"/>
        <v>5.4179666828523573E-4</v>
      </c>
      <c r="X184" t="s">
        <v>379</v>
      </c>
      <c r="Y184" t="s">
        <v>380</v>
      </c>
      <c r="Z184" t="s">
        <v>381</v>
      </c>
      <c r="AA184" t="s">
        <v>388</v>
      </c>
      <c r="AB184" t="s">
        <v>92</v>
      </c>
    </row>
    <row r="185" spans="1:28">
      <c r="A185" t="s">
        <v>373</v>
      </c>
      <c r="B185" t="s">
        <v>389</v>
      </c>
      <c r="C185" t="s">
        <v>375</v>
      </c>
      <c r="E185" t="s">
        <v>96</v>
      </c>
      <c r="F185">
        <v>6</v>
      </c>
      <c r="G185" t="s">
        <v>185</v>
      </c>
      <c r="H185" t="s">
        <v>376</v>
      </c>
      <c r="I185" t="s">
        <v>377</v>
      </c>
      <c r="J185" t="s">
        <v>378</v>
      </c>
      <c r="K185" t="s">
        <v>149</v>
      </c>
      <c r="L185" t="s">
        <v>337</v>
      </c>
      <c r="M185" t="s">
        <v>188</v>
      </c>
      <c r="N185" s="7">
        <v>5.04</v>
      </c>
      <c r="O185" s="7"/>
      <c r="P185" s="7">
        <v>3</v>
      </c>
      <c r="Q185" s="7">
        <v>5.74</v>
      </c>
      <c r="R185" s="7"/>
      <c r="S185" s="7">
        <v>3</v>
      </c>
      <c r="T185" s="7">
        <v>0.14000000000000001</v>
      </c>
      <c r="U185" s="7">
        <v>0.73</v>
      </c>
      <c r="V185" s="7">
        <f t="shared" si="14"/>
        <v>0.13005312824819776</v>
      </c>
      <c r="W185" s="7">
        <f t="shared" si="15"/>
        <v>5.6485908013957252E-3</v>
      </c>
      <c r="X185" t="s">
        <v>379</v>
      </c>
      <c r="Y185" t="s">
        <v>380</v>
      </c>
      <c r="Z185" t="s">
        <v>381</v>
      </c>
      <c r="AA185" t="s">
        <v>388</v>
      </c>
      <c r="AB185" t="s">
        <v>92</v>
      </c>
    </row>
    <row r="186" spans="1:28">
      <c r="A186" t="s">
        <v>373</v>
      </c>
      <c r="B186" t="s">
        <v>390</v>
      </c>
      <c r="C186" t="s">
        <v>375</v>
      </c>
      <c r="E186" t="s">
        <v>96</v>
      </c>
      <c r="F186">
        <v>3</v>
      </c>
      <c r="G186" t="s">
        <v>185</v>
      </c>
      <c r="H186" t="s">
        <v>376</v>
      </c>
      <c r="I186" t="s">
        <v>377</v>
      </c>
      <c r="J186" t="s">
        <v>378</v>
      </c>
      <c r="K186" t="s">
        <v>29</v>
      </c>
      <c r="L186" t="s">
        <v>40</v>
      </c>
      <c r="M186" t="s">
        <v>188</v>
      </c>
      <c r="N186" s="7">
        <v>18.190000000000001</v>
      </c>
      <c r="O186" s="7"/>
      <c r="P186" s="7">
        <v>3</v>
      </c>
      <c r="Q186" s="7">
        <v>18.27</v>
      </c>
      <c r="R186" s="7"/>
      <c r="S186" s="7">
        <v>3</v>
      </c>
      <c r="T186" s="7">
        <v>0.11</v>
      </c>
      <c r="U186" s="7">
        <v>0.18</v>
      </c>
      <c r="V186" s="7">
        <f t="shared" si="14"/>
        <v>4.3883778598843839E-3</v>
      </c>
      <c r="W186" s="7">
        <f t="shared" si="15"/>
        <v>4.4545251612466215E-5</v>
      </c>
      <c r="X186" t="s">
        <v>379</v>
      </c>
      <c r="Y186" t="s">
        <v>380</v>
      </c>
      <c r="Z186" t="s">
        <v>381</v>
      </c>
      <c r="AA186" t="s">
        <v>391</v>
      </c>
      <c r="AB186" t="s">
        <v>92</v>
      </c>
    </row>
    <row r="187" spans="1:28">
      <c r="A187" t="s">
        <v>373</v>
      </c>
      <c r="B187" t="s">
        <v>392</v>
      </c>
      <c r="C187" t="s">
        <v>375</v>
      </c>
      <c r="E187" t="s">
        <v>96</v>
      </c>
      <c r="F187">
        <v>6</v>
      </c>
      <c r="G187" t="s">
        <v>185</v>
      </c>
      <c r="H187" t="s">
        <v>376</v>
      </c>
      <c r="I187" t="s">
        <v>377</v>
      </c>
      <c r="J187" t="s">
        <v>378</v>
      </c>
      <c r="K187" t="s">
        <v>29</v>
      </c>
      <c r="L187" t="s">
        <v>40</v>
      </c>
      <c r="M187" t="s">
        <v>188</v>
      </c>
      <c r="N187" s="7">
        <v>18.190000000000001</v>
      </c>
      <c r="O187" s="7"/>
      <c r="P187" s="7">
        <v>3</v>
      </c>
      <c r="Q187" s="7">
        <v>18.34</v>
      </c>
      <c r="R187" s="7"/>
      <c r="S187" s="7">
        <v>3</v>
      </c>
      <c r="T187" s="7">
        <v>0.11</v>
      </c>
      <c r="U187" s="7">
        <v>0.15</v>
      </c>
      <c r="V187" s="7">
        <f t="shared" si="14"/>
        <v>8.2124742982879247E-3</v>
      </c>
      <c r="W187" s="7">
        <f t="shared" si="15"/>
        <v>3.4487690025536788E-5</v>
      </c>
      <c r="X187" t="s">
        <v>379</v>
      </c>
      <c r="Y187" t="s">
        <v>380</v>
      </c>
      <c r="Z187" t="s">
        <v>381</v>
      </c>
      <c r="AA187" t="s">
        <v>391</v>
      </c>
      <c r="AB187" t="s">
        <v>92</v>
      </c>
    </row>
    <row r="188" spans="1:28">
      <c r="A188" t="s">
        <v>373</v>
      </c>
      <c r="B188" t="s">
        <v>393</v>
      </c>
      <c r="C188" t="s">
        <v>375</v>
      </c>
      <c r="E188" t="s">
        <v>96</v>
      </c>
      <c r="F188">
        <v>3</v>
      </c>
      <c r="G188" t="s">
        <v>185</v>
      </c>
      <c r="H188" t="s">
        <v>376</v>
      </c>
      <c r="I188" t="s">
        <v>377</v>
      </c>
      <c r="J188" t="s">
        <v>378</v>
      </c>
      <c r="K188" t="s">
        <v>29</v>
      </c>
      <c r="L188" t="s">
        <v>30</v>
      </c>
      <c r="M188" t="s">
        <v>188</v>
      </c>
      <c r="N188" s="7">
        <v>6.82</v>
      </c>
      <c r="O188" s="7"/>
      <c r="P188" s="7">
        <v>3</v>
      </c>
      <c r="Q188" s="7">
        <v>7.47</v>
      </c>
      <c r="R188" s="7"/>
      <c r="S188" s="7">
        <v>3</v>
      </c>
      <c r="T188" s="7">
        <v>0.8</v>
      </c>
      <c r="U188" s="7">
        <v>0.21</v>
      </c>
      <c r="V188" s="7">
        <f t="shared" si="14"/>
        <v>9.1035527289355128E-2</v>
      </c>
      <c r="W188" s="7">
        <f t="shared" si="15"/>
        <v>4.8500271405013343E-3</v>
      </c>
      <c r="X188" t="s">
        <v>379</v>
      </c>
      <c r="Y188" t="s">
        <v>380</v>
      </c>
      <c r="Z188" t="s">
        <v>381</v>
      </c>
      <c r="AA188" t="s">
        <v>394</v>
      </c>
      <c r="AB188" t="s">
        <v>92</v>
      </c>
    </row>
    <row r="189" spans="1:28">
      <c r="A189" t="s">
        <v>373</v>
      </c>
      <c r="B189" t="s">
        <v>395</v>
      </c>
      <c r="C189" t="s">
        <v>375</v>
      </c>
      <c r="E189" t="s">
        <v>96</v>
      </c>
      <c r="F189">
        <v>6</v>
      </c>
      <c r="G189" t="s">
        <v>185</v>
      </c>
      <c r="H189" t="s">
        <v>376</v>
      </c>
      <c r="I189" t="s">
        <v>377</v>
      </c>
      <c r="J189" t="s">
        <v>378</v>
      </c>
      <c r="K189" t="s">
        <v>29</v>
      </c>
      <c r="L189" t="s">
        <v>30</v>
      </c>
      <c r="M189" t="s">
        <v>188</v>
      </c>
      <c r="N189" s="7">
        <v>6.82</v>
      </c>
      <c r="O189" s="7"/>
      <c r="P189" s="7">
        <v>3</v>
      </c>
      <c r="Q189" s="7">
        <v>8.65</v>
      </c>
      <c r="R189" s="7"/>
      <c r="S189" s="7">
        <v>3</v>
      </c>
      <c r="T189" s="7">
        <v>0.8</v>
      </c>
      <c r="U189" s="7">
        <v>0.8</v>
      </c>
      <c r="V189" s="7">
        <f t="shared" si="14"/>
        <v>0.23769984908841721</v>
      </c>
      <c r="W189" s="7">
        <f t="shared" si="15"/>
        <v>7.4377827954048605E-3</v>
      </c>
      <c r="X189" t="s">
        <v>379</v>
      </c>
      <c r="Y189" t="s">
        <v>380</v>
      </c>
      <c r="Z189" t="s">
        <v>381</v>
      </c>
      <c r="AA189" t="s">
        <v>394</v>
      </c>
      <c r="AB189" t="s">
        <v>92</v>
      </c>
    </row>
    <row r="190" spans="1:28">
      <c r="A190" t="s">
        <v>373</v>
      </c>
      <c r="B190" t="s">
        <v>396</v>
      </c>
      <c r="C190" t="s">
        <v>375</v>
      </c>
      <c r="E190" t="s">
        <v>96</v>
      </c>
      <c r="F190">
        <v>3</v>
      </c>
      <c r="G190" t="s">
        <v>185</v>
      </c>
      <c r="H190" t="s">
        <v>376</v>
      </c>
      <c r="I190" t="s">
        <v>377</v>
      </c>
      <c r="J190" t="s">
        <v>378</v>
      </c>
      <c r="K190" t="s">
        <v>29</v>
      </c>
      <c r="L190" t="s">
        <v>337</v>
      </c>
      <c r="M190" t="s">
        <v>188</v>
      </c>
      <c r="N190" s="7">
        <v>3.32</v>
      </c>
      <c r="O190" s="7"/>
      <c r="P190" s="7">
        <v>3</v>
      </c>
      <c r="Q190" s="7">
        <v>3.46</v>
      </c>
      <c r="R190" s="7"/>
      <c r="S190" s="7">
        <v>3</v>
      </c>
      <c r="T190" s="7">
        <v>0.09</v>
      </c>
      <c r="U190" s="7">
        <v>0.09</v>
      </c>
      <c r="V190" s="7">
        <f t="shared" si="14"/>
        <v>4.1303806141235792E-2</v>
      </c>
      <c r="W190" s="7">
        <f t="shared" si="15"/>
        <v>4.704894897602072E-4</v>
      </c>
      <c r="X190" t="s">
        <v>379</v>
      </c>
      <c r="Y190" t="s">
        <v>380</v>
      </c>
      <c r="Z190" t="s">
        <v>381</v>
      </c>
      <c r="AA190" t="s">
        <v>397</v>
      </c>
      <c r="AB190" t="s">
        <v>92</v>
      </c>
    </row>
    <row r="191" spans="1:28">
      <c r="A191" t="s">
        <v>373</v>
      </c>
      <c r="B191" t="s">
        <v>398</v>
      </c>
      <c r="C191" t="s">
        <v>375</v>
      </c>
      <c r="E191" t="s">
        <v>96</v>
      </c>
      <c r="F191">
        <v>6</v>
      </c>
      <c r="G191" t="s">
        <v>185</v>
      </c>
      <c r="H191" t="s">
        <v>376</v>
      </c>
      <c r="I191" t="s">
        <v>377</v>
      </c>
      <c r="J191" t="s">
        <v>378</v>
      </c>
      <c r="K191" t="s">
        <v>29</v>
      </c>
      <c r="L191" t="s">
        <v>337</v>
      </c>
      <c r="M191" t="s">
        <v>188</v>
      </c>
      <c r="N191" s="7">
        <v>3.32</v>
      </c>
      <c r="O191" s="7"/>
      <c r="P191" s="7">
        <v>3</v>
      </c>
      <c r="Q191" s="7">
        <v>3.85</v>
      </c>
      <c r="R191" s="7"/>
      <c r="S191" s="7">
        <v>3</v>
      </c>
      <c r="T191" s="7">
        <v>0.09</v>
      </c>
      <c r="U191" s="7">
        <v>1.01</v>
      </c>
      <c r="V191" s="7">
        <f t="shared" si="14"/>
        <v>0.14810836537129568</v>
      </c>
      <c r="W191" s="7">
        <f t="shared" si="15"/>
        <v>2.3185305420116986E-2</v>
      </c>
      <c r="X191" t="s">
        <v>379</v>
      </c>
      <c r="Y191" t="s">
        <v>380</v>
      </c>
      <c r="Z191" t="s">
        <v>381</v>
      </c>
      <c r="AA191" t="s">
        <v>397</v>
      </c>
      <c r="AB191" t="s">
        <v>92</v>
      </c>
    </row>
    <row r="192" spans="1:28">
      <c r="A192" t="s">
        <v>373</v>
      </c>
      <c r="B192" t="s">
        <v>399</v>
      </c>
      <c r="C192" t="s">
        <v>375</v>
      </c>
      <c r="E192" t="s">
        <v>96</v>
      </c>
      <c r="F192">
        <v>3</v>
      </c>
      <c r="G192" t="s">
        <v>185</v>
      </c>
      <c r="H192" t="s">
        <v>376</v>
      </c>
      <c r="I192" t="s">
        <v>377</v>
      </c>
      <c r="J192" t="s">
        <v>400</v>
      </c>
      <c r="K192" t="s">
        <v>149</v>
      </c>
      <c r="L192" t="s">
        <v>40</v>
      </c>
      <c r="M192" t="s">
        <v>188</v>
      </c>
      <c r="N192" s="7">
        <v>13.28</v>
      </c>
      <c r="O192" s="7"/>
      <c r="P192" s="7">
        <v>3</v>
      </c>
      <c r="Q192" s="7">
        <v>14.65</v>
      </c>
      <c r="R192" s="7"/>
      <c r="S192" s="7">
        <v>3</v>
      </c>
      <c r="T192" s="7">
        <v>1.08</v>
      </c>
      <c r="U192" s="7">
        <v>0.93</v>
      </c>
      <c r="V192" s="7">
        <f t="shared" si="14"/>
        <v>9.8181191414788579E-2</v>
      </c>
      <c r="W192" s="7">
        <f t="shared" si="15"/>
        <v>3.5478903364576939E-3</v>
      </c>
      <c r="X192" t="s">
        <v>379</v>
      </c>
      <c r="Y192" t="s">
        <v>380</v>
      </c>
      <c r="Z192" t="s">
        <v>381</v>
      </c>
      <c r="AA192" t="s">
        <v>401</v>
      </c>
      <c r="AB192" t="s">
        <v>92</v>
      </c>
    </row>
    <row r="193" spans="1:28">
      <c r="A193" t="s">
        <v>373</v>
      </c>
      <c r="B193" t="s">
        <v>402</v>
      </c>
      <c r="C193" t="s">
        <v>375</v>
      </c>
      <c r="E193" t="s">
        <v>96</v>
      </c>
      <c r="F193">
        <v>6</v>
      </c>
      <c r="G193" t="s">
        <v>185</v>
      </c>
      <c r="H193" t="s">
        <v>376</v>
      </c>
      <c r="I193" t="s">
        <v>377</v>
      </c>
      <c r="J193" t="s">
        <v>400</v>
      </c>
      <c r="K193" t="s">
        <v>149</v>
      </c>
      <c r="L193" t="s">
        <v>40</v>
      </c>
      <c r="M193" t="s">
        <v>188</v>
      </c>
      <c r="N193" s="7">
        <v>13.28</v>
      </c>
      <c r="O193" s="7"/>
      <c r="P193" s="7">
        <v>3</v>
      </c>
      <c r="Q193" s="7">
        <v>15.96</v>
      </c>
      <c r="R193" s="7"/>
      <c r="S193" s="7">
        <v>3</v>
      </c>
      <c r="T193" s="7">
        <v>1.08</v>
      </c>
      <c r="U193" s="7">
        <v>1.04</v>
      </c>
      <c r="V193" s="7">
        <f t="shared" si="14"/>
        <v>0.18382644797337497</v>
      </c>
      <c r="W193" s="7">
        <f t="shared" si="15"/>
        <v>3.6200030332315864E-3</v>
      </c>
      <c r="X193" t="s">
        <v>379</v>
      </c>
      <c r="Y193" t="s">
        <v>380</v>
      </c>
      <c r="Z193" t="s">
        <v>381</v>
      </c>
      <c r="AA193" t="s">
        <v>401</v>
      </c>
      <c r="AB193" t="s">
        <v>92</v>
      </c>
    </row>
    <row r="194" spans="1:28">
      <c r="A194" t="s">
        <v>373</v>
      </c>
      <c r="B194" t="s">
        <v>403</v>
      </c>
      <c r="C194" t="s">
        <v>375</v>
      </c>
      <c r="E194" t="s">
        <v>96</v>
      </c>
      <c r="F194">
        <v>3</v>
      </c>
      <c r="G194" t="s">
        <v>185</v>
      </c>
      <c r="H194" t="s">
        <v>376</v>
      </c>
      <c r="I194" t="s">
        <v>377</v>
      </c>
      <c r="J194" t="s">
        <v>400</v>
      </c>
      <c r="K194" t="s">
        <v>149</v>
      </c>
      <c r="L194" t="s">
        <v>30</v>
      </c>
      <c r="M194" t="s">
        <v>188</v>
      </c>
      <c r="N194" s="7">
        <v>6.84</v>
      </c>
      <c r="O194" s="7"/>
      <c r="P194" s="7">
        <v>3</v>
      </c>
      <c r="Q194" s="7">
        <v>7.97</v>
      </c>
      <c r="R194" s="7"/>
      <c r="S194" s="7">
        <v>3</v>
      </c>
      <c r="T194" s="7">
        <v>1.07</v>
      </c>
      <c r="U194" s="7">
        <v>0.24</v>
      </c>
      <c r="V194" s="7">
        <f t="shared" ref="V194:V257" si="18">LN(Q194/N194)</f>
        <v>0.1528967611676646</v>
      </c>
      <c r="W194" s="7">
        <f t="shared" ref="W194:W257" si="19">(U194^2/(S194*Q194^2))+(T194^2/(P194*N194^2))</f>
        <v>8.4593309915481554E-3</v>
      </c>
      <c r="X194" t="s">
        <v>379</v>
      </c>
      <c r="Y194" t="s">
        <v>380</v>
      </c>
      <c r="Z194" t="s">
        <v>381</v>
      </c>
      <c r="AA194" t="s">
        <v>404</v>
      </c>
      <c r="AB194" t="s">
        <v>92</v>
      </c>
    </row>
    <row r="195" spans="1:28">
      <c r="A195" t="s">
        <v>373</v>
      </c>
      <c r="B195" t="s">
        <v>405</v>
      </c>
      <c r="C195" t="s">
        <v>375</v>
      </c>
      <c r="E195" t="s">
        <v>96</v>
      </c>
      <c r="F195">
        <v>6</v>
      </c>
      <c r="G195" t="s">
        <v>185</v>
      </c>
      <c r="H195" t="s">
        <v>376</v>
      </c>
      <c r="I195" t="s">
        <v>377</v>
      </c>
      <c r="J195" t="s">
        <v>400</v>
      </c>
      <c r="K195" t="s">
        <v>149</v>
      </c>
      <c r="L195" t="s">
        <v>30</v>
      </c>
      <c r="M195" t="s">
        <v>188</v>
      </c>
      <c r="N195" s="7">
        <v>6.84</v>
      </c>
      <c r="O195" s="7"/>
      <c r="P195" s="7">
        <v>3</v>
      </c>
      <c r="Q195" s="7">
        <v>9.64</v>
      </c>
      <c r="R195" s="7"/>
      <c r="S195" s="7">
        <v>3</v>
      </c>
      <c r="T195" s="7">
        <v>1.07</v>
      </c>
      <c r="U195" s="7">
        <v>1.03</v>
      </c>
      <c r="V195" s="7">
        <f t="shared" si="18"/>
        <v>0.34313337698799523</v>
      </c>
      <c r="W195" s="7">
        <f t="shared" si="19"/>
        <v>1.1962457871301126E-2</v>
      </c>
      <c r="X195" t="s">
        <v>379</v>
      </c>
      <c r="Y195" t="s">
        <v>380</v>
      </c>
      <c r="Z195" t="s">
        <v>381</v>
      </c>
      <c r="AA195" t="s">
        <v>404</v>
      </c>
      <c r="AB195" t="s">
        <v>92</v>
      </c>
    </row>
    <row r="196" spans="1:28">
      <c r="A196" t="s">
        <v>373</v>
      </c>
      <c r="B196" t="s">
        <v>406</v>
      </c>
      <c r="C196" t="s">
        <v>375</v>
      </c>
      <c r="E196" t="s">
        <v>96</v>
      </c>
      <c r="F196">
        <v>3</v>
      </c>
      <c r="G196" t="s">
        <v>185</v>
      </c>
      <c r="H196" t="s">
        <v>376</v>
      </c>
      <c r="I196" t="s">
        <v>377</v>
      </c>
      <c r="J196" t="s">
        <v>400</v>
      </c>
      <c r="K196" t="s">
        <v>149</v>
      </c>
      <c r="L196" t="s">
        <v>337</v>
      </c>
      <c r="M196" t="s">
        <v>188</v>
      </c>
      <c r="N196" s="7">
        <v>2.4500000000000002</v>
      </c>
      <c r="O196" s="7"/>
      <c r="P196" s="7">
        <v>3</v>
      </c>
      <c r="Q196" s="7">
        <v>3.17</v>
      </c>
      <c r="R196" s="7"/>
      <c r="S196" s="7">
        <v>3</v>
      </c>
      <c r="T196" s="7">
        <v>0.14000000000000001</v>
      </c>
      <c r="U196" s="7">
        <v>1.1499999999999999</v>
      </c>
      <c r="V196" s="7">
        <f t="shared" si="18"/>
        <v>0.25764356333255362</v>
      </c>
      <c r="W196" s="7">
        <f t="shared" si="19"/>
        <v>4.4957250202970055E-2</v>
      </c>
      <c r="X196" t="s">
        <v>379</v>
      </c>
      <c r="Y196" t="s">
        <v>380</v>
      </c>
      <c r="Z196" t="s">
        <v>381</v>
      </c>
      <c r="AA196" t="s">
        <v>407</v>
      </c>
      <c r="AB196" t="s">
        <v>92</v>
      </c>
    </row>
    <row r="197" spans="1:28">
      <c r="A197" t="s">
        <v>373</v>
      </c>
      <c r="B197" t="s">
        <v>408</v>
      </c>
      <c r="C197" t="s">
        <v>375</v>
      </c>
      <c r="E197" t="s">
        <v>96</v>
      </c>
      <c r="F197">
        <v>6</v>
      </c>
      <c r="G197" t="s">
        <v>185</v>
      </c>
      <c r="H197" t="s">
        <v>376</v>
      </c>
      <c r="I197" t="s">
        <v>377</v>
      </c>
      <c r="J197" t="s">
        <v>400</v>
      </c>
      <c r="K197" t="s">
        <v>149</v>
      </c>
      <c r="L197" t="s">
        <v>337</v>
      </c>
      <c r="M197" t="s">
        <v>188</v>
      </c>
      <c r="N197" s="7">
        <v>2.4500000000000002</v>
      </c>
      <c r="O197" s="7"/>
      <c r="P197" s="7">
        <v>3</v>
      </c>
      <c r="Q197" s="7">
        <v>3.95</v>
      </c>
      <c r="R197" s="7"/>
      <c r="S197" s="7">
        <v>3</v>
      </c>
      <c r="T197" s="7">
        <v>0.14000000000000001</v>
      </c>
      <c r="U197" s="7">
        <v>2.1800000000000002</v>
      </c>
      <c r="V197" s="7">
        <f t="shared" si="18"/>
        <v>0.47762755435639487</v>
      </c>
      <c r="W197" s="7">
        <f t="shared" si="19"/>
        <v>0.10261917296962048</v>
      </c>
      <c r="X197" t="s">
        <v>379</v>
      </c>
      <c r="Y197" t="s">
        <v>380</v>
      </c>
      <c r="Z197" t="s">
        <v>381</v>
      </c>
      <c r="AA197" t="s">
        <v>407</v>
      </c>
      <c r="AB197" t="s">
        <v>92</v>
      </c>
    </row>
    <row r="198" spans="1:28">
      <c r="A198" t="s">
        <v>373</v>
      </c>
      <c r="B198" t="s">
        <v>409</v>
      </c>
      <c r="C198" t="s">
        <v>375</v>
      </c>
      <c r="E198" t="s">
        <v>96</v>
      </c>
      <c r="F198">
        <v>3</v>
      </c>
      <c r="G198" t="s">
        <v>185</v>
      </c>
      <c r="H198" t="s">
        <v>376</v>
      </c>
      <c r="I198" t="s">
        <v>377</v>
      </c>
      <c r="J198" t="s">
        <v>400</v>
      </c>
      <c r="K198" t="s">
        <v>29</v>
      </c>
      <c r="L198" t="s">
        <v>40</v>
      </c>
      <c r="M198" t="s">
        <v>188</v>
      </c>
      <c r="N198" s="7">
        <v>15.15</v>
      </c>
      <c r="O198" s="7"/>
      <c r="P198" s="7">
        <v>3</v>
      </c>
      <c r="Q198" s="7">
        <v>16.309999999999999</v>
      </c>
      <c r="R198" s="7"/>
      <c r="S198" s="7">
        <v>3</v>
      </c>
      <c r="T198" s="7">
        <v>0.26</v>
      </c>
      <c r="U198" s="7">
        <v>0.1</v>
      </c>
      <c r="V198" s="7">
        <f t="shared" si="18"/>
        <v>7.3777884677544342E-2</v>
      </c>
      <c r="W198" s="7">
        <f t="shared" si="19"/>
        <v>1.1070540387662041E-4</v>
      </c>
      <c r="X198" t="s">
        <v>379</v>
      </c>
      <c r="Y198" t="s">
        <v>380</v>
      </c>
      <c r="Z198" t="s">
        <v>381</v>
      </c>
      <c r="AA198" t="s">
        <v>410</v>
      </c>
      <c r="AB198" t="s">
        <v>92</v>
      </c>
    </row>
    <row r="199" spans="1:28">
      <c r="A199" t="s">
        <v>373</v>
      </c>
      <c r="B199" t="s">
        <v>411</v>
      </c>
      <c r="C199" t="s">
        <v>375</v>
      </c>
      <c r="E199" t="s">
        <v>96</v>
      </c>
      <c r="F199">
        <v>6</v>
      </c>
      <c r="G199" t="s">
        <v>185</v>
      </c>
      <c r="H199" t="s">
        <v>376</v>
      </c>
      <c r="I199" t="s">
        <v>377</v>
      </c>
      <c r="J199" t="s">
        <v>400</v>
      </c>
      <c r="K199" t="s">
        <v>29</v>
      </c>
      <c r="L199" t="s">
        <v>40</v>
      </c>
      <c r="M199" t="s">
        <v>188</v>
      </c>
      <c r="N199" s="7">
        <v>15.15</v>
      </c>
      <c r="O199" s="7"/>
      <c r="P199" s="7">
        <v>3</v>
      </c>
      <c r="Q199" s="7">
        <v>18.100000000000001</v>
      </c>
      <c r="R199" s="7"/>
      <c r="S199" s="7">
        <v>3</v>
      </c>
      <c r="T199" s="7">
        <v>0.26</v>
      </c>
      <c r="U199" s="7">
        <v>0.72</v>
      </c>
      <c r="V199" s="7">
        <f t="shared" si="18"/>
        <v>0.17791140631640193</v>
      </c>
      <c r="W199" s="7">
        <f t="shared" si="19"/>
        <v>6.2563126083404585E-4</v>
      </c>
      <c r="X199" t="s">
        <v>379</v>
      </c>
      <c r="Y199" t="s">
        <v>380</v>
      </c>
      <c r="Z199" t="s">
        <v>381</v>
      </c>
      <c r="AA199" t="s">
        <v>410</v>
      </c>
      <c r="AB199" t="s">
        <v>92</v>
      </c>
    </row>
    <row r="200" spans="1:28">
      <c r="A200" t="s">
        <v>373</v>
      </c>
      <c r="B200" t="s">
        <v>412</v>
      </c>
      <c r="C200" t="s">
        <v>375</v>
      </c>
      <c r="E200" t="s">
        <v>96</v>
      </c>
      <c r="F200">
        <v>3</v>
      </c>
      <c r="G200" t="s">
        <v>185</v>
      </c>
      <c r="H200" t="s">
        <v>376</v>
      </c>
      <c r="I200" t="s">
        <v>377</v>
      </c>
      <c r="J200" t="s">
        <v>400</v>
      </c>
      <c r="K200" t="s">
        <v>29</v>
      </c>
      <c r="L200" t="s">
        <v>30</v>
      </c>
      <c r="M200" t="s">
        <v>188</v>
      </c>
      <c r="N200" s="7">
        <v>5.36</v>
      </c>
      <c r="O200" s="7"/>
      <c r="P200" s="7">
        <v>3</v>
      </c>
      <c r="Q200" s="7">
        <v>6.78</v>
      </c>
      <c r="R200" s="7"/>
      <c r="S200" s="7">
        <v>3</v>
      </c>
      <c r="T200" s="7">
        <v>0.65</v>
      </c>
      <c r="U200" s="7">
        <v>0.106</v>
      </c>
      <c r="V200" s="7">
        <f t="shared" si="18"/>
        <v>0.23501312686959361</v>
      </c>
      <c r="W200" s="7">
        <f t="shared" si="19"/>
        <v>4.9835052944383956E-3</v>
      </c>
      <c r="X200" t="s">
        <v>379</v>
      </c>
      <c r="Y200" t="s">
        <v>380</v>
      </c>
      <c r="Z200" t="s">
        <v>381</v>
      </c>
      <c r="AA200" t="s">
        <v>413</v>
      </c>
      <c r="AB200" t="s">
        <v>92</v>
      </c>
    </row>
    <row r="201" spans="1:28">
      <c r="A201" t="s">
        <v>373</v>
      </c>
      <c r="B201" t="s">
        <v>414</v>
      </c>
      <c r="C201" t="s">
        <v>375</v>
      </c>
      <c r="E201" t="s">
        <v>96</v>
      </c>
      <c r="F201">
        <v>6</v>
      </c>
      <c r="G201" t="s">
        <v>185</v>
      </c>
      <c r="H201" t="s">
        <v>376</v>
      </c>
      <c r="I201" t="s">
        <v>377</v>
      </c>
      <c r="J201" t="s">
        <v>400</v>
      </c>
      <c r="K201" t="s">
        <v>29</v>
      </c>
      <c r="L201" t="s">
        <v>30</v>
      </c>
      <c r="M201" t="s">
        <v>188</v>
      </c>
      <c r="N201" s="7">
        <v>5.36</v>
      </c>
      <c r="O201" s="7"/>
      <c r="P201" s="7">
        <v>3</v>
      </c>
      <c r="Q201" s="7">
        <v>8.43</v>
      </c>
      <c r="R201" s="7"/>
      <c r="S201" s="7">
        <v>3</v>
      </c>
      <c r="T201" s="7">
        <v>0.65</v>
      </c>
      <c r="U201" s="7">
        <v>0.85</v>
      </c>
      <c r="V201" s="7">
        <f t="shared" si="18"/>
        <v>0.45283279693105344</v>
      </c>
      <c r="W201" s="7">
        <f t="shared" si="19"/>
        <v>8.2909500530783369E-3</v>
      </c>
      <c r="X201" t="s">
        <v>379</v>
      </c>
      <c r="Y201" t="s">
        <v>380</v>
      </c>
      <c r="Z201" t="s">
        <v>381</v>
      </c>
      <c r="AA201" t="s">
        <v>413</v>
      </c>
      <c r="AB201" t="s">
        <v>92</v>
      </c>
    </row>
    <row r="202" spans="1:28">
      <c r="A202" t="s">
        <v>373</v>
      </c>
      <c r="B202" t="s">
        <v>415</v>
      </c>
      <c r="C202" t="s">
        <v>375</v>
      </c>
      <c r="E202" t="s">
        <v>96</v>
      </c>
      <c r="F202">
        <v>3</v>
      </c>
      <c r="G202" t="s">
        <v>185</v>
      </c>
      <c r="H202" t="s">
        <v>376</v>
      </c>
      <c r="I202" t="s">
        <v>377</v>
      </c>
      <c r="J202" t="s">
        <v>400</v>
      </c>
      <c r="K202" t="s">
        <v>29</v>
      </c>
      <c r="L202" t="s">
        <v>337</v>
      </c>
      <c r="M202" t="s">
        <v>188</v>
      </c>
      <c r="N202" s="7">
        <v>2.0699999999999998</v>
      </c>
      <c r="O202" s="7"/>
      <c r="P202" s="7">
        <v>3</v>
      </c>
      <c r="Q202" s="7">
        <v>2.52</v>
      </c>
      <c r="R202" s="7"/>
      <c r="S202" s="7">
        <v>3</v>
      </c>
      <c r="T202" s="7">
        <v>0.11</v>
      </c>
      <c r="U202" s="7">
        <v>7.0000000000000007E-2</v>
      </c>
      <c r="V202" s="7">
        <f t="shared" si="18"/>
        <v>0.1967102942460543</v>
      </c>
      <c r="W202" s="7">
        <f t="shared" si="19"/>
        <v>1.1984916022933249E-3</v>
      </c>
      <c r="X202" t="s">
        <v>379</v>
      </c>
      <c r="Y202" t="s">
        <v>380</v>
      </c>
      <c r="Z202" t="s">
        <v>381</v>
      </c>
      <c r="AA202" t="s">
        <v>416</v>
      </c>
      <c r="AB202" t="s">
        <v>92</v>
      </c>
    </row>
    <row r="203" spans="1:28">
      <c r="A203" t="s">
        <v>373</v>
      </c>
      <c r="B203" t="s">
        <v>417</v>
      </c>
      <c r="C203" t="s">
        <v>375</v>
      </c>
      <c r="E203" t="s">
        <v>96</v>
      </c>
      <c r="F203">
        <v>6</v>
      </c>
      <c r="G203" t="s">
        <v>185</v>
      </c>
      <c r="H203" t="s">
        <v>376</v>
      </c>
      <c r="I203" t="s">
        <v>377</v>
      </c>
      <c r="J203" t="s">
        <v>400</v>
      </c>
      <c r="K203" t="s">
        <v>29</v>
      </c>
      <c r="L203" t="s">
        <v>337</v>
      </c>
      <c r="M203" t="s">
        <v>188</v>
      </c>
      <c r="N203" s="7">
        <v>2.0699999999999998</v>
      </c>
      <c r="O203" s="7"/>
      <c r="P203" s="7">
        <v>3</v>
      </c>
      <c r="Q203" s="7">
        <v>3.11</v>
      </c>
      <c r="R203" s="7"/>
      <c r="S203" s="7">
        <v>3</v>
      </c>
      <c r="T203" s="7">
        <v>0.11</v>
      </c>
      <c r="U203" s="7">
        <v>0.81</v>
      </c>
      <c r="V203" s="7">
        <f t="shared" si="18"/>
        <v>0.40707411891386508</v>
      </c>
      <c r="W203" s="7">
        <f t="shared" si="19"/>
        <v>2.3552718704871651E-2</v>
      </c>
      <c r="X203" t="s">
        <v>379</v>
      </c>
      <c r="Y203" t="s">
        <v>380</v>
      </c>
      <c r="Z203" t="s">
        <v>381</v>
      </c>
      <c r="AA203" t="s">
        <v>416</v>
      </c>
      <c r="AB203" t="s">
        <v>92</v>
      </c>
    </row>
    <row r="204" spans="1:28">
      <c r="A204" t="s">
        <v>418</v>
      </c>
      <c r="B204" t="s">
        <v>419</v>
      </c>
      <c r="C204" t="s">
        <v>420</v>
      </c>
      <c r="E204" t="s">
        <v>421</v>
      </c>
      <c r="F204">
        <v>150</v>
      </c>
      <c r="G204" t="s">
        <v>83</v>
      </c>
      <c r="H204" t="s">
        <v>84</v>
      </c>
      <c r="I204" t="s">
        <v>85</v>
      </c>
      <c r="J204" t="s">
        <v>422</v>
      </c>
      <c r="K204" t="s">
        <v>149</v>
      </c>
      <c r="L204" t="s">
        <v>42</v>
      </c>
      <c r="M204" t="s">
        <v>423</v>
      </c>
      <c r="N204" s="7">
        <v>1.6</v>
      </c>
      <c r="O204" s="7"/>
      <c r="P204" s="7">
        <v>4</v>
      </c>
      <c r="Q204" s="7">
        <v>1.9</v>
      </c>
      <c r="R204" s="7"/>
      <c r="S204" s="7">
        <v>4</v>
      </c>
      <c r="T204" s="7">
        <v>0.1</v>
      </c>
      <c r="U204" s="7">
        <v>0.1</v>
      </c>
      <c r="V204" s="7">
        <f t="shared" si="18"/>
        <v>0.17185025692665903</v>
      </c>
      <c r="W204" s="7">
        <f t="shared" si="19"/>
        <v>1.6690832756232688E-3</v>
      </c>
      <c r="X204" t="s">
        <v>424</v>
      </c>
      <c r="Y204" t="s">
        <v>380</v>
      </c>
      <c r="Z204" t="s">
        <v>381</v>
      </c>
      <c r="AA204" t="s">
        <v>425</v>
      </c>
      <c r="AB204" t="s">
        <v>92</v>
      </c>
    </row>
    <row r="205" spans="1:28">
      <c r="A205" t="s">
        <v>418</v>
      </c>
      <c r="B205" t="s">
        <v>426</v>
      </c>
      <c r="C205" t="s">
        <v>420</v>
      </c>
      <c r="E205" t="s">
        <v>421</v>
      </c>
      <c r="F205">
        <v>150</v>
      </c>
      <c r="G205" t="s">
        <v>83</v>
      </c>
      <c r="H205" t="s">
        <v>84</v>
      </c>
      <c r="I205" t="s">
        <v>85</v>
      </c>
      <c r="J205" t="s">
        <v>422</v>
      </c>
      <c r="K205" t="s">
        <v>149</v>
      </c>
      <c r="L205" t="s">
        <v>53</v>
      </c>
      <c r="M205" t="s">
        <v>423</v>
      </c>
      <c r="N205" s="7">
        <v>0.3</v>
      </c>
      <c r="O205" s="7"/>
      <c r="P205" s="7">
        <v>4</v>
      </c>
      <c r="Q205" s="7">
        <v>0.5</v>
      </c>
      <c r="R205" s="7"/>
      <c r="S205" s="7">
        <v>4</v>
      </c>
      <c r="T205" s="7">
        <v>0.1</v>
      </c>
      <c r="U205" s="7">
        <v>0.1</v>
      </c>
      <c r="V205" s="7">
        <f t="shared" si="18"/>
        <v>0.51082562376599072</v>
      </c>
      <c r="W205" s="7">
        <f t="shared" si="19"/>
        <v>3.7777777777777785E-2</v>
      </c>
      <c r="X205" t="s">
        <v>424</v>
      </c>
      <c r="Y205" t="s">
        <v>380</v>
      </c>
      <c r="Z205" t="s">
        <v>381</v>
      </c>
      <c r="AA205" t="s">
        <v>427</v>
      </c>
      <c r="AB205" t="s">
        <v>92</v>
      </c>
    </row>
    <row r="206" spans="1:28">
      <c r="A206" t="s">
        <v>418</v>
      </c>
      <c r="B206" t="s">
        <v>428</v>
      </c>
      <c r="C206" t="s">
        <v>420</v>
      </c>
      <c r="E206" t="s">
        <v>421</v>
      </c>
      <c r="F206">
        <v>150</v>
      </c>
      <c r="G206" t="s">
        <v>83</v>
      </c>
      <c r="H206" t="s">
        <v>84</v>
      </c>
      <c r="I206" t="s">
        <v>85</v>
      </c>
      <c r="J206" t="s">
        <v>422</v>
      </c>
      <c r="K206" t="s">
        <v>149</v>
      </c>
      <c r="L206" t="s">
        <v>40</v>
      </c>
      <c r="M206" t="s">
        <v>423</v>
      </c>
      <c r="N206" s="7">
        <v>0.4</v>
      </c>
      <c r="O206" s="7"/>
      <c r="P206" s="7">
        <v>4</v>
      </c>
      <c r="Q206" s="7">
        <v>0.6</v>
      </c>
      <c r="R206" s="7"/>
      <c r="S206" s="7">
        <v>4</v>
      </c>
      <c r="T206" s="7">
        <v>0.1</v>
      </c>
      <c r="U206" s="7">
        <v>0.1</v>
      </c>
      <c r="V206" s="7">
        <f t="shared" si="18"/>
        <v>0.40546510810816422</v>
      </c>
      <c r="W206" s="7">
        <f t="shared" si="19"/>
        <v>2.2569444444444448E-2</v>
      </c>
      <c r="X206" t="s">
        <v>424</v>
      </c>
      <c r="Y206" t="s">
        <v>380</v>
      </c>
      <c r="Z206" t="s">
        <v>381</v>
      </c>
      <c r="AA206" t="s">
        <v>429</v>
      </c>
      <c r="AB206" t="s">
        <v>92</v>
      </c>
    </row>
    <row r="207" spans="1:28">
      <c r="A207" t="s">
        <v>418</v>
      </c>
      <c r="B207" t="s">
        <v>430</v>
      </c>
      <c r="C207" t="s">
        <v>420</v>
      </c>
      <c r="E207" t="s">
        <v>421</v>
      </c>
      <c r="F207">
        <v>300</v>
      </c>
      <c r="G207" t="s">
        <v>83</v>
      </c>
      <c r="H207" t="s">
        <v>84</v>
      </c>
      <c r="I207" t="s">
        <v>85</v>
      </c>
      <c r="J207" t="s">
        <v>422</v>
      </c>
      <c r="K207" t="s">
        <v>149</v>
      </c>
      <c r="L207" t="s">
        <v>42</v>
      </c>
      <c r="M207" t="s">
        <v>423</v>
      </c>
      <c r="N207" s="7">
        <v>1.6</v>
      </c>
      <c r="O207" s="7"/>
      <c r="P207" s="7">
        <v>4</v>
      </c>
      <c r="Q207" s="7">
        <v>1.7</v>
      </c>
      <c r="R207" s="7"/>
      <c r="S207" s="7">
        <v>4</v>
      </c>
      <c r="T207" s="7">
        <v>0.1</v>
      </c>
      <c r="U207" s="7">
        <v>0.2</v>
      </c>
      <c r="V207" s="7">
        <f t="shared" si="18"/>
        <v>6.062462181643484E-2</v>
      </c>
      <c r="W207" s="7">
        <f t="shared" si="19"/>
        <v>4.4367701124567484E-3</v>
      </c>
      <c r="X207" t="s">
        <v>424</v>
      </c>
      <c r="Y207" t="s">
        <v>380</v>
      </c>
      <c r="Z207" t="s">
        <v>381</v>
      </c>
      <c r="AA207" t="s">
        <v>425</v>
      </c>
      <c r="AB207" t="s">
        <v>92</v>
      </c>
    </row>
    <row r="208" spans="1:28">
      <c r="A208" t="s">
        <v>418</v>
      </c>
      <c r="B208" t="s">
        <v>431</v>
      </c>
      <c r="C208" t="s">
        <v>420</v>
      </c>
      <c r="E208" t="s">
        <v>421</v>
      </c>
      <c r="F208">
        <v>300</v>
      </c>
      <c r="G208" t="s">
        <v>83</v>
      </c>
      <c r="H208" t="s">
        <v>84</v>
      </c>
      <c r="I208" t="s">
        <v>85</v>
      </c>
      <c r="J208" t="s">
        <v>422</v>
      </c>
      <c r="K208" t="s">
        <v>149</v>
      </c>
      <c r="L208" t="s">
        <v>53</v>
      </c>
      <c r="M208" t="s">
        <v>423</v>
      </c>
      <c r="N208" s="7">
        <v>0.3</v>
      </c>
      <c r="O208" s="7"/>
      <c r="P208" s="7">
        <v>4</v>
      </c>
      <c r="Q208" s="7">
        <v>0.4</v>
      </c>
      <c r="R208" s="7"/>
      <c r="S208" s="7">
        <v>4</v>
      </c>
      <c r="T208" s="7">
        <v>0.1</v>
      </c>
      <c r="U208" s="7">
        <v>0.1</v>
      </c>
      <c r="V208" s="7">
        <f t="shared" si="18"/>
        <v>0.28768207245178101</v>
      </c>
      <c r="W208" s="7">
        <f t="shared" si="19"/>
        <v>4.3402777777777783E-2</v>
      </c>
      <c r="X208" t="s">
        <v>424</v>
      </c>
      <c r="Y208" t="s">
        <v>380</v>
      </c>
      <c r="Z208" t="s">
        <v>381</v>
      </c>
      <c r="AA208" t="s">
        <v>427</v>
      </c>
      <c r="AB208" t="s">
        <v>92</v>
      </c>
    </row>
    <row r="209" spans="1:28">
      <c r="A209" t="s">
        <v>418</v>
      </c>
      <c r="B209" t="s">
        <v>432</v>
      </c>
      <c r="C209" t="s">
        <v>420</v>
      </c>
      <c r="E209" t="s">
        <v>421</v>
      </c>
      <c r="F209">
        <v>300</v>
      </c>
      <c r="G209" t="s">
        <v>83</v>
      </c>
      <c r="H209" t="s">
        <v>84</v>
      </c>
      <c r="I209" t="s">
        <v>85</v>
      </c>
      <c r="J209" t="s">
        <v>422</v>
      </c>
      <c r="K209" t="s">
        <v>149</v>
      </c>
      <c r="L209" t="s">
        <v>40</v>
      </c>
      <c r="M209" t="s">
        <v>423</v>
      </c>
      <c r="N209" s="7">
        <v>0.4</v>
      </c>
      <c r="O209" s="7"/>
      <c r="P209" s="7">
        <v>4</v>
      </c>
      <c r="Q209" s="7">
        <v>0.5</v>
      </c>
      <c r="R209" s="7"/>
      <c r="S209" s="7">
        <v>4</v>
      </c>
      <c r="T209" s="7">
        <v>0.1</v>
      </c>
      <c r="U209" s="7">
        <v>0.1</v>
      </c>
      <c r="V209" s="7">
        <f t="shared" si="18"/>
        <v>0.22314355131420976</v>
      </c>
      <c r="W209" s="7">
        <f t="shared" si="19"/>
        <v>2.5625000000000002E-2</v>
      </c>
      <c r="X209" t="s">
        <v>424</v>
      </c>
      <c r="Y209" t="s">
        <v>380</v>
      </c>
      <c r="Z209" t="s">
        <v>381</v>
      </c>
      <c r="AA209" t="s">
        <v>429</v>
      </c>
      <c r="AB209" t="s">
        <v>92</v>
      </c>
    </row>
    <row r="210" spans="1:28">
      <c r="A210" t="s">
        <v>418</v>
      </c>
      <c r="B210" t="s">
        <v>433</v>
      </c>
      <c r="C210" t="s">
        <v>420</v>
      </c>
      <c r="E210" t="s">
        <v>421</v>
      </c>
      <c r="F210">
        <v>150</v>
      </c>
      <c r="G210" t="s">
        <v>83</v>
      </c>
      <c r="H210" t="s">
        <v>84</v>
      </c>
      <c r="I210" t="s">
        <v>85</v>
      </c>
      <c r="J210" t="s">
        <v>434</v>
      </c>
      <c r="K210" t="s">
        <v>149</v>
      </c>
      <c r="L210" t="s">
        <v>42</v>
      </c>
      <c r="M210" t="s">
        <v>423</v>
      </c>
      <c r="N210" s="7">
        <v>1.3</v>
      </c>
      <c r="O210" s="7"/>
      <c r="P210" s="7">
        <v>4</v>
      </c>
      <c r="Q210" s="7">
        <v>1.7</v>
      </c>
      <c r="R210" s="7"/>
      <c r="S210" s="7">
        <v>4</v>
      </c>
      <c r="T210" s="7">
        <v>0.1</v>
      </c>
      <c r="U210" s="7">
        <v>0.2</v>
      </c>
      <c r="V210" s="7">
        <f t="shared" si="18"/>
        <v>0.26826398659467937</v>
      </c>
      <c r="W210" s="7">
        <f t="shared" si="19"/>
        <v>4.9394975532851514E-3</v>
      </c>
      <c r="X210" t="s">
        <v>424</v>
      </c>
      <c r="Y210" t="s">
        <v>380</v>
      </c>
      <c r="Z210" t="s">
        <v>381</v>
      </c>
      <c r="AA210" t="s">
        <v>435</v>
      </c>
      <c r="AB210" t="s">
        <v>92</v>
      </c>
    </row>
    <row r="211" spans="1:28">
      <c r="A211" t="s">
        <v>418</v>
      </c>
      <c r="B211" t="s">
        <v>436</v>
      </c>
      <c r="C211" t="s">
        <v>420</v>
      </c>
      <c r="E211" t="s">
        <v>421</v>
      </c>
      <c r="F211">
        <v>150</v>
      </c>
      <c r="G211" t="s">
        <v>83</v>
      </c>
      <c r="H211" t="s">
        <v>84</v>
      </c>
      <c r="I211" t="s">
        <v>85</v>
      </c>
      <c r="J211" t="s">
        <v>434</v>
      </c>
      <c r="K211" t="s">
        <v>149</v>
      </c>
      <c r="L211" t="s">
        <v>53</v>
      </c>
      <c r="M211" t="s">
        <v>423</v>
      </c>
      <c r="N211" s="7">
        <v>0.2</v>
      </c>
      <c r="O211" s="7"/>
      <c r="P211" s="7">
        <v>4</v>
      </c>
      <c r="Q211" s="7">
        <v>0.4</v>
      </c>
      <c r="R211" s="7"/>
      <c r="S211" s="7">
        <v>4</v>
      </c>
      <c r="T211" s="7">
        <v>0.1</v>
      </c>
      <c r="U211" s="7">
        <v>0.1</v>
      </c>
      <c r="V211" s="7">
        <f t="shared" si="18"/>
        <v>0.69314718055994529</v>
      </c>
      <c r="W211" s="7">
        <f t="shared" si="19"/>
        <v>7.8125E-2</v>
      </c>
      <c r="X211" t="s">
        <v>424</v>
      </c>
      <c r="Y211" t="s">
        <v>380</v>
      </c>
      <c r="Z211" t="s">
        <v>381</v>
      </c>
      <c r="AA211" t="s">
        <v>437</v>
      </c>
      <c r="AB211" t="s">
        <v>92</v>
      </c>
    </row>
    <row r="212" spans="1:28">
      <c r="A212" t="s">
        <v>418</v>
      </c>
      <c r="B212" t="s">
        <v>438</v>
      </c>
      <c r="C212" t="s">
        <v>420</v>
      </c>
      <c r="E212" t="s">
        <v>421</v>
      </c>
      <c r="F212">
        <v>150</v>
      </c>
      <c r="G212" t="s">
        <v>83</v>
      </c>
      <c r="H212" t="s">
        <v>84</v>
      </c>
      <c r="I212" t="s">
        <v>85</v>
      </c>
      <c r="J212" t="s">
        <v>434</v>
      </c>
      <c r="K212" t="s">
        <v>149</v>
      </c>
      <c r="L212" t="s">
        <v>40</v>
      </c>
      <c r="M212" t="s">
        <v>423</v>
      </c>
      <c r="N212" s="7">
        <v>0.3</v>
      </c>
      <c r="O212" s="7"/>
      <c r="P212" s="7">
        <v>4</v>
      </c>
      <c r="Q212" s="7">
        <v>0.5</v>
      </c>
      <c r="R212" s="7"/>
      <c r="S212" s="7">
        <v>4</v>
      </c>
      <c r="T212" s="7">
        <v>0.1</v>
      </c>
      <c r="U212" s="7">
        <v>0.1</v>
      </c>
      <c r="V212" s="7">
        <f t="shared" si="18"/>
        <v>0.51082562376599072</v>
      </c>
      <c r="W212" s="7">
        <f t="shared" si="19"/>
        <v>3.7777777777777785E-2</v>
      </c>
      <c r="X212" t="s">
        <v>424</v>
      </c>
      <c r="Y212" t="s">
        <v>380</v>
      </c>
      <c r="Z212" t="s">
        <v>381</v>
      </c>
      <c r="AA212" t="s">
        <v>439</v>
      </c>
      <c r="AB212" t="s">
        <v>92</v>
      </c>
    </row>
    <row r="213" spans="1:28">
      <c r="A213" t="s">
        <v>418</v>
      </c>
      <c r="B213" t="s">
        <v>440</v>
      </c>
      <c r="C213" t="s">
        <v>420</v>
      </c>
      <c r="E213" t="s">
        <v>421</v>
      </c>
      <c r="F213">
        <v>300</v>
      </c>
      <c r="G213" t="s">
        <v>83</v>
      </c>
      <c r="H213" t="s">
        <v>84</v>
      </c>
      <c r="I213" t="s">
        <v>85</v>
      </c>
      <c r="J213" t="s">
        <v>434</v>
      </c>
      <c r="K213" t="s">
        <v>149</v>
      </c>
      <c r="L213" t="s">
        <v>42</v>
      </c>
      <c r="M213" t="s">
        <v>423</v>
      </c>
      <c r="N213" s="7">
        <v>1.3</v>
      </c>
      <c r="O213" s="7"/>
      <c r="P213" s="7">
        <v>4</v>
      </c>
      <c r="Q213" s="7">
        <v>1.5</v>
      </c>
      <c r="R213" s="7"/>
      <c r="S213" s="7">
        <v>4</v>
      </c>
      <c r="T213" s="7">
        <v>0.1</v>
      </c>
      <c r="U213" s="7">
        <v>0.2</v>
      </c>
      <c r="V213" s="7">
        <f t="shared" si="18"/>
        <v>0.14310084364067324</v>
      </c>
      <c r="W213" s="7">
        <f t="shared" si="19"/>
        <v>5.9237343852728483E-3</v>
      </c>
      <c r="X213" t="s">
        <v>424</v>
      </c>
      <c r="Y213" t="s">
        <v>380</v>
      </c>
      <c r="Z213" t="s">
        <v>381</v>
      </c>
      <c r="AA213" t="s">
        <v>435</v>
      </c>
      <c r="AB213" t="s">
        <v>92</v>
      </c>
    </row>
    <row r="214" spans="1:28">
      <c r="A214" t="s">
        <v>418</v>
      </c>
      <c r="B214" t="s">
        <v>441</v>
      </c>
      <c r="C214" t="s">
        <v>420</v>
      </c>
      <c r="E214" t="s">
        <v>421</v>
      </c>
      <c r="F214">
        <v>300</v>
      </c>
      <c r="G214" t="s">
        <v>83</v>
      </c>
      <c r="H214" t="s">
        <v>84</v>
      </c>
      <c r="I214" t="s">
        <v>85</v>
      </c>
      <c r="J214" t="s">
        <v>434</v>
      </c>
      <c r="K214" t="s">
        <v>149</v>
      </c>
      <c r="L214" t="s">
        <v>53</v>
      </c>
      <c r="M214" t="s">
        <v>423</v>
      </c>
      <c r="N214" s="7">
        <v>0.2</v>
      </c>
      <c r="O214" s="7"/>
      <c r="P214" s="7">
        <v>4</v>
      </c>
      <c r="Q214" s="7">
        <v>0.3</v>
      </c>
      <c r="R214" s="7"/>
      <c r="S214" s="7">
        <v>4</v>
      </c>
      <c r="T214" s="7">
        <v>0.1</v>
      </c>
      <c r="U214" s="7">
        <v>0.1</v>
      </c>
      <c r="V214" s="7">
        <f t="shared" si="18"/>
        <v>0.40546510810816422</v>
      </c>
      <c r="W214" s="7">
        <f t="shared" si="19"/>
        <v>9.027777777777779E-2</v>
      </c>
      <c r="X214" t="s">
        <v>424</v>
      </c>
      <c r="Y214" t="s">
        <v>380</v>
      </c>
      <c r="Z214" t="s">
        <v>381</v>
      </c>
      <c r="AA214" t="s">
        <v>437</v>
      </c>
      <c r="AB214" t="s">
        <v>92</v>
      </c>
    </row>
    <row r="215" spans="1:28">
      <c r="A215" t="s">
        <v>418</v>
      </c>
      <c r="B215" t="s">
        <v>442</v>
      </c>
      <c r="C215" t="s">
        <v>420</v>
      </c>
      <c r="E215" t="s">
        <v>421</v>
      </c>
      <c r="F215">
        <v>300</v>
      </c>
      <c r="G215" t="s">
        <v>83</v>
      </c>
      <c r="H215" t="s">
        <v>84</v>
      </c>
      <c r="I215" t="s">
        <v>85</v>
      </c>
      <c r="J215" t="s">
        <v>434</v>
      </c>
      <c r="K215" t="s">
        <v>149</v>
      </c>
      <c r="L215" t="s">
        <v>40</v>
      </c>
      <c r="M215" t="s">
        <v>423</v>
      </c>
      <c r="N215" s="7">
        <v>0.3</v>
      </c>
      <c r="O215" s="7"/>
      <c r="P215" s="7">
        <v>4</v>
      </c>
      <c r="Q215" s="7">
        <v>0.4</v>
      </c>
      <c r="R215" s="7"/>
      <c r="S215" s="7">
        <v>4</v>
      </c>
      <c r="T215" s="7">
        <v>0.1</v>
      </c>
      <c r="U215" s="7">
        <v>0.1</v>
      </c>
      <c r="V215" s="7">
        <f t="shared" si="18"/>
        <v>0.28768207245178101</v>
      </c>
      <c r="W215" s="7">
        <f t="shared" si="19"/>
        <v>4.3402777777777783E-2</v>
      </c>
      <c r="X215" t="s">
        <v>424</v>
      </c>
      <c r="Y215" t="s">
        <v>380</v>
      </c>
      <c r="Z215" t="s">
        <v>381</v>
      </c>
      <c r="AA215" t="s">
        <v>439</v>
      </c>
      <c r="AB215" t="s">
        <v>92</v>
      </c>
    </row>
    <row r="216" spans="1:28">
      <c r="A216" t="s">
        <v>443</v>
      </c>
      <c r="B216" t="s">
        <v>444</v>
      </c>
      <c r="C216" t="s">
        <v>445</v>
      </c>
      <c r="D216" t="s">
        <v>446</v>
      </c>
      <c r="E216" t="s">
        <v>96</v>
      </c>
      <c r="F216">
        <v>0.3</v>
      </c>
      <c r="G216" t="s">
        <v>185</v>
      </c>
      <c r="H216" t="s">
        <v>84</v>
      </c>
      <c r="I216" t="s">
        <v>85</v>
      </c>
      <c r="J216" t="s">
        <v>86</v>
      </c>
      <c r="K216" t="s">
        <v>149</v>
      </c>
      <c r="L216" t="s">
        <v>42</v>
      </c>
      <c r="M216" t="s">
        <v>447</v>
      </c>
      <c r="N216" s="7">
        <v>7.45</v>
      </c>
      <c r="O216" s="7">
        <v>0.1</v>
      </c>
      <c r="P216" s="7">
        <v>3</v>
      </c>
      <c r="Q216" s="7">
        <v>7.35</v>
      </c>
      <c r="R216" s="7">
        <v>0.12</v>
      </c>
      <c r="S216" s="7">
        <v>3</v>
      </c>
      <c r="T216" s="7">
        <f t="shared" ref="T216:T247" si="20">O216*SQRT(P216)</f>
        <v>0.17320508075688773</v>
      </c>
      <c r="U216" s="7">
        <f t="shared" ref="U216:U247" si="21">R216*SQRT(S216)</f>
        <v>0.20784609690826525</v>
      </c>
      <c r="V216" s="7">
        <f t="shared" si="18"/>
        <v>-1.3513719166722933E-2</v>
      </c>
      <c r="W216" s="7">
        <f t="shared" si="19"/>
        <v>4.4672766615399661E-4</v>
      </c>
      <c r="X216" t="s">
        <v>448</v>
      </c>
      <c r="Y216" t="s">
        <v>89</v>
      </c>
      <c r="Z216" t="s">
        <v>449</v>
      </c>
      <c r="AA216" t="s">
        <v>450</v>
      </c>
      <c r="AB216" t="s">
        <v>92</v>
      </c>
    </row>
    <row r="217" spans="1:28">
      <c r="A217" t="s">
        <v>443</v>
      </c>
      <c r="B217" t="s">
        <v>451</v>
      </c>
      <c r="C217" t="s">
        <v>445</v>
      </c>
      <c r="D217" t="s">
        <v>446</v>
      </c>
      <c r="E217" t="s">
        <v>96</v>
      </c>
      <c r="F217">
        <v>0.3</v>
      </c>
      <c r="G217" t="s">
        <v>185</v>
      </c>
      <c r="H217" t="s">
        <v>84</v>
      </c>
      <c r="I217" t="s">
        <v>85</v>
      </c>
      <c r="J217" t="s">
        <v>86</v>
      </c>
      <c r="K217" t="s">
        <v>452</v>
      </c>
      <c r="L217" t="s">
        <v>42</v>
      </c>
      <c r="M217" t="s">
        <v>447</v>
      </c>
      <c r="N217" s="7">
        <v>3.1</v>
      </c>
      <c r="O217" s="7">
        <v>0.08</v>
      </c>
      <c r="P217" s="7">
        <v>3</v>
      </c>
      <c r="Q217" s="7">
        <v>3.5</v>
      </c>
      <c r="R217" s="7">
        <v>0.22</v>
      </c>
      <c r="S217" s="7">
        <v>3</v>
      </c>
      <c r="T217" s="7">
        <f t="shared" si="20"/>
        <v>0.13856406460551018</v>
      </c>
      <c r="U217" s="7">
        <f t="shared" si="21"/>
        <v>0.38105117766515301</v>
      </c>
      <c r="V217" s="7">
        <f t="shared" si="18"/>
        <v>0.12136085700426734</v>
      </c>
      <c r="W217" s="7">
        <f t="shared" si="19"/>
        <v>4.6169933530123804E-3</v>
      </c>
      <c r="X217" t="s">
        <v>448</v>
      </c>
      <c r="Y217" t="s">
        <v>89</v>
      </c>
      <c r="Z217" t="s">
        <v>449</v>
      </c>
      <c r="AA217" t="s">
        <v>453</v>
      </c>
      <c r="AB217" t="s">
        <v>92</v>
      </c>
    </row>
    <row r="218" spans="1:28">
      <c r="A218" t="s">
        <v>443</v>
      </c>
      <c r="B218" t="s">
        <v>454</v>
      </c>
      <c r="C218" t="s">
        <v>445</v>
      </c>
      <c r="D218" t="s">
        <v>446</v>
      </c>
      <c r="E218" t="s">
        <v>96</v>
      </c>
      <c r="F218">
        <v>0.3</v>
      </c>
      <c r="G218" t="s">
        <v>185</v>
      </c>
      <c r="H218" t="s">
        <v>84</v>
      </c>
      <c r="I218" t="s">
        <v>85</v>
      </c>
      <c r="J218" t="s">
        <v>86</v>
      </c>
      <c r="K218" t="s">
        <v>29</v>
      </c>
      <c r="L218" t="s">
        <v>42</v>
      </c>
      <c r="M218" t="s">
        <v>447</v>
      </c>
      <c r="N218" s="7">
        <v>3.85</v>
      </c>
      <c r="O218" s="7">
        <v>0.12</v>
      </c>
      <c r="P218" s="7">
        <v>3</v>
      </c>
      <c r="Q218" s="7">
        <v>4.45</v>
      </c>
      <c r="R218" s="7">
        <v>0.1</v>
      </c>
      <c r="S218" s="7">
        <v>3</v>
      </c>
      <c r="T218" s="7">
        <f t="shared" si="20"/>
        <v>0.20784609690826525</v>
      </c>
      <c r="U218" s="7">
        <f t="shared" si="21"/>
        <v>0.17320508075688773</v>
      </c>
      <c r="V218" s="7">
        <f t="shared" si="18"/>
        <v>0.14483094787845605</v>
      </c>
      <c r="W218" s="7">
        <f t="shared" si="19"/>
        <v>1.4764827805290683E-3</v>
      </c>
      <c r="X218" t="s">
        <v>448</v>
      </c>
      <c r="Y218" t="s">
        <v>89</v>
      </c>
      <c r="Z218" t="s">
        <v>449</v>
      </c>
      <c r="AA218" t="s">
        <v>455</v>
      </c>
      <c r="AB218" t="s">
        <v>92</v>
      </c>
    </row>
    <row r="219" spans="1:28">
      <c r="A219" t="s">
        <v>443</v>
      </c>
      <c r="B219" t="s">
        <v>456</v>
      </c>
      <c r="C219" t="s">
        <v>445</v>
      </c>
      <c r="D219" t="s">
        <v>446</v>
      </c>
      <c r="E219" t="s">
        <v>96</v>
      </c>
      <c r="F219">
        <v>0.3</v>
      </c>
      <c r="G219" t="s">
        <v>185</v>
      </c>
      <c r="H219" t="s">
        <v>84</v>
      </c>
      <c r="I219" t="s">
        <v>85</v>
      </c>
      <c r="J219" t="s">
        <v>86</v>
      </c>
      <c r="K219" t="s">
        <v>149</v>
      </c>
      <c r="L219" t="s">
        <v>53</v>
      </c>
      <c r="M219" t="s">
        <v>447</v>
      </c>
      <c r="N219" s="7">
        <v>5.05</v>
      </c>
      <c r="O219" s="7">
        <v>0.12</v>
      </c>
      <c r="P219" s="7">
        <v>3</v>
      </c>
      <c r="Q219" s="7">
        <v>5.75</v>
      </c>
      <c r="R219" s="7">
        <v>0.1</v>
      </c>
      <c r="S219" s="7">
        <v>3</v>
      </c>
      <c r="T219" s="7">
        <f t="shared" si="20"/>
        <v>0.20784609690826525</v>
      </c>
      <c r="U219" s="7">
        <f t="shared" si="21"/>
        <v>0.17320508075688773</v>
      </c>
      <c r="V219" s="7">
        <f t="shared" si="18"/>
        <v>0.12981161152199072</v>
      </c>
      <c r="W219" s="7">
        <f t="shared" si="19"/>
        <v>8.6710799137710085E-4</v>
      </c>
      <c r="X219" t="s">
        <v>448</v>
      </c>
      <c r="Y219" t="s">
        <v>89</v>
      </c>
      <c r="Z219" t="s">
        <v>449</v>
      </c>
      <c r="AA219" t="s">
        <v>457</v>
      </c>
      <c r="AB219" t="s">
        <v>92</v>
      </c>
    </row>
    <row r="220" spans="1:28">
      <c r="A220" t="s">
        <v>443</v>
      </c>
      <c r="B220" t="s">
        <v>458</v>
      </c>
      <c r="C220" t="s">
        <v>445</v>
      </c>
      <c r="D220" t="s">
        <v>446</v>
      </c>
      <c r="E220" t="s">
        <v>96</v>
      </c>
      <c r="F220">
        <v>0.3</v>
      </c>
      <c r="G220" t="s">
        <v>185</v>
      </c>
      <c r="H220" t="s">
        <v>84</v>
      </c>
      <c r="I220" t="s">
        <v>85</v>
      </c>
      <c r="J220" t="s">
        <v>86</v>
      </c>
      <c r="K220" t="s">
        <v>452</v>
      </c>
      <c r="L220" t="s">
        <v>53</v>
      </c>
      <c r="M220" t="s">
        <v>447</v>
      </c>
      <c r="N220" s="7">
        <v>5.05</v>
      </c>
      <c r="O220" s="7">
        <v>0.12</v>
      </c>
      <c r="P220" s="7">
        <v>3</v>
      </c>
      <c r="Q220" s="7">
        <v>4.8</v>
      </c>
      <c r="R220" s="7">
        <v>0.18</v>
      </c>
      <c r="S220" s="7">
        <v>3</v>
      </c>
      <c r="T220" s="7">
        <f t="shared" si="20"/>
        <v>0.20784609690826525</v>
      </c>
      <c r="U220" s="7">
        <f t="shared" si="21"/>
        <v>0.31176914536239786</v>
      </c>
      <c r="V220" s="7">
        <f t="shared" si="18"/>
        <v>-5.0772325373423258E-2</v>
      </c>
      <c r="W220" s="7">
        <f t="shared" si="19"/>
        <v>1.9709005244583858E-3</v>
      </c>
      <c r="X220" t="s">
        <v>448</v>
      </c>
      <c r="Y220" t="s">
        <v>89</v>
      </c>
      <c r="Z220" t="s">
        <v>449</v>
      </c>
      <c r="AA220" t="s">
        <v>459</v>
      </c>
      <c r="AB220" t="s">
        <v>92</v>
      </c>
    </row>
    <row r="221" spans="1:28">
      <c r="A221" t="s">
        <v>443</v>
      </c>
      <c r="B221" t="s">
        <v>460</v>
      </c>
      <c r="C221" t="s">
        <v>445</v>
      </c>
      <c r="D221" t="s">
        <v>446</v>
      </c>
      <c r="E221" t="s">
        <v>96</v>
      </c>
      <c r="F221">
        <v>0.3</v>
      </c>
      <c r="G221" t="s">
        <v>185</v>
      </c>
      <c r="H221" t="s">
        <v>84</v>
      </c>
      <c r="I221" t="s">
        <v>85</v>
      </c>
      <c r="J221" t="s">
        <v>86</v>
      </c>
      <c r="K221" t="s">
        <v>29</v>
      </c>
      <c r="L221" t="s">
        <v>53</v>
      </c>
      <c r="M221" t="s">
        <v>447</v>
      </c>
      <c r="N221" s="7">
        <v>5.7</v>
      </c>
      <c r="O221" s="7">
        <v>0.08</v>
      </c>
      <c r="P221" s="7">
        <v>3</v>
      </c>
      <c r="Q221" s="7">
        <v>6.1</v>
      </c>
      <c r="R221" s="7">
        <v>0.08</v>
      </c>
      <c r="S221" s="7">
        <v>3</v>
      </c>
      <c r="T221" s="7">
        <f t="shared" si="20"/>
        <v>0.13856406460551018</v>
      </c>
      <c r="U221" s="7">
        <f t="shared" si="21"/>
        <v>0.13856406460551018</v>
      </c>
      <c r="V221" s="7">
        <f t="shared" si="18"/>
        <v>6.7822596338761088E-2</v>
      </c>
      <c r="W221" s="7">
        <f t="shared" si="19"/>
        <v>3.6898046234886414E-4</v>
      </c>
      <c r="X221" t="s">
        <v>448</v>
      </c>
      <c r="Y221" t="s">
        <v>89</v>
      </c>
      <c r="Z221" t="s">
        <v>449</v>
      </c>
      <c r="AA221" t="s">
        <v>461</v>
      </c>
      <c r="AB221" t="s">
        <v>92</v>
      </c>
    </row>
    <row r="222" spans="1:28">
      <c r="A222" t="s">
        <v>443</v>
      </c>
      <c r="B222" t="s">
        <v>462</v>
      </c>
      <c r="C222" t="s">
        <v>445</v>
      </c>
      <c r="D222" t="s">
        <v>446</v>
      </c>
      <c r="E222" t="s">
        <v>96</v>
      </c>
      <c r="F222">
        <v>0.3</v>
      </c>
      <c r="G222" t="s">
        <v>185</v>
      </c>
      <c r="H222" t="s">
        <v>84</v>
      </c>
      <c r="I222" t="s">
        <v>85</v>
      </c>
      <c r="J222" t="s">
        <v>86</v>
      </c>
      <c r="K222" t="s">
        <v>149</v>
      </c>
      <c r="L222" t="s">
        <v>40</v>
      </c>
      <c r="M222" t="s">
        <v>447</v>
      </c>
      <c r="N222" s="7">
        <v>2.5499999999999998</v>
      </c>
      <c r="O222" s="7">
        <v>0.1</v>
      </c>
      <c r="P222" s="7">
        <v>3</v>
      </c>
      <c r="Q222" s="7">
        <v>5.2</v>
      </c>
      <c r="R222" s="7">
        <v>0.12</v>
      </c>
      <c r="S222" s="7">
        <v>3</v>
      </c>
      <c r="T222" s="7">
        <f t="shared" si="20"/>
        <v>0.17320508075688773</v>
      </c>
      <c r="U222" s="7">
        <f t="shared" si="21"/>
        <v>0.20784609690826525</v>
      </c>
      <c r="V222" s="7">
        <f t="shared" si="18"/>
        <v>0.71256526641704709</v>
      </c>
      <c r="W222" s="7">
        <f t="shared" si="19"/>
        <v>2.0704144286790012E-3</v>
      </c>
      <c r="X222" t="s">
        <v>448</v>
      </c>
      <c r="Y222" t="s">
        <v>89</v>
      </c>
      <c r="Z222" t="s">
        <v>449</v>
      </c>
      <c r="AA222" t="s">
        <v>463</v>
      </c>
      <c r="AB222" t="s">
        <v>92</v>
      </c>
    </row>
    <row r="223" spans="1:28">
      <c r="A223" t="s">
        <v>443</v>
      </c>
      <c r="B223" t="s">
        <v>464</v>
      </c>
      <c r="C223" t="s">
        <v>445</v>
      </c>
      <c r="D223" t="s">
        <v>446</v>
      </c>
      <c r="E223" t="s">
        <v>96</v>
      </c>
      <c r="F223">
        <v>0.3</v>
      </c>
      <c r="G223" t="s">
        <v>185</v>
      </c>
      <c r="H223" t="s">
        <v>84</v>
      </c>
      <c r="I223" t="s">
        <v>85</v>
      </c>
      <c r="J223" t="s">
        <v>86</v>
      </c>
      <c r="K223" t="s">
        <v>452</v>
      </c>
      <c r="L223" t="s">
        <v>40</v>
      </c>
      <c r="M223" t="s">
        <v>447</v>
      </c>
      <c r="N223" s="7">
        <v>8.1</v>
      </c>
      <c r="O223" s="7">
        <v>0.12</v>
      </c>
      <c r="P223" s="7">
        <v>3</v>
      </c>
      <c r="Q223" s="7">
        <v>9.8000000000000007</v>
      </c>
      <c r="R223" s="7">
        <v>0.25</v>
      </c>
      <c r="S223" s="7">
        <v>3</v>
      </c>
      <c r="T223" s="7">
        <f t="shared" si="20"/>
        <v>0.20784609690826525</v>
      </c>
      <c r="U223" s="7">
        <f t="shared" si="21"/>
        <v>0.4330127018922193</v>
      </c>
      <c r="V223" s="7">
        <f t="shared" si="18"/>
        <v>0.19051832399813318</v>
      </c>
      <c r="W223" s="7">
        <f t="shared" si="19"/>
        <v>8.7024925028380347E-4</v>
      </c>
      <c r="X223" t="s">
        <v>448</v>
      </c>
      <c r="Y223" t="s">
        <v>89</v>
      </c>
      <c r="Z223" t="s">
        <v>449</v>
      </c>
      <c r="AA223" t="s">
        <v>465</v>
      </c>
      <c r="AB223" t="s">
        <v>92</v>
      </c>
    </row>
    <row r="224" spans="1:28">
      <c r="A224" t="s">
        <v>443</v>
      </c>
      <c r="B224" t="s">
        <v>466</v>
      </c>
      <c r="C224" t="s">
        <v>445</v>
      </c>
      <c r="D224" t="s">
        <v>446</v>
      </c>
      <c r="E224" t="s">
        <v>96</v>
      </c>
      <c r="F224">
        <v>0.3</v>
      </c>
      <c r="G224" t="s">
        <v>185</v>
      </c>
      <c r="H224" t="s">
        <v>84</v>
      </c>
      <c r="I224" t="s">
        <v>85</v>
      </c>
      <c r="J224" t="s">
        <v>86</v>
      </c>
      <c r="K224" t="s">
        <v>29</v>
      </c>
      <c r="L224" t="s">
        <v>40</v>
      </c>
      <c r="M224" t="s">
        <v>447</v>
      </c>
      <c r="N224" s="7">
        <v>3</v>
      </c>
      <c r="O224" s="7">
        <v>0.35</v>
      </c>
      <c r="P224" s="7">
        <v>3</v>
      </c>
      <c r="Q224" s="7">
        <v>3.6</v>
      </c>
      <c r="R224" s="7">
        <v>0.12</v>
      </c>
      <c r="S224" s="7">
        <v>3</v>
      </c>
      <c r="T224" s="7">
        <f t="shared" si="20"/>
        <v>0.60621778264910697</v>
      </c>
      <c r="U224" s="7">
        <f t="shared" si="21"/>
        <v>0.20784609690826525</v>
      </c>
      <c r="V224" s="7">
        <f t="shared" si="18"/>
        <v>0.18232155679395459</v>
      </c>
      <c r="W224" s="7">
        <f t="shared" si="19"/>
        <v>1.4722222222222218E-2</v>
      </c>
      <c r="X224" t="s">
        <v>448</v>
      </c>
      <c r="Y224" t="s">
        <v>89</v>
      </c>
      <c r="Z224" t="s">
        <v>449</v>
      </c>
      <c r="AA224" t="s">
        <v>467</v>
      </c>
      <c r="AB224" t="s">
        <v>92</v>
      </c>
    </row>
    <row r="225" spans="1:28">
      <c r="A225" t="s">
        <v>443</v>
      </c>
      <c r="B225" t="s">
        <v>468</v>
      </c>
      <c r="C225" t="s">
        <v>445</v>
      </c>
      <c r="D225" t="s">
        <v>446</v>
      </c>
      <c r="E225" t="s">
        <v>96</v>
      </c>
      <c r="F225">
        <v>0.3</v>
      </c>
      <c r="G225" t="s">
        <v>185</v>
      </c>
      <c r="H225" t="s">
        <v>84</v>
      </c>
      <c r="I225" t="s">
        <v>85</v>
      </c>
      <c r="J225" t="s">
        <v>86</v>
      </c>
      <c r="K225" t="s">
        <v>149</v>
      </c>
      <c r="L225" t="s">
        <v>30</v>
      </c>
      <c r="M225" t="s">
        <v>447</v>
      </c>
      <c r="N225" s="7">
        <v>5.9</v>
      </c>
      <c r="O225" s="7">
        <v>0.1</v>
      </c>
      <c r="P225" s="7">
        <v>3</v>
      </c>
      <c r="Q225" s="7">
        <v>6.2</v>
      </c>
      <c r="R225" s="7">
        <v>0.18</v>
      </c>
      <c r="S225" s="7">
        <v>3</v>
      </c>
      <c r="T225" s="7">
        <f t="shared" si="20"/>
        <v>0.17320508075688773</v>
      </c>
      <c r="U225" s="7">
        <f t="shared" si="21"/>
        <v>0.31176914536239786</v>
      </c>
      <c r="V225" s="7">
        <f t="shared" si="18"/>
        <v>4.9596941139371978E-2</v>
      </c>
      <c r="W225" s="7">
        <f t="shared" si="19"/>
        <v>1.1301457802292865E-3</v>
      </c>
      <c r="X225" t="s">
        <v>448</v>
      </c>
      <c r="Y225" t="s">
        <v>89</v>
      </c>
      <c r="Z225" t="s">
        <v>449</v>
      </c>
      <c r="AA225" t="s">
        <v>469</v>
      </c>
      <c r="AB225" t="s">
        <v>92</v>
      </c>
    </row>
    <row r="226" spans="1:28">
      <c r="A226" t="s">
        <v>443</v>
      </c>
      <c r="B226" t="s">
        <v>470</v>
      </c>
      <c r="C226" t="s">
        <v>445</v>
      </c>
      <c r="D226" t="s">
        <v>446</v>
      </c>
      <c r="E226" t="s">
        <v>96</v>
      </c>
      <c r="F226">
        <v>0.3</v>
      </c>
      <c r="G226" t="s">
        <v>185</v>
      </c>
      <c r="H226" t="s">
        <v>84</v>
      </c>
      <c r="I226" t="s">
        <v>85</v>
      </c>
      <c r="J226" t="s">
        <v>86</v>
      </c>
      <c r="K226" t="s">
        <v>452</v>
      </c>
      <c r="L226" t="s">
        <v>30</v>
      </c>
      <c r="M226" t="s">
        <v>447</v>
      </c>
      <c r="N226" s="7">
        <v>5.7</v>
      </c>
      <c r="O226" s="7">
        <v>0.1</v>
      </c>
      <c r="P226" s="7">
        <v>3</v>
      </c>
      <c r="Q226" s="7">
        <v>7.1</v>
      </c>
      <c r="R226" s="7">
        <v>0.3</v>
      </c>
      <c r="S226" s="7">
        <v>3</v>
      </c>
      <c r="T226" s="7">
        <f t="shared" si="20"/>
        <v>0.17320508075688773</v>
      </c>
      <c r="U226" s="7">
        <f t="shared" si="21"/>
        <v>0.51961524227066314</v>
      </c>
      <c r="V226" s="7">
        <f t="shared" si="18"/>
        <v>0.21962860920676516</v>
      </c>
      <c r="W226" s="7">
        <f t="shared" si="19"/>
        <v>2.0931470589977204E-3</v>
      </c>
      <c r="X226" t="s">
        <v>448</v>
      </c>
      <c r="Y226" t="s">
        <v>89</v>
      </c>
      <c r="Z226" t="s">
        <v>449</v>
      </c>
      <c r="AA226" t="s">
        <v>471</v>
      </c>
      <c r="AB226" t="s">
        <v>92</v>
      </c>
    </row>
    <row r="227" spans="1:28">
      <c r="A227" t="s">
        <v>443</v>
      </c>
      <c r="B227" t="s">
        <v>472</v>
      </c>
      <c r="C227" t="s">
        <v>445</v>
      </c>
      <c r="D227" t="s">
        <v>446</v>
      </c>
      <c r="E227" t="s">
        <v>96</v>
      </c>
      <c r="F227">
        <v>0.3</v>
      </c>
      <c r="G227" t="s">
        <v>185</v>
      </c>
      <c r="H227" t="s">
        <v>84</v>
      </c>
      <c r="I227" t="s">
        <v>85</v>
      </c>
      <c r="J227" t="s">
        <v>86</v>
      </c>
      <c r="K227" t="s">
        <v>29</v>
      </c>
      <c r="L227" t="s">
        <v>30</v>
      </c>
      <c r="M227" t="s">
        <v>447</v>
      </c>
      <c r="N227" s="7">
        <v>6.8</v>
      </c>
      <c r="O227" s="7">
        <v>0.4</v>
      </c>
      <c r="P227" s="7">
        <v>3</v>
      </c>
      <c r="Q227" s="7">
        <v>10.6</v>
      </c>
      <c r="R227" s="7">
        <v>0.45</v>
      </c>
      <c r="S227" s="7">
        <v>3</v>
      </c>
      <c r="T227" s="7">
        <f t="shared" si="20"/>
        <v>0.69282032302755092</v>
      </c>
      <c r="U227" s="7">
        <f t="shared" si="21"/>
        <v>0.77942286340599476</v>
      </c>
      <c r="V227" s="7">
        <f t="shared" si="18"/>
        <v>0.44393138893596046</v>
      </c>
      <c r="W227" s="7">
        <f t="shared" si="19"/>
        <v>5.2624504034855836E-3</v>
      </c>
      <c r="X227" t="s">
        <v>448</v>
      </c>
      <c r="Y227" t="s">
        <v>89</v>
      </c>
      <c r="Z227" t="s">
        <v>449</v>
      </c>
      <c r="AA227" t="s">
        <v>473</v>
      </c>
      <c r="AB227" t="s">
        <v>92</v>
      </c>
    </row>
    <row r="228" spans="1:28">
      <c r="A228" t="s">
        <v>443</v>
      </c>
      <c r="B228" t="s">
        <v>474</v>
      </c>
      <c r="C228" t="s">
        <v>445</v>
      </c>
      <c r="D228" t="s">
        <v>446</v>
      </c>
      <c r="E228" t="s">
        <v>96</v>
      </c>
      <c r="F228">
        <v>0.3</v>
      </c>
      <c r="G228" t="s">
        <v>185</v>
      </c>
      <c r="H228" t="s">
        <v>84</v>
      </c>
      <c r="I228" t="s">
        <v>85</v>
      </c>
      <c r="J228" t="s">
        <v>86</v>
      </c>
      <c r="K228" t="s">
        <v>149</v>
      </c>
      <c r="L228" t="s">
        <v>337</v>
      </c>
      <c r="M228" t="s">
        <v>447</v>
      </c>
      <c r="N228" s="7">
        <v>0.69499999999999995</v>
      </c>
      <c r="O228" s="7">
        <v>6.0000000000000001E-3</v>
      </c>
      <c r="P228" s="7">
        <v>3</v>
      </c>
      <c r="Q228" s="7">
        <v>0.72</v>
      </c>
      <c r="R228" s="7">
        <v>0.01</v>
      </c>
      <c r="S228" s="7">
        <v>3</v>
      </c>
      <c r="T228" s="7">
        <f t="shared" si="20"/>
        <v>1.0392304845413263E-2</v>
      </c>
      <c r="U228" s="7">
        <f t="shared" si="21"/>
        <v>1.7320508075688773E-2</v>
      </c>
      <c r="V228" s="7">
        <f t="shared" si="18"/>
        <v>3.5339366445308863E-2</v>
      </c>
      <c r="W228" s="7">
        <f t="shared" si="19"/>
        <v>2.6743153838240359E-4</v>
      </c>
      <c r="X228" t="s">
        <v>448</v>
      </c>
      <c r="Y228" t="s">
        <v>89</v>
      </c>
      <c r="Z228" t="s">
        <v>449</v>
      </c>
      <c r="AA228" t="s">
        <v>475</v>
      </c>
      <c r="AB228" t="s">
        <v>92</v>
      </c>
    </row>
    <row r="229" spans="1:28">
      <c r="A229" t="s">
        <v>443</v>
      </c>
      <c r="B229" t="s">
        <v>476</v>
      </c>
      <c r="C229" t="s">
        <v>445</v>
      </c>
      <c r="D229" t="s">
        <v>446</v>
      </c>
      <c r="E229" t="s">
        <v>96</v>
      </c>
      <c r="F229">
        <v>0.3</v>
      </c>
      <c r="G229" t="s">
        <v>185</v>
      </c>
      <c r="H229" t="s">
        <v>84</v>
      </c>
      <c r="I229" t="s">
        <v>85</v>
      </c>
      <c r="J229" t="s">
        <v>86</v>
      </c>
      <c r="K229" t="s">
        <v>452</v>
      </c>
      <c r="L229" t="s">
        <v>337</v>
      </c>
      <c r="M229" t="s">
        <v>447</v>
      </c>
      <c r="N229" s="7">
        <v>0.69</v>
      </c>
      <c r="O229" s="7">
        <v>1.2E-2</v>
      </c>
      <c r="P229" s="7">
        <v>3</v>
      </c>
      <c r="Q229" s="7">
        <v>0.75</v>
      </c>
      <c r="R229" s="7">
        <v>0.01</v>
      </c>
      <c r="S229" s="7">
        <v>3</v>
      </c>
      <c r="T229" s="7">
        <f t="shared" si="20"/>
        <v>2.0784609690826527E-2</v>
      </c>
      <c r="U229" s="7">
        <f t="shared" si="21"/>
        <v>1.7320508075688773E-2</v>
      </c>
      <c r="V229" s="7">
        <f t="shared" si="18"/>
        <v>8.3381608939051208E-2</v>
      </c>
      <c r="W229" s="7">
        <f t="shared" si="19"/>
        <v>4.8023524469649242E-4</v>
      </c>
      <c r="X229" t="s">
        <v>448</v>
      </c>
      <c r="Y229" t="s">
        <v>89</v>
      </c>
      <c r="Z229" t="s">
        <v>449</v>
      </c>
      <c r="AA229" t="s">
        <v>477</v>
      </c>
      <c r="AB229" t="s">
        <v>92</v>
      </c>
    </row>
    <row r="230" spans="1:28">
      <c r="A230" t="s">
        <v>443</v>
      </c>
      <c r="B230" t="s">
        <v>478</v>
      </c>
      <c r="C230" t="s">
        <v>445</v>
      </c>
      <c r="D230" t="s">
        <v>446</v>
      </c>
      <c r="E230" t="s">
        <v>96</v>
      </c>
      <c r="F230">
        <v>0.3</v>
      </c>
      <c r="G230" t="s">
        <v>185</v>
      </c>
      <c r="H230" t="s">
        <v>84</v>
      </c>
      <c r="I230" t="s">
        <v>85</v>
      </c>
      <c r="J230" t="s">
        <v>86</v>
      </c>
      <c r="K230" t="s">
        <v>29</v>
      </c>
      <c r="L230" t="s">
        <v>337</v>
      </c>
      <c r="M230" t="s">
        <v>447</v>
      </c>
      <c r="N230" s="7">
        <v>0.70499999999999996</v>
      </c>
      <c r="O230" s="7">
        <v>8.0000000000000002E-3</v>
      </c>
      <c r="P230" s="7">
        <v>3</v>
      </c>
      <c r="Q230" s="7">
        <v>0.7</v>
      </c>
      <c r="R230" s="7">
        <v>2.5000000000000001E-2</v>
      </c>
      <c r="S230" s="7">
        <v>3</v>
      </c>
      <c r="T230" s="7">
        <f t="shared" si="20"/>
        <v>1.3856406460551017E-2</v>
      </c>
      <c r="U230" s="7">
        <f t="shared" si="21"/>
        <v>4.3301270189221933E-2</v>
      </c>
      <c r="V230" s="7">
        <f t="shared" si="18"/>
        <v>-7.1174677688639896E-3</v>
      </c>
      <c r="W230" s="7">
        <f t="shared" si="19"/>
        <v>1.4042763627255641E-3</v>
      </c>
      <c r="X230" t="s">
        <v>448</v>
      </c>
      <c r="Y230" t="s">
        <v>89</v>
      </c>
      <c r="Z230" t="s">
        <v>449</v>
      </c>
      <c r="AA230" t="s">
        <v>479</v>
      </c>
      <c r="AB230" t="s">
        <v>92</v>
      </c>
    </row>
    <row r="231" spans="1:28">
      <c r="A231" t="s">
        <v>443</v>
      </c>
      <c r="B231" t="s">
        <v>480</v>
      </c>
      <c r="C231" t="s">
        <v>445</v>
      </c>
      <c r="D231" t="s">
        <v>446</v>
      </c>
      <c r="E231" t="s">
        <v>96</v>
      </c>
      <c r="F231">
        <v>0.3</v>
      </c>
      <c r="G231" t="s">
        <v>185</v>
      </c>
      <c r="H231" t="s">
        <v>84</v>
      </c>
      <c r="I231" t="s">
        <v>85</v>
      </c>
      <c r="J231" t="s">
        <v>86</v>
      </c>
      <c r="K231" t="s">
        <v>149</v>
      </c>
      <c r="L231" t="s">
        <v>481</v>
      </c>
      <c r="M231" t="s">
        <v>482</v>
      </c>
      <c r="N231" s="7">
        <v>18</v>
      </c>
      <c r="O231" s="7">
        <v>0.3</v>
      </c>
      <c r="P231" s="7">
        <v>3</v>
      </c>
      <c r="Q231" s="7">
        <v>22</v>
      </c>
      <c r="R231" s="7">
        <v>0.4</v>
      </c>
      <c r="S231" s="7">
        <v>3</v>
      </c>
      <c r="T231" s="7">
        <f t="shared" si="20"/>
        <v>0.51961524227066314</v>
      </c>
      <c r="U231" s="7">
        <f t="shared" si="21"/>
        <v>0.69282032302755092</v>
      </c>
      <c r="V231" s="7">
        <f t="shared" si="18"/>
        <v>0.20067069546215124</v>
      </c>
      <c r="W231" s="7">
        <f t="shared" si="19"/>
        <v>6.0835629017447191E-4</v>
      </c>
      <c r="X231" t="s">
        <v>448</v>
      </c>
      <c r="Y231" t="s">
        <v>89</v>
      </c>
      <c r="Z231" t="s">
        <v>449</v>
      </c>
      <c r="AA231" t="s">
        <v>483</v>
      </c>
      <c r="AB231" t="s">
        <v>92</v>
      </c>
    </row>
    <row r="232" spans="1:28">
      <c r="A232" t="s">
        <v>443</v>
      </c>
      <c r="B232" t="s">
        <v>484</v>
      </c>
      <c r="C232" t="s">
        <v>445</v>
      </c>
      <c r="D232" t="s">
        <v>446</v>
      </c>
      <c r="E232" t="s">
        <v>96</v>
      </c>
      <c r="F232">
        <v>0.3</v>
      </c>
      <c r="G232" t="s">
        <v>185</v>
      </c>
      <c r="H232" t="s">
        <v>84</v>
      </c>
      <c r="I232" t="s">
        <v>85</v>
      </c>
      <c r="J232" t="s">
        <v>86</v>
      </c>
      <c r="K232" t="s">
        <v>452</v>
      </c>
      <c r="L232" t="s">
        <v>481</v>
      </c>
      <c r="M232" t="s">
        <v>482</v>
      </c>
      <c r="N232" s="7">
        <v>21</v>
      </c>
      <c r="O232" s="7">
        <v>0.4</v>
      </c>
      <c r="P232" s="7">
        <v>3</v>
      </c>
      <c r="Q232" s="7">
        <v>21.5</v>
      </c>
      <c r="R232" s="7">
        <v>0.3</v>
      </c>
      <c r="S232" s="7">
        <v>3</v>
      </c>
      <c r="T232" s="7">
        <f t="shared" si="20"/>
        <v>0.69282032302755092</v>
      </c>
      <c r="U232" s="7">
        <f t="shared" si="21"/>
        <v>0.51961524227066314</v>
      </c>
      <c r="V232" s="7">
        <f t="shared" si="18"/>
        <v>2.3530497410194036E-2</v>
      </c>
      <c r="W232" s="7">
        <f t="shared" si="19"/>
        <v>5.5751162913335512E-4</v>
      </c>
      <c r="X232" t="s">
        <v>448</v>
      </c>
      <c r="Y232" t="s">
        <v>89</v>
      </c>
      <c r="Z232" t="s">
        <v>449</v>
      </c>
      <c r="AA232" t="s">
        <v>485</v>
      </c>
      <c r="AB232" t="s">
        <v>92</v>
      </c>
    </row>
    <row r="233" spans="1:28">
      <c r="A233" t="s">
        <v>443</v>
      </c>
      <c r="B233" t="s">
        <v>486</v>
      </c>
      <c r="C233" t="s">
        <v>445</v>
      </c>
      <c r="D233" t="s">
        <v>446</v>
      </c>
      <c r="E233" t="s">
        <v>96</v>
      </c>
      <c r="F233">
        <v>0.3</v>
      </c>
      <c r="G233" t="s">
        <v>185</v>
      </c>
      <c r="H233" t="s">
        <v>84</v>
      </c>
      <c r="I233" t="s">
        <v>85</v>
      </c>
      <c r="J233" t="s">
        <v>86</v>
      </c>
      <c r="K233" t="s">
        <v>29</v>
      </c>
      <c r="L233" t="s">
        <v>481</v>
      </c>
      <c r="M233" t="s">
        <v>482</v>
      </c>
      <c r="N233" s="7">
        <v>19</v>
      </c>
      <c r="O233" s="7">
        <v>2</v>
      </c>
      <c r="P233" s="7">
        <v>3</v>
      </c>
      <c r="Q233" s="7">
        <v>40</v>
      </c>
      <c r="R233" s="7">
        <v>1.5</v>
      </c>
      <c r="S233" s="7">
        <v>3</v>
      </c>
      <c r="T233" s="7">
        <f t="shared" si="20"/>
        <v>3.4641016151377544</v>
      </c>
      <c r="U233" s="7">
        <f t="shared" si="21"/>
        <v>2.598076211353316</v>
      </c>
      <c r="V233" s="7">
        <f t="shared" si="18"/>
        <v>0.74444047494749577</v>
      </c>
      <c r="W233" s="7">
        <f t="shared" si="19"/>
        <v>1.2486582409972297E-2</v>
      </c>
      <c r="X233" t="s">
        <v>448</v>
      </c>
      <c r="Y233" t="s">
        <v>89</v>
      </c>
      <c r="Z233" t="s">
        <v>449</v>
      </c>
      <c r="AA233" t="s">
        <v>487</v>
      </c>
      <c r="AB233" t="s">
        <v>92</v>
      </c>
    </row>
    <row r="234" spans="1:28">
      <c r="A234" t="s">
        <v>443</v>
      </c>
      <c r="B234" t="s">
        <v>488</v>
      </c>
      <c r="C234" t="s">
        <v>445</v>
      </c>
      <c r="D234" t="s">
        <v>446</v>
      </c>
      <c r="E234" t="s">
        <v>96</v>
      </c>
      <c r="F234">
        <v>0.3</v>
      </c>
      <c r="G234" t="s">
        <v>185</v>
      </c>
      <c r="H234" t="s">
        <v>84</v>
      </c>
      <c r="I234" t="s">
        <v>85</v>
      </c>
      <c r="J234" t="s">
        <v>86</v>
      </c>
      <c r="K234" t="s">
        <v>149</v>
      </c>
      <c r="L234" t="s">
        <v>489</v>
      </c>
      <c r="M234" t="s">
        <v>482</v>
      </c>
      <c r="N234" s="7">
        <v>56</v>
      </c>
      <c r="O234" s="7">
        <v>1.5</v>
      </c>
      <c r="P234" s="7">
        <v>3</v>
      </c>
      <c r="Q234" s="7">
        <v>68</v>
      </c>
      <c r="R234" s="7">
        <v>1.5</v>
      </c>
      <c r="S234" s="7">
        <v>3</v>
      </c>
      <c r="T234" s="7">
        <f t="shared" si="20"/>
        <v>2.598076211353316</v>
      </c>
      <c r="U234" s="7">
        <f t="shared" si="21"/>
        <v>2.598076211353316</v>
      </c>
      <c r="V234" s="7">
        <f t="shared" si="18"/>
        <v>0.1941560144409574</v>
      </c>
      <c r="W234" s="7">
        <f t="shared" si="19"/>
        <v>1.2040661852976485E-3</v>
      </c>
      <c r="X234" t="s">
        <v>448</v>
      </c>
      <c r="Y234" t="s">
        <v>89</v>
      </c>
      <c r="Z234" t="s">
        <v>449</v>
      </c>
      <c r="AA234" t="s">
        <v>490</v>
      </c>
      <c r="AB234" t="s">
        <v>92</v>
      </c>
    </row>
    <row r="235" spans="1:28">
      <c r="A235" t="s">
        <v>443</v>
      </c>
      <c r="B235" t="s">
        <v>491</v>
      </c>
      <c r="C235" t="s">
        <v>445</v>
      </c>
      <c r="D235" t="s">
        <v>446</v>
      </c>
      <c r="E235" t="s">
        <v>96</v>
      </c>
      <c r="F235">
        <v>0.3</v>
      </c>
      <c r="G235" t="s">
        <v>185</v>
      </c>
      <c r="H235" t="s">
        <v>84</v>
      </c>
      <c r="I235" t="s">
        <v>85</v>
      </c>
      <c r="J235" t="s">
        <v>86</v>
      </c>
      <c r="K235" t="s">
        <v>452</v>
      </c>
      <c r="L235" t="s">
        <v>489</v>
      </c>
      <c r="M235" t="s">
        <v>482</v>
      </c>
      <c r="N235" s="7">
        <v>58</v>
      </c>
      <c r="O235" s="7">
        <v>2</v>
      </c>
      <c r="P235" s="7">
        <v>3</v>
      </c>
      <c r="Q235" s="7">
        <v>65</v>
      </c>
      <c r="R235" s="7">
        <v>4</v>
      </c>
      <c r="S235" s="7">
        <v>3</v>
      </c>
      <c r="T235" s="7">
        <f t="shared" si="20"/>
        <v>3.4641016151377544</v>
      </c>
      <c r="U235" s="7">
        <f t="shared" si="21"/>
        <v>6.9282032302755088</v>
      </c>
      <c r="V235" s="7">
        <f t="shared" si="18"/>
        <v>0.11394425934921769</v>
      </c>
      <c r="W235" s="7">
        <f t="shared" si="19"/>
        <v>4.9760428906134562E-3</v>
      </c>
      <c r="X235" t="s">
        <v>448</v>
      </c>
      <c r="Y235" t="s">
        <v>89</v>
      </c>
      <c r="Z235" t="s">
        <v>449</v>
      </c>
      <c r="AA235" t="s">
        <v>492</v>
      </c>
      <c r="AB235" t="s">
        <v>92</v>
      </c>
    </row>
    <row r="236" spans="1:28">
      <c r="A236" t="s">
        <v>443</v>
      </c>
      <c r="B236" t="s">
        <v>493</v>
      </c>
      <c r="C236" t="s">
        <v>445</v>
      </c>
      <c r="D236" t="s">
        <v>446</v>
      </c>
      <c r="E236" t="s">
        <v>96</v>
      </c>
      <c r="F236">
        <v>0.3</v>
      </c>
      <c r="G236" t="s">
        <v>185</v>
      </c>
      <c r="H236" t="s">
        <v>84</v>
      </c>
      <c r="I236" t="s">
        <v>85</v>
      </c>
      <c r="J236" t="s">
        <v>86</v>
      </c>
      <c r="K236" t="s">
        <v>29</v>
      </c>
      <c r="L236" t="s">
        <v>489</v>
      </c>
      <c r="M236" t="s">
        <v>482</v>
      </c>
      <c r="N236" s="7">
        <v>48</v>
      </c>
      <c r="O236" s="7">
        <v>1.5</v>
      </c>
      <c r="P236" s="7">
        <v>3</v>
      </c>
      <c r="Q236" s="7">
        <v>116</v>
      </c>
      <c r="R236" s="7">
        <v>4</v>
      </c>
      <c r="S236" s="7">
        <v>3</v>
      </c>
      <c r="T236" s="7">
        <f t="shared" si="20"/>
        <v>2.598076211353316</v>
      </c>
      <c r="U236" s="7">
        <f t="shared" si="21"/>
        <v>6.9282032302755088</v>
      </c>
      <c r="V236" s="7">
        <f t="shared" si="18"/>
        <v>0.88238918019847368</v>
      </c>
      <c r="W236" s="7">
        <f t="shared" si="19"/>
        <v>2.1656231420927466E-3</v>
      </c>
      <c r="X236" t="s">
        <v>448</v>
      </c>
      <c r="Y236" t="s">
        <v>89</v>
      </c>
      <c r="Z236" t="s">
        <v>449</v>
      </c>
      <c r="AA236" t="s">
        <v>494</v>
      </c>
      <c r="AB236" t="s">
        <v>92</v>
      </c>
    </row>
    <row r="237" spans="1:28">
      <c r="A237" t="s">
        <v>443</v>
      </c>
      <c r="B237" t="s">
        <v>495</v>
      </c>
      <c r="C237" t="s">
        <v>445</v>
      </c>
      <c r="D237" t="s">
        <v>446</v>
      </c>
      <c r="E237" t="s">
        <v>96</v>
      </c>
      <c r="F237">
        <v>0.3</v>
      </c>
      <c r="G237" t="s">
        <v>185</v>
      </c>
      <c r="H237" t="s">
        <v>84</v>
      </c>
      <c r="I237" t="s">
        <v>85</v>
      </c>
      <c r="J237" t="s">
        <v>86</v>
      </c>
      <c r="K237" t="s">
        <v>149</v>
      </c>
      <c r="L237" t="s">
        <v>496</v>
      </c>
      <c r="M237" t="s">
        <v>482</v>
      </c>
      <c r="N237" s="7">
        <v>15</v>
      </c>
      <c r="O237" s="7">
        <v>0.8</v>
      </c>
      <c r="P237" s="7">
        <v>3</v>
      </c>
      <c r="Q237" s="7">
        <v>38</v>
      </c>
      <c r="R237" s="7">
        <v>2.5</v>
      </c>
      <c r="S237" s="7">
        <v>3</v>
      </c>
      <c r="T237" s="7">
        <f t="shared" si="20"/>
        <v>1.3856406460551018</v>
      </c>
      <c r="U237" s="7">
        <f t="shared" si="21"/>
        <v>4.3301270189221928</v>
      </c>
      <c r="V237" s="7">
        <f t="shared" si="18"/>
        <v>0.92953595862417571</v>
      </c>
      <c r="W237" s="7">
        <f t="shared" si="19"/>
        <v>7.1726992920898725E-3</v>
      </c>
      <c r="X237" t="s">
        <v>448</v>
      </c>
      <c r="Y237" t="s">
        <v>89</v>
      </c>
      <c r="Z237" t="s">
        <v>449</v>
      </c>
      <c r="AA237" t="s">
        <v>497</v>
      </c>
      <c r="AB237" t="s">
        <v>92</v>
      </c>
    </row>
    <row r="238" spans="1:28">
      <c r="A238" t="s">
        <v>443</v>
      </c>
      <c r="B238" t="s">
        <v>498</v>
      </c>
      <c r="C238" t="s">
        <v>445</v>
      </c>
      <c r="D238" t="s">
        <v>446</v>
      </c>
      <c r="E238" t="s">
        <v>96</v>
      </c>
      <c r="F238">
        <v>0.3</v>
      </c>
      <c r="G238" t="s">
        <v>185</v>
      </c>
      <c r="H238" t="s">
        <v>84</v>
      </c>
      <c r="I238" t="s">
        <v>85</v>
      </c>
      <c r="J238" t="s">
        <v>86</v>
      </c>
      <c r="K238" t="s">
        <v>452</v>
      </c>
      <c r="L238" t="s">
        <v>496</v>
      </c>
      <c r="M238" t="s">
        <v>482</v>
      </c>
      <c r="N238" s="7">
        <v>15</v>
      </c>
      <c r="O238" s="7">
        <v>0.8</v>
      </c>
      <c r="P238" s="7">
        <v>3</v>
      </c>
      <c r="Q238" s="7">
        <v>23</v>
      </c>
      <c r="R238" s="7">
        <v>0.8</v>
      </c>
      <c r="S238" s="7">
        <v>3</v>
      </c>
      <c r="T238" s="7">
        <f t="shared" si="20"/>
        <v>1.3856406460551018</v>
      </c>
      <c r="U238" s="7">
        <f t="shared" si="21"/>
        <v>1.3856406460551018</v>
      </c>
      <c r="V238" s="7">
        <f t="shared" si="18"/>
        <v>0.42744401482693967</v>
      </c>
      <c r="W238" s="7">
        <f t="shared" si="19"/>
        <v>4.0542743121193027E-3</v>
      </c>
      <c r="X238" t="s">
        <v>448</v>
      </c>
      <c r="Y238" t="s">
        <v>89</v>
      </c>
      <c r="Z238" t="s">
        <v>449</v>
      </c>
      <c r="AA238" t="s">
        <v>499</v>
      </c>
      <c r="AB238" t="s">
        <v>92</v>
      </c>
    </row>
    <row r="239" spans="1:28">
      <c r="A239" t="s">
        <v>443</v>
      </c>
      <c r="B239" t="s">
        <v>500</v>
      </c>
      <c r="C239" t="s">
        <v>445</v>
      </c>
      <c r="D239" t="s">
        <v>446</v>
      </c>
      <c r="E239" t="s">
        <v>96</v>
      </c>
      <c r="F239">
        <v>0.3</v>
      </c>
      <c r="G239" t="s">
        <v>185</v>
      </c>
      <c r="H239" t="s">
        <v>84</v>
      </c>
      <c r="I239" t="s">
        <v>85</v>
      </c>
      <c r="J239" t="s">
        <v>86</v>
      </c>
      <c r="K239" t="s">
        <v>29</v>
      </c>
      <c r="L239" t="s">
        <v>496</v>
      </c>
      <c r="M239" t="s">
        <v>482</v>
      </c>
      <c r="N239" s="7">
        <v>16</v>
      </c>
      <c r="O239" s="7">
        <v>1.5</v>
      </c>
      <c r="P239" s="7">
        <v>3</v>
      </c>
      <c r="Q239" s="7">
        <v>6</v>
      </c>
      <c r="R239" s="7">
        <v>0.8</v>
      </c>
      <c r="S239" s="7">
        <v>3</v>
      </c>
      <c r="T239" s="7">
        <f t="shared" si="20"/>
        <v>2.598076211353316</v>
      </c>
      <c r="U239" s="7">
        <f t="shared" si="21"/>
        <v>1.3856406460551018</v>
      </c>
      <c r="V239" s="7">
        <f t="shared" si="18"/>
        <v>-0.98082925301172619</v>
      </c>
      <c r="W239" s="7">
        <f t="shared" si="19"/>
        <v>2.6566840277777778E-2</v>
      </c>
      <c r="X239" t="s">
        <v>448</v>
      </c>
      <c r="Y239" t="s">
        <v>89</v>
      </c>
      <c r="Z239" t="s">
        <v>449</v>
      </c>
      <c r="AA239" t="s">
        <v>501</v>
      </c>
      <c r="AB239" t="s">
        <v>92</v>
      </c>
    </row>
    <row r="240" spans="1:28">
      <c r="A240" t="s">
        <v>443</v>
      </c>
      <c r="B240" t="s">
        <v>502</v>
      </c>
      <c r="C240" t="s">
        <v>445</v>
      </c>
      <c r="D240" t="s">
        <v>446</v>
      </c>
      <c r="E240" t="s">
        <v>96</v>
      </c>
      <c r="F240">
        <v>0.3</v>
      </c>
      <c r="G240" t="s">
        <v>185</v>
      </c>
      <c r="H240" t="s">
        <v>84</v>
      </c>
      <c r="I240" t="s">
        <v>85</v>
      </c>
      <c r="J240" t="s">
        <v>86</v>
      </c>
      <c r="K240" t="s">
        <v>149</v>
      </c>
      <c r="L240" t="s">
        <v>503</v>
      </c>
      <c r="M240" t="s">
        <v>482</v>
      </c>
      <c r="N240" s="7">
        <v>188</v>
      </c>
      <c r="O240" s="7">
        <v>6</v>
      </c>
      <c r="P240" s="7">
        <v>3</v>
      </c>
      <c r="Q240" s="7">
        <v>194</v>
      </c>
      <c r="R240" s="7">
        <v>7</v>
      </c>
      <c r="S240" s="7">
        <v>3</v>
      </c>
      <c r="T240" s="7">
        <f t="shared" si="20"/>
        <v>10.392304845413264</v>
      </c>
      <c r="U240" s="7">
        <f t="shared" si="21"/>
        <v>12.124355652982141</v>
      </c>
      <c r="V240" s="7">
        <f t="shared" si="18"/>
        <v>3.1416196233378914E-2</v>
      </c>
      <c r="W240" s="7">
        <f t="shared" si="19"/>
        <v>2.3205053809137693E-3</v>
      </c>
      <c r="X240" t="s">
        <v>448</v>
      </c>
      <c r="Y240" t="s">
        <v>89</v>
      </c>
      <c r="Z240" t="s">
        <v>449</v>
      </c>
      <c r="AA240" t="s">
        <v>504</v>
      </c>
      <c r="AB240" t="s">
        <v>92</v>
      </c>
    </row>
    <row r="241" spans="1:28">
      <c r="A241" t="s">
        <v>443</v>
      </c>
      <c r="B241" t="s">
        <v>505</v>
      </c>
      <c r="C241" t="s">
        <v>445</v>
      </c>
      <c r="D241" t="s">
        <v>446</v>
      </c>
      <c r="E241" t="s">
        <v>96</v>
      </c>
      <c r="F241">
        <v>0.3</v>
      </c>
      <c r="G241" t="s">
        <v>185</v>
      </c>
      <c r="H241" t="s">
        <v>84</v>
      </c>
      <c r="I241" t="s">
        <v>85</v>
      </c>
      <c r="J241" t="s">
        <v>86</v>
      </c>
      <c r="K241" t="s">
        <v>452</v>
      </c>
      <c r="L241" t="s">
        <v>503</v>
      </c>
      <c r="M241" t="s">
        <v>482</v>
      </c>
      <c r="N241" s="7">
        <v>154</v>
      </c>
      <c r="O241" s="7">
        <v>4</v>
      </c>
      <c r="P241" s="7">
        <v>3</v>
      </c>
      <c r="Q241" s="7">
        <v>184</v>
      </c>
      <c r="R241" s="7">
        <v>6</v>
      </c>
      <c r="S241" s="7">
        <v>3</v>
      </c>
      <c r="T241" s="7">
        <f t="shared" si="20"/>
        <v>6.9282032302755088</v>
      </c>
      <c r="U241" s="7">
        <f t="shared" si="21"/>
        <v>10.392304845413264</v>
      </c>
      <c r="V241" s="7">
        <f t="shared" si="18"/>
        <v>0.17798315519535643</v>
      </c>
      <c r="W241" s="7">
        <f t="shared" si="19"/>
        <v>1.7379770574354816E-3</v>
      </c>
      <c r="X241" t="s">
        <v>448</v>
      </c>
      <c r="Y241" t="s">
        <v>89</v>
      </c>
      <c r="Z241" t="s">
        <v>449</v>
      </c>
      <c r="AA241" t="s">
        <v>506</v>
      </c>
      <c r="AB241" t="s">
        <v>92</v>
      </c>
    </row>
    <row r="242" spans="1:28">
      <c r="A242" t="s">
        <v>443</v>
      </c>
      <c r="B242" t="s">
        <v>507</v>
      </c>
      <c r="C242" t="s">
        <v>445</v>
      </c>
      <c r="D242" t="s">
        <v>446</v>
      </c>
      <c r="E242" t="s">
        <v>96</v>
      </c>
      <c r="F242">
        <v>0.3</v>
      </c>
      <c r="G242" t="s">
        <v>185</v>
      </c>
      <c r="H242" t="s">
        <v>84</v>
      </c>
      <c r="I242" t="s">
        <v>85</v>
      </c>
      <c r="J242" t="s">
        <v>86</v>
      </c>
      <c r="K242" t="s">
        <v>29</v>
      </c>
      <c r="L242" t="s">
        <v>503</v>
      </c>
      <c r="M242" t="s">
        <v>482</v>
      </c>
      <c r="N242" s="7">
        <v>124</v>
      </c>
      <c r="O242" s="7">
        <v>3</v>
      </c>
      <c r="P242" s="7">
        <v>3</v>
      </c>
      <c r="Q242" s="7">
        <v>157</v>
      </c>
      <c r="R242" s="7">
        <v>2</v>
      </c>
      <c r="S242" s="7">
        <v>3</v>
      </c>
      <c r="T242" s="7">
        <f t="shared" si="20"/>
        <v>5.196152422706632</v>
      </c>
      <c r="U242" s="7">
        <f t="shared" si="21"/>
        <v>3.4641016151377544</v>
      </c>
      <c r="V242" s="7">
        <f t="shared" si="18"/>
        <v>0.23596423974327119</v>
      </c>
      <c r="W242" s="7">
        <f t="shared" si="19"/>
        <v>7.4760617213439436E-4</v>
      </c>
      <c r="X242" t="s">
        <v>448</v>
      </c>
      <c r="Y242" t="s">
        <v>89</v>
      </c>
      <c r="Z242" t="s">
        <v>449</v>
      </c>
      <c r="AA242" t="s">
        <v>508</v>
      </c>
      <c r="AB242" t="s">
        <v>92</v>
      </c>
    </row>
    <row r="243" spans="1:28">
      <c r="A243" t="s">
        <v>509</v>
      </c>
      <c r="B243" t="s">
        <v>510</v>
      </c>
      <c r="C243" t="s">
        <v>511</v>
      </c>
      <c r="D243" t="s">
        <v>512</v>
      </c>
      <c r="E243" t="s">
        <v>96</v>
      </c>
      <c r="F243">
        <v>10</v>
      </c>
      <c r="G243" t="s">
        <v>185</v>
      </c>
      <c r="H243" t="s">
        <v>84</v>
      </c>
      <c r="I243" t="s">
        <v>85</v>
      </c>
      <c r="J243" t="s">
        <v>513</v>
      </c>
      <c r="K243" t="s">
        <v>41</v>
      </c>
      <c r="L243" t="s">
        <v>40</v>
      </c>
      <c r="M243" t="s">
        <v>188</v>
      </c>
      <c r="N243" s="7">
        <v>55</v>
      </c>
      <c r="O243" s="7">
        <v>6</v>
      </c>
      <c r="P243" s="7">
        <v>4</v>
      </c>
      <c r="Q243" s="7">
        <v>60</v>
      </c>
      <c r="R243" s="7">
        <v>4</v>
      </c>
      <c r="S243" s="7">
        <v>4</v>
      </c>
      <c r="T243" s="7">
        <f t="shared" si="20"/>
        <v>12</v>
      </c>
      <c r="U243" s="7">
        <f t="shared" si="21"/>
        <v>8</v>
      </c>
      <c r="V243" s="7">
        <f t="shared" si="18"/>
        <v>8.7011376989629699E-2</v>
      </c>
      <c r="W243" s="7">
        <f t="shared" si="19"/>
        <v>1.6345270890725436E-2</v>
      </c>
      <c r="X243" t="s">
        <v>514</v>
      </c>
      <c r="Y243" t="s">
        <v>89</v>
      </c>
      <c r="Z243" t="s">
        <v>515</v>
      </c>
      <c r="AA243" t="s">
        <v>516</v>
      </c>
      <c r="AB243" t="s">
        <v>92</v>
      </c>
    </row>
    <row r="244" spans="1:28">
      <c r="A244" t="s">
        <v>509</v>
      </c>
      <c r="B244" t="s">
        <v>517</v>
      </c>
      <c r="C244" t="s">
        <v>511</v>
      </c>
      <c r="D244" t="s">
        <v>512</v>
      </c>
      <c r="E244" t="s">
        <v>96</v>
      </c>
      <c r="F244">
        <v>20</v>
      </c>
      <c r="G244" t="s">
        <v>185</v>
      </c>
      <c r="H244" t="s">
        <v>84</v>
      </c>
      <c r="I244" t="s">
        <v>85</v>
      </c>
      <c r="J244" t="s">
        <v>513</v>
      </c>
      <c r="K244" t="s">
        <v>41</v>
      </c>
      <c r="L244" t="s">
        <v>40</v>
      </c>
      <c r="M244" t="s">
        <v>188</v>
      </c>
      <c r="N244" s="7">
        <v>55</v>
      </c>
      <c r="O244" s="7">
        <v>6</v>
      </c>
      <c r="P244" s="7">
        <v>4</v>
      </c>
      <c r="Q244" s="7">
        <v>57.5</v>
      </c>
      <c r="R244" s="7">
        <v>5.5</v>
      </c>
      <c r="S244" s="7">
        <v>4</v>
      </c>
      <c r="T244" s="7">
        <f t="shared" si="20"/>
        <v>12</v>
      </c>
      <c r="U244" s="7">
        <f t="shared" si="21"/>
        <v>11</v>
      </c>
      <c r="V244" s="7">
        <f t="shared" si="18"/>
        <v>4.4451762570833796E-2</v>
      </c>
      <c r="W244" s="7">
        <f t="shared" si="19"/>
        <v>2.1050164820572106E-2</v>
      </c>
      <c r="X244" t="s">
        <v>514</v>
      </c>
      <c r="Y244" t="s">
        <v>89</v>
      </c>
      <c r="Z244" t="s">
        <v>515</v>
      </c>
      <c r="AA244" t="s">
        <v>516</v>
      </c>
      <c r="AB244" t="s">
        <v>92</v>
      </c>
    </row>
    <row r="245" spans="1:28">
      <c r="A245" t="s">
        <v>509</v>
      </c>
      <c r="B245" t="s">
        <v>518</v>
      </c>
      <c r="C245" t="s">
        <v>511</v>
      </c>
      <c r="D245" t="s">
        <v>512</v>
      </c>
      <c r="E245" t="s">
        <v>96</v>
      </c>
      <c r="F245">
        <v>10</v>
      </c>
      <c r="G245" t="s">
        <v>185</v>
      </c>
      <c r="H245" t="s">
        <v>84</v>
      </c>
      <c r="I245" t="s">
        <v>85</v>
      </c>
      <c r="J245" t="s">
        <v>513</v>
      </c>
      <c r="K245" t="s">
        <v>29</v>
      </c>
      <c r="L245" t="s">
        <v>40</v>
      </c>
      <c r="M245" t="s">
        <v>188</v>
      </c>
      <c r="N245" s="7">
        <v>39.5</v>
      </c>
      <c r="O245" s="7">
        <v>2</v>
      </c>
      <c r="P245" s="7">
        <v>4</v>
      </c>
      <c r="Q245" s="7">
        <v>39</v>
      </c>
      <c r="R245" s="7">
        <v>1.2</v>
      </c>
      <c r="S245" s="7">
        <v>4</v>
      </c>
      <c r="T245" s="7">
        <f t="shared" si="20"/>
        <v>4</v>
      </c>
      <c r="U245" s="7">
        <f t="shared" si="21"/>
        <v>2.4</v>
      </c>
      <c r="V245" s="7">
        <f t="shared" si="18"/>
        <v>-1.2739025777429714E-2</v>
      </c>
      <c r="W245" s="7">
        <f t="shared" si="19"/>
        <v>3.51043727820132E-3</v>
      </c>
      <c r="X245" t="s">
        <v>514</v>
      </c>
      <c r="Y245" t="s">
        <v>89</v>
      </c>
      <c r="Z245" t="s">
        <v>515</v>
      </c>
      <c r="AA245" t="s">
        <v>519</v>
      </c>
      <c r="AB245" t="s">
        <v>92</v>
      </c>
    </row>
    <row r="246" spans="1:28">
      <c r="A246" t="s">
        <v>509</v>
      </c>
      <c r="B246" t="s">
        <v>520</v>
      </c>
      <c r="C246" t="s">
        <v>511</v>
      </c>
      <c r="D246" t="s">
        <v>512</v>
      </c>
      <c r="E246" t="s">
        <v>96</v>
      </c>
      <c r="F246">
        <v>20</v>
      </c>
      <c r="G246" t="s">
        <v>185</v>
      </c>
      <c r="H246" t="s">
        <v>84</v>
      </c>
      <c r="I246" t="s">
        <v>85</v>
      </c>
      <c r="J246" t="s">
        <v>513</v>
      </c>
      <c r="K246" t="s">
        <v>29</v>
      </c>
      <c r="L246" t="s">
        <v>40</v>
      </c>
      <c r="M246" t="s">
        <v>188</v>
      </c>
      <c r="N246" s="7">
        <v>39.5</v>
      </c>
      <c r="O246" s="7">
        <v>2</v>
      </c>
      <c r="P246" s="7">
        <v>4</v>
      </c>
      <c r="Q246" s="7">
        <v>33</v>
      </c>
      <c r="R246" s="7">
        <v>2.5</v>
      </c>
      <c r="S246" s="7">
        <v>4</v>
      </c>
      <c r="T246" s="7">
        <f t="shared" si="20"/>
        <v>4</v>
      </c>
      <c r="U246" s="7">
        <f t="shared" si="21"/>
        <v>5</v>
      </c>
      <c r="V246" s="7">
        <f t="shared" si="18"/>
        <v>-0.17979311044059593</v>
      </c>
      <c r="W246" s="7">
        <f t="shared" si="19"/>
        <v>8.3029020007359712E-3</v>
      </c>
      <c r="X246" t="s">
        <v>514</v>
      </c>
      <c r="Y246" t="s">
        <v>89</v>
      </c>
      <c r="Z246" t="s">
        <v>515</v>
      </c>
      <c r="AA246" t="s">
        <v>519</v>
      </c>
      <c r="AB246" t="s">
        <v>92</v>
      </c>
    </row>
    <row r="247" spans="1:28">
      <c r="A247" t="s">
        <v>509</v>
      </c>
      <c r="B247" t="s">
        <v>521</v>
      </c>
      <c r="C247" t="s">
        <v>511</v>
      </c>
      <c r="D247" t="s">
        <v>512</v>
      </c>
      <c r="E247" t="s">
        <v>96</v>
      </c>
      <c r="F247">
        <v>10</v>
      </c>
      <c r="G247" t="s">
        <v>185</v>
      </c>
      <c r="H247" t="s">
        <v>84</v>
      </c>
      <c r="I247" t="s">
        <v>85</v>
      </c>
      <c r="J247" t="s">
        <v>513</v>
      </c>
      <c r="K247" t="s">
        <v>41</v>
      </c>
      <c r="L247" t="s">
        <v>30</v>
      </c>
      <c r="M247" t="s">
        <v>188</v>
      </c>
      <c r="N247" s="7">
        <v>12.8</v>
      </c>
      <c r="O247" s="7">
        <v>0.4</v>
      </c>
      <c r="P247" s="7">
        <v>4</v>
      </c>
      <c r="Q247" s="7">
        <v>13</v>
      </c>
      <c r="R247" s="7">
        <v>0.8</v>
      </c>
      <c r="S247" s="7">
        <v>4</v>
      </c>
      <c r="T247" s="7">
        <f t="shared" si="20"/>
        <v>0.8</v>
      </c>
      <c r="U247" s="7">
        <f t="shared" si="21"/>
        <v>1.6</v>
      </c>
      <c r="V247" s="7">
        <f t="shared" si="18"/>
        <v>1.5504186535965254E-2</v>
      </c>
      <c r="W247" s="7">
        <f t="shared" si="19"/>
        <v>4.7635447485207105E-3</v>
      </c>
      <c r="X247" t="s">
        <v>514</v>
      </c>
      <c r="Y247" t="s">
        <v>89</v>
      </c>
      <c r="Z247" t="s">
        <v>515</v>
      </c>
      <c r="AA247" t="s">
        <v>522</v>
      </c>
      <c r="AB247" t="s">
        <v>92</v>
      </c>
    </row>
    <row r="248" spans="1:28">
      <c r="A248" t="s">
        <v>509</v>
      </c>
      <c r="B248" t="s">
        <v>523</v>
      </c>
      <c r="C248" t="s">
        <v>511</v>
      </c>
      <c r="D248" t="s">
        <v>512</v>
      </c>
      <c r="E248" t="s">
        <v>96</v>
      </c>
      <c r="F248">
        <v>20</v>
      </c>
      <c r="G248" t="s">
        <v>185</v>
      </c>
      <c r="H248" t="s">
        <v>84</v>
      </c>
      <c r="I248" t="s">
        <v>85</v>
      </c>
      <c r="J248" t="s">
        <v>513</v>
      </c>
      <c r="K248" t="s">
        <v>41</v>
      </c>
      <c r="L248" t="s">
        <v>30</v>
      </c>
      <c r="M248" t="s">
        <v>188</v>
      </c>
      <c r="N248" s="7">
        <v>12.8</v>
      </c>
      <c r="O248" s="7">
        <v>0.4</v>
      </c>
      <c r="P248" s="7">
        <v>4</v>
      </c>
      <c r="Q248" s="7">
        <v>13.3</v>
      </c>
      <c r="R248" s="7">
        <v>0.7</v>
      </c>
      <c r="S248" s="7">
        <v>4</v>
      </c>
      <c r="T248" s="7">
        <f t="shared" ref="T248:T274" si="22">O248*SQRT(P248)</f>
        <v>0.8</v>
      </c>
      <c r="U248" s="7">
        <f t="shared" ref="U248:U274" si="23">R248*SQRT(S248)</f>
        <v>1.4</v>
      </c>
      <c r="V248" s="7">
        <f t="shared" si="18"/>
        <v>3.8318864302136602E-2</v>
      </c>
      <c r="W248" s="7">
        <f t="shared" si="19"/>
        <v>3.7466456024930744E-3</v>
      </c>
      <c r="X248" t="s">
        <v>514</v>
      </c>
      <c r="Y248" t="s">
        <v>89</v>
      </c>
      <c r="Z248" t="s">
        <v>515</v>
      </c>
      <c r="AA248" t="s">
        <v>522</v>
      </c>
      <c r="AB248" t="s">
        <v>92</v>
      </c>
    </row>
    <row r="249" spans="1:28">
      <c r="A249" t="s">
        <v>509</v>
      </c>
      <c r="B249" t="s">
        <v>524</v>
      </c>
      <c r="C249" t="s">
        <v>511</v>
      </c>
      <c r="D249" t="s">
        <v>512</v>
      </c>
      <c r="E249" t="s">
        <v>96</v>
      </c>
      <c r="F249">
        <v>10</v>
      </c>
      <c r="G249" t="s">
        <v>185</v>
      </c>
      <c r="H249" t="s">
        <v>84</v>
      </c>
      <c r="I249" t="s">
        <v>85</v>
      </c>
      <c r="J249" t="s">
        <v>513</v>
      </c>
      <c r="K249" t="s">
        <v>29</v>
      </c>
      <c r="L249" t="s">
        <v>30</v>
      </c>
      <c r="M249" t="s">
        <v>188</v>
      </c>
      <c r="N249" s="7">
        <v>9.4</v>
      </c>
      <c r="O249" s="7">
        <v>1.1000000000000001</v>
      </c>
      <c r="P249" s="7">
        <v>4</v>
      </c>
      <c r="Q249" s="7">
        <v>10.5</v>
      </c>
      <c r="R249" s="7">
        <v>1.2</v>
      </c>
      <c r="S249" s="7">
        <v>4</v>
      </c>
      <c r="T249" s="7">
        <f t="shared" si="22"/>
        <v>2.2000000000000002</v>
      </c>
      <c r="U249" s="7">
        <f t="shared" si="23"/>
        <v>2.4</v>
      </c>
      <c r="V249" s="7">
        <f t="shared" si="18"/>
        <v>0.11066556788751938</v>
      </c>
      <c r="W249" s="7">
        <f t="shared" si="19"/>
        <v>2.67552036658937E-2</v>
      </c>
      <c r="X249" t="s">
        <v>514</v>
      </c>
      <c r="Y249" t="s">
        <v>89</v>
      </c>
      <c r="Z249" t="s">
        <v>515</v>
      </c>
      <c r="AA249" t="s">
        <v>525</v>
      </c>
      <c r="AB249" t="s">
        <v>92</v>
      </c>
    </row>
    <row r="250" spans="1:28">
      <c r="A250" t="s">
        <v>509</v>
      </c>
      <c r="B250" t="s">
        <v>526</v>
      </c>
      <c r="C250" t="s">
        <v>511</v>
      </c>
      <c r="D250" t="s">
        <v>512</v>
      </c>
      <c r="E250" t="s">
        <v>96</v>
      </c>
      <c r="F250">
        <v>20</v>
      </c>
      <c r="G250" t="s">
        <v>185</v>
      </c>
      <c r="H250" t="s">
        <v>84</v>
      </c>
      <c r="I250" t="s">
        <v>85</v>
      </c>
      <c r="J250" t="s">
        <v>513</v>
      </c>
      <c r="K250" t="s">
        <v>29</v>
      </c>
      <c r="L250" t="s">
        <v>30</v>
      </c>
      <c r="M250" t="s">
        <v>188</v>
      </c>
      <c r="N250" s="7">
        <v>9.4</v>
      </c>
      <c r="O250" s="7">
        <v>1.1000000000000001</v>
      </c>
      <c r="P250" s="7">
        <v>4</v>
      </c>
      <c r="Q250" s="7">
        <v>9.8000000000000007</v>
      </c>
      <c r="R250" s="7">
        <v>1</v>
      </c>
      <c r="S250" s="7">
        <v>4</v>
      </c>
      <c r="T250" s="7">
        <f t="shared" si="22"/>
        <v>2.2000000000000002</v>
      </c>
      <c r="U250" s="7">
        <f t="shared" si="23"/>
        <v>2</v>
      </c>
      <c r="V250" s="7">
        <f t="shared" si="18"/>
        <v>4.1672696400568081E-2</v>
      </c>
      <c r="W250" s="7">
        <f t="shared" si="19"/>
        <v>2.4106307372682538E-2</v>
      </c>
      <c r="X250" t="s">
        <v>514</v>
      </c>
      <c r="Y250" t="s">
        <v>89</v>
      </c>
      <c r="Z250" t="s">
        <v>515</v>
      </c>
      <c r="AA250" t="s">
        <v>525</v>
      </c>
      <c r="AB250" t="s">
        <v>92</v>
      </c>
    </row>
    <row r="251" spans="1:28">
      <c r="A251" t="s">
        <v>509</v>
      </c>
      <c r="B251" t="s">
        <v>527</v>
      </c>
      <c r="C251" t="s">
        <v>511</v>
      </c>
      <c r="D251" t="s">
        <v>528</v>
      </c>
      <c r="E251" t="s">
        <v>96</v>
      </c>
      <c r="F251">
        <v>10</v>
      </c>
      <c r="G251" t="s">
        <v>185</v>
      </c>
      <c r="H251" t="s">
        <v>84</v>
      </c>
      <c r="I251" t="s">
        <v>85</v>
      </c>
      <c r="J251" t="s">
        <v>513</v>
      </c>
      <c r="K251" t="s">
        <v>41</v>
      </c>
      <c r="L251" t="s">
        <v>40</v>
      </c>
      <c r="M251" t="s">
        <v>188</v>
      </c>
      <c r="N251" s="7">
        <v>60</v>
      </c>
      <c r="O251" s="7">
        <v>1.5</v>
      </c>
      <c r="P251" s="7">
        <v>4</v>
      </c>
      <c r="Q251" s="7">
        <v>61</v>
      </c>
      <c r="R251" s="7">
        <v>4.5</v>
      </c>
      <c r="S251" s="7">
        <v>4</v>
      </c>
      <c r="T251" s="7">
        <f t="shared" si="22"/>
        <v>3</v>
      </c>
      <c r="U251" s="7">
        <f t="shared" si="23"/>
        <v>9</v>
      </c>
      <c r="V251" s="7">
        <f t="shared" si="18"/>
        <v>1.6529301951210506E-2</v>
      </c>
      <c r="W251" s="7">
        <f t="shared" si="19"/>
        <v>6.0670854608976081E-3</v>
      </c>
      <c r="X251" t="s">
        <v>514</v>
      </c>
      <c r="Y251" t="s">
        <v>89</v>
      </c>
      <c r="Z251" t="s">
        <v>515</v>
      </c>
      <c r="AA251" t="s">
        <v>529</v>
      </c>
      <c r="AB251" t="s">
        <v>92</v>
      </c>
    </row>
    <row r="252" spans="1:28">
      <c r="A252" t="s">
        <v>509</v>
      </c>
      <c r="B252" t="s">
        <v>530</v>
      </c>
      <c r="C252" t="s">
        <v>511</v>
      </c>
      <c r="D252" t="s">
        <v>528</v>
      </c>
      <c r="E252" t="s">
        <v>96</v>
      </c>
      <c r="F252">
        <v>20</v>
      </c>
      <c r="G252" t="s">
        <v>185</v>
      </c>
      <c r="H252" t="s">
        <v>84</v>
      </c>
      <c r="I252" t="s">
        <v>85</v>
      </c>
      <c r="J252" t="s">
        <v>513</v>
      </c>
      <c r="K252" t="s">
        <v>41</v>
      </c>
      <c r="L252" t="s">
        <v>40</v>
      </c>
      <c r="M252" t="s">
        <v>188</v>
      </c>
      <c r="N252" s="7">
        <v>60</v>
      </c>
      <c r="O252" s="7">
        <v>1.5</v>
      </c>
      <c r="P252" s="7">
        <v>4</v>
      </c>
      <c r="Q252" s="7">
        <v>66</v>
      </c>
      <c r="R252" s="7">
        <v>3</v>
      </c>
      <c r="S252" s="7">
        <v>4</v>
      </c>
      <c r="T252" s="7">
        <f t="shared" si="22"/>
        <v>3</v>
      </c>
      <c r="U252" s="7">
        <f t="shared" si="23"/>
        <v>6</v>
      </c>
      <c r="V252" s="7">
        <f t="shared" si="18"/>
        <v>9.5310179804324935E-2</v>
      </c>
      <c r="W252" s="7">
        <f t="shared" si="19"/>
        <v>2.691115702479339E-3</v>
      </c>
      <c r="X252" t="s">
        <v>514</v>
      </c>
      <c r="Y252" t="s">
        <v>89</v>
      </c>
      <c r="Z252" t="s">
        <v>515</v>
      </c>
      <c r="AA252" t="s">
        <v>529</v>
      </c>
      <c r="AB252" t="s">
        <v>92</v>
      </c>
    </row>
    <row r="253" spans="1:28">
      <c r="A253" t="s">
        <v>509</v>
      </c>
      <c r="B253" t="s">
        <v>531</v>
      </c>
      <c r="C253" t="s">
        <v>511</v>
      </c>
      <c r="D253" t="s">
        <v>528</v>
      </c>
      <c r="E253" t="s">
        <v>96</v>
      </c>
      <c r="F253">
        <v>10</v>
      </c>
      <c r="G253" t="s">
        <v>185</v>
      </c>
      <c r="H253" t="s">
        <v>84</v>
      </c>
      <c r="I253" t="s">
        <v>85</v>
      </c>
      <c r="J253" t="s">
        <v>513</v>
      </c>
      <c r="K253" t="s">
        <v>29</v>
      </c>
      <c r="L253" t="s">
        <v>40</v>
      </c>
      <c r="M253" t="s">
        <v>188</v>
      </c>
      <c r="N253" s="7">
        <v>34</v>
      </c>
      <c r="O253" s="7">
        <v>3.5</v>
      </c>
      <c r="P253" s="7">
        <v>4</v>
      </c>
      <c r="Q253" s="7">
        <v>38</v>
      </c>
      <c r="R253" s="7">
        <v>3</v>
      </c>
      <c r="S253" s="7">
        <v>4</v>
      </c>
      <c r="T253" s="7">
        <f t="shared" si="22"/>
        <v>7</v>
      </c>
      <c r="U253" s="7">
        <f t="shared" si="23"/>
        <v>6</v>
      </c>
      <c r="V253" s="7">
        <f t="shared" si="18"/>
        <v>0.1112256351102244</v>
      </c>
      <c r="W253" s="7">
        <f t="shared" si="19"/>
        <v>1.6829572793758206E-2</v>
      </c>
      <c r="X253" t="s">
        <v>514</v>
      </c>
      <c r="Y253" t="s">
        <v>89</v>
      </c>
      <c r="Z253" t="s">
        <v>515</v>
      </c>
      <c r="AA253" t="s">
        <v>532</v>
      </c>
      <c r="AB253" t="s">
        <v>92</v>
      </c>
    </row>
    <row r="254" spans="1:28">
      <c r="A254" t="s">
        <v>509</v>
      </c>
      <c r="B254" t="s">
        <v>533</v>
      </c>
      <c r="C254" t="s">
        <v>511</v>
      </c>
      <c r="D254" t="s">
        <v>528</v>
      </c>
      <c r="E254" t="s">
        <v>96</v>
      </c>
      <c r="F254">
        <v>20</v>
      </c>
      <c r="G254" t="s">
        <v>185</v>
      </c>
      <c r="H254" t="s">
        <v>84</v>
      </c>
      <c r="I254" t="s">
        <v>85</v>
      </c>
      <c r="J254" t="s">
        <v>513</v>
      </c>
      <c r="K254" t="s">
        <v>29</v>
      </c>
      <c r="L254" t="s">
        <v>40</v>
      </c>
      <c r="M254" t="s">
        <v>188</v>
      </c>
      <c r="N254" s="7">
        <v>34</v>
      </c>
      <c r="O254" s="7">
        <v>3.5</v>
      </c>
      <c r="P254" s="7">
        <v>4</v>
      </c>
      <c r="Q254" s="7">
        <v>38.5</v>
      </c>
      <c r="R254" s="7">
        <v>3</v>
      </c>
      <c r="S254" s="7">
        <v>4</v>
      </c>
      <c r="T254" s="7">
        <f t="shared" si="22"/>
        <v>7</v>
      </c>
      <c r="U254" s="7">
        <f t="shared" si="23"/>
        <v>6</v>
      </c>
      <c r="V254" s="7">
        <f t="shared" si="18"/>
        <v>0.12429771667757712</v>
      </c>
      <c r="W254" s="7">
        <f t="shared" si="19"/>
        <v>1.6668736040843173E-2</v>
      </c>
      <c r="X254" t="s">
        <v>514</v>
      </c>
      <c r="Y254" t="s">
        <v>89</v>
      </c>
      <c r="Z254" t="s">
        <v>515</v>
      </c>
      <c r="AA254" t="s">
        <v>532</v>
      </c>
      <c r="AB254" t="s">
        <v>92</v>
      </c>
    </row>
    <row r="255" spans="1:28">
      <c r="A255" t="s">
        <v>509</v>
      </c>
      <c r="B255" t="s">
        <v>534</v>
      </c>
      <c r="C255" t="s">
        <v>511</v>
      </c>
      <c r="D255" t="s">
        <v>528</v>
      </c>
      <c r="E255" t="s">
        <v>96</v>
      </c>
      <c r="F255">
        <v>10</v>
      </c>
      <c r="G255" t="s">
        <v>185</v>
      </c>
      <c r="H255" t="s">
        <v>84</v>
      </c>
      <c r="I255" t="s">
        <v>85</v>
      </c>
      <c r="J255" t="s">
        <v>513</v>
      </c>
      <c r="K255" t="s">
        <v>41</v>
      </c>
      <c r="L255" t="s">
        <v>30</v>
      </c>
      <c r="M255" t="s">
        <v>188</v>
      </c>
      <c r="N255" s="7">
        <v>11.8</v>
      </c>
      <c r="O255" s="7">
        <v>1.4</v>
      </c>
      <c r="P255" s="7">
        <v>4</v>
      </c>
      <c r="Q255" s="7">
        <v>12</v>
      </c>
      <c r="R255" s="7">
        <v>1.2</v>
      </c>
      <c r="S255" s="7">
        <v>4</v>
      </c>
      <c r="T255" s="7">
        <f t="shared" si="22"/>
        <v>2.8</v>
      </c>
      <c r="U255" s="7">
        <f t="shared" si="23"/>
        <v>2.4</v>
      </c>
      <c r="V255" s="7">
        <f t="shared" si="18"/>
        <v>1.6807118316381191E-2</v>
      </c>
      <c r="W255" s="7">
        <f t="shared" si="19"/>
        <v>2.4076414823326626E-2</v>
      </c>
      <c r="X255" t="s">
        <v>514</v>
      </c>
      <c r="Y255" t="s">
        <v>89</v>
      </c>
      <c r="Z255" t="s">
        <v>515</v>
      </c>
      <c r="AA255" t="s">
        <v>535</v>
      </c>
      <c r="AB255" t="s">
        <v>92</v>
      </c>
    </row>
    <row r="256" spans="1:28">
      <c r="A256" t="s">
        <v>509</v>
      </c>
      <c r="B256" t="s">
        <v>536</v>
      </c>
      <c r="C256" t="s">
        <v>511</v>
      </c>
      <c r="D256" t="s">
        <v>528</v>
      </c>
      <c r="E256" t="s">
        <v>96</v>
      </c>
      <c r="F256">
        <v>20</v>
      </c>
      <c r="G256" t="s">
        <v>185</v>
      </c>
      <c r="H256" t="s">
        <v>84</v>
      </c>
      <c r="I256" t="s">
        <v>85</v>
      </c>
      <c r="J256" t="s">
        <v>513</v>
      </c>
      <c r="K256" t="s">
        <v>41</v>
      </c>
      <c r="L256" t="s">
        <v>30</v>
      </c>
      <c r="M256" t="s">
        <v>188</v>
      </c>
      <c r="N256" s="7">
        <v>11.8</v>
      </c>
      <c r="O256" s="7">
        <v>1.4</v>
      </c>
      <c r="P256" s="7">
        <v>4</v>
      </c>
      <c r="Q256" s="7">
        <v>12.8</v>
      </c>
      <c r="R256" s="7">
        <v>1</v>
      </c>
      <c r="S256" s="7">
        <v>4</v>
      </c>
      <c r="T256" s="7">
        <f t="shared" si="22"/>
        <v>2.8</v>
      </c>
      <c r="U256" s="7">
        <f t="shared" si="23"/>
        <v>2</v>
      </c>
      <c r="V256" s="7">
        <f t="shared" si="18"/>
        <v>8.1345639453952401E-2</v>
      </c>
      <c r="W256" s="7">
        <f t="shared" si="19"/>
        <v>2.0179930448326628E-2</v>
      </c>
      <c r="X256" t="s">
        <v>514</v>
      </c>
      <c r="Y256" t="s">
        <v>89</v>
      </c>
      <c r="Z256" t="s">
        <v>515</v>
      </c>
      <c r="AA256" t="s">
        <v>535</v>
      </c>
      <c r="AB256" t="s">
        <v>92</v>
      </c>
    </row>
    <row r="257" spans="1:28">
      <c r="A257" t="s">
        <v>509</v>
      </c>
      <c r="B257" t="s">
        <v>537</v>
      </c>
      <c r="C257" t="s">
        <v>511</v>
      </c>
      <c r="D257" t="s">
        <v>528</v>
      </c>
      <c r="E257" t="s">
        <v>96</v>
      </c>
      <c r="F257">
        <v>10</v>
      </c>
      <c r="G257" t="s">
        <v>185</v>
      </c>
      <c r="H257" t="s">
        <v>84</v>
      </c>
      <c r="I257" t="s">
        <v>85</v>
      </c>
      <c r="J257" t="s">
        <v>513</v>
      </c>
      <c r="K257" t="s">
        <v>29</v>
      </c>
      <c r="L257" t="s">
        <v>30</v>
      </c>
      <c r="M257" t="s">
        <v>188</v>
      </c>
      <c r="N257" s="7">
        <v>4</v>
      </c>
      <c r="O257" s="7">
        <v>0.3</v>
      </c>
      <c r="P257" s="7">
        <v>4</v>
      </c>
      <c r="Q257" s="7">
        <v>6.5</v>
      </c>
      <c r="R257" s="7">
        <v>0.3</v>
      </c>
      <c r="S257" s="7">
        <v>4</v>
      </c>
      <c r="T257" s="7">
        <f t="shared" si="22"/>
        <v>0.6</v>
      </c>
      <c r="U257" s="7">
        <f t="shared" si="23"/>
        <v>0.6</v>
      </c>
      <c r="V257" s="7">
        <f t="shared" si="18"/>
        <v>0.48550781578170082</v>
      </c>
      <c r="W257" s="7">
        <f t="shared" si="19"/>
        <v>7.7551775147928995E-3</v>
      </c>
      <c r="X257" t="s">
        <v>514</v>
      </c>
      <c r="Y257" t="s">
        <v>89</v>
      </c>
      <c r="Z257" t="s">
        <v>515</v>
      </c>
      <c r="AA257" t="s">
        <v>538</v>
      </c>
      <c r="AB257" t="s">
        <v>92</v>
      </c>
    </row>
    <row r="258" spans="1:28">
      <c r="A258" t="s">
        <v>509</v>
      </c>
      <c r="B258" t="s">
        <v>539</v>
      </c>
      <c r="C258" t="s">
        <v>511</v>
      </c>
      <c r="D258" t="s">
        <v>528</v>
      </c>
      <c r="E258" t="s">
        <v>96</v>
      </c>
      <c r="F258">
        <v>20</v>
      </c>
      <c r="G258" t="s">
        <v>185</v>
      </c>
      <c r="H258" t="s">
        <v>84</v>
      </c>
      <c r="I258" t="s">
        <v>85</v>
      </c>
      <c r="J258" t="s">
        <v>513</v>
      </c>
      <c r="K258" t="s">
        <v>29</v>
      </c>
      <c r="L258" t="s">
        <v>30</v>
      </c>
      <c r="M258" t="s">
        <v>188</v>
      </c>
      <c r="N258" s="7">
        <v>4</v>
      </c>
      <c r="O258" s="7">
        <v>0.3</v>
      </c>
      <c r="P258" s="7">
        <v>4</v>
      </c>
      <c r="Q258" s="7">
        <v>6</v>
      </c>
      <c r="R258" s="7">
        <v>0.5</v>
      </c>
      <c r="S258" s="7">
        <v>4</v>
      </c>
      <c r="T258" s="7">
        <f t="shared" si="22"/>
        <v>0.6</v>
      </c>
      <c r="U258" s="7">
        <f t="shared" si="23"/>
        <v>1</v>
      </c>
      <c r="V258" s="7">
        <f t="shared" ref="V258:V321" si="24">LN(Q258/N258)</f>
        <v>0.40546510810816438</v>
      </c>
      <c r="W258" s="7">
        <f t="shared" ref="W258:W321" si="25">(U258^2/(S258*Q258^2))+(T258^2/(P258*N258^2))</f>
        <v>1.2569444444444444E-2</v>
      </c>
      <c r="X258" t="s">
        <v>514</v>
      </c>
      <c r="Y258" t="s">
        <v>89</v>
      </c>
      <c r="Z258" t="s">
        <v>515</v>
      </c>
      <c r="AA258" t="s">
        <v>538</v>
      </c>
      <c r="AB258" t="s">
        <v>92</v>
      </c>
    </row>
    <row r="259" spans="1:28">
      <c r="A259" t="s">
        <v>540</v>
      </c>
      <c r="B259" t="s">
        <v>541</v>
      </c>
      <c r="C259" t="s">
        <v>542</v>
      </c>
      <c r="D259" t="s">
        <v>543</v>
      </c>
      <c r="E259" t="s">
        <v>544</v>
      </c>
      <c r="F259" t="s">
        <v>545</v>
      </c>
      <c r="G259" t="s">
        <v>546</v>
      </c>
      <c r="H259" t="s">
        <v>84</v>
      </c>
      <c r="I259" t="s">
        <v>85</v>
      </c>
      <c r="J259" t="s">
        <v>547</v>
      </c>
      <c r="K259" t="s">
        <v>149</v>
      </c>
      <c r="L259" t="s">
        <v>548</v>
      </c>
      <c r="M259" t="s">
        <v>549</v>
      </c>
      <c r="N259" s="7">
        <v>3.65</v>
      </c>
      <c r="O259" s="7">
        <v>0.15</v>
      </c>
      <c r="P259" s="7">
        <v>4</v>
      </c>
      <c r="Q259" s="7">
        <v>4.3</v>
      </c>
      <c r="R259" s="7">
        <v>0.2</v>
      </c>
      <c r="S259" s="7">
        <v>4</v>
      </c>
      <c r="T259" s="7">
        <f t="shared" si="22"/>
        <v>0.3</v>
      </c>
      <c r="U259" s="7">
        <f t="shared" si="23"/>
        <v>0.4</v>
      </c>
      <c r="V259" s="7">
        <f t="shared" si="24"/>
        <v>0.16388785510511664</v>
      </c>
      <c r="W259" s="7">
        <f t="shared" si="25"/>
        <v>3.8522037392266025E-3</v>
      </c>
      <c r="X259" t="s">
        <v>550</v>
      </c>
      <c r="Y259" t="s">
        <v>89</v>
      </c>
      <c r="Z259" t="s">
        <v>515</v>
      </c>
      <c r="AA259" t="s">
        <v>551</v>
      </c>
      <c r="AB259" t="s">
        <v>92</v>
      </c>
    </row>
    <row r="260" spans="1:28">
      <c r="A260" t="s">
        <v>540</v>
      </c>
      <c r="B260" t="s">
        <v>552</v>
      </c>
      <c r="C260" t="s">
        <v>542</v>
      </c>
      <c r="D260" t="s">
        <v>543</v>
      </c>
      <c r="E260" t="s">
        <v>553</v>
      </c>
      <c r="F260" t="s">
        <v>545</v>
      </c>
      <c r="G260" t="s">
        <v>546</v>
      </c>
      <c r="H260" t="s">
        <v>84</v>
      </c>
      <c r="I260" t="s">
        <v>85</v>
      </c>
      <c r="J260" t="s">
        <v>547</v>
      </c>
      <c r="K260" t="s">
        <v>149</v>
      </c>
      <c r="L260" t="s">
        <v>548</v>
      </c>
      <c r="M260" t="s">
        <v>549</v>
      </c>
      <c r="N260" s="7">
        <v>3.65</v>
      </c>
      <c r="O260" s="7">
        <v>0.15</v>
      </c>
      <c r="P260" s="7">
        <v>4</v>
      </c>
      <c r="Q260" s="7">
        <v>4</v>
      </c>
      <c r="R260" s="7">
        <v>0.2</v>
      </c>
      <c r="S260" s="7">
        <v>4</v>
      </c>
      <c r="T260" s="7">
        <f t="shared" si="22"/>
        <v>0.3</v>
      </c>
      <c r="U260" s="7">
        <f t="shared" si="23"/>
        <v>0.4</v>
      </c>
      <c r="V260" s="7">
        <f t="shared" si="24"/>
        <v>9.1567193525490434E-2</v>
      </c>
      <c r="W260" s="7">
        <f t="shared" si="25"/>
        <v>4.1888722086695449E-3</v>
      </c>
      <c r="X260" t="s">
        <v>550</v>
      </c>
      <c r="Y260" t="s">
        <v>89</v>
      </c>
      <c r="Z260" t="s">
        <v>515</v>
      </c>
      <c r="AA260" t="s">
        <v>551</v>
      </c>
      <c r="AB260" t="s">
        <v>92</v>
      </c>
    </row>
    <row r="261" spans="1:28">
      <c r="A261" t="s">
        <v>540</v>
      </c>
      <c r="B261" t="s">
        <v>554</v>
      </c>
      <c r="C261" t="s">
        <v>542</v>
      </c>
      <c r="D261" t="s">
        <v>543</v>
      </c>
      <c r="E261" t="s">
        <v>82</v>
      </c>
      <c r="F261" t="s">
        <v>545</v>
      </c>
      <c r="G261" t="s">
        <v>546</v>
      </c>
      <c r="H261" t="s">
        <v>84</v>
      </c>
      <c r="I261" t="s">
        <v>85</v>
      </c>
      <c r="J261" t="s">
        <v>547</v>
      </c>
      <c r="K261" t="s">
        <v>149</v>
      </c>
      <c r="L261" t="s">
        <v>548</v>
      </c>
      <c r="M261" t="s">
        <v>549</v>
      </c>
      <c r="N261" s="7">
        <v>3.65</v>
      </c>
      <c r="O261" s="7">
        <v>0.15</v>
      </c>
      <c r="P261" s="7">
        <v>4</v>
      </c>
      <c r="Q261" s="7">
        <v>3.55</v>
      </c>
      <c r="R261" s="7">
        <v>0.12</v>
      </c>
      <c r="S261" s="7">
        <v>4</v>
      </c>
      <c r="T261" s="7">
        <f t="shared" si="22"/>
        <v>0.3</v>
      </c>
      <c r="U261" s="7">
        <f t="shared" si="23"/>
        <v>0.24</v>
      </c>
      <c r="V261" s="7">
        <f t="shared" si="24"/>
        <v>-2.7779564107075706E-2</v>
      </c>
      <c r="W261" s="7">
        <f t="shared" si="25"/>
        <v>2.8315026391396887E-3</v>
      </c>
      <c r="X261" t="s">
        <v>550</v>
      </c>
      <c r="Y261" t="s">
        <v>89</v>
      </c>
      <c r="Z261" t="s">
        <v>515</v>
      </c>
      <c r="AA261" t="s">
        <v>551</v>
      </c>
      <c r="AB261" t="s">
        <v>92</v>
      </c>
    </row>
    <row r="262" spans="1:28">
      <c r="A262" t="s">
        <v>540</v>
      </c>
      <c r="B262" t="s">
        <v>555</v>
      </c>
      <c r="C262" t="s">
        <v>542</v>
      </c>
      <c r="D262" t="s">
        <v>543</v>
      </c>
      <c r="E262" t="s">
        <v>421</v>
      </c>
      <c r="F262" t="s">
        <v>545</v>
      </c>
      <c r="G262" t="s">
        <v>546</v>
      </c>
      <c r="H262" t="s">
        <v>84</v>
      </c>
      <c r="I262" t="s">
        <v>85</v>
      </c>
      <c r="J262" t="s">
        <v>547</v>
      </c>
      <c r="K262" t="s">
        <v>149</v>
      </c>
      <c r="L262" t="s">
        <v>548</v>
      </c>
      <c r="M262" t="s">
        <v>549</v>
      </c>
      <c r="N262" s="7">
        <v>3.65</v>
      </c>
      <c r="O262" s="7">
        <v>0.15</v>
      </c>
      <c r="P262" s="7">
        <v>4</v>
      </c>
      <c r="Q262" s="7">
        <v>3.25</v>
      </c>
      <c r="R262" s="7">
        <v>0.12</v>
      </c>
      <c r="S262" s="7">
        <v>4</v>
      </c>
      <c r="T262" s="7">
        <f t="shared" si="22"/>
        <v>0.3</v>
      </c>
      <c r="U262" s="7">
        <f t="shared" si="23"/>
        <v>0.24</v>
      </c>
      <c r="V262" s="7">
        <f t="shared" si="24"/>
        <v>-0.11607217125275401</v>
      </c>
      <c r="W262" s="7">
        <f t="shared" si="25"/>
        <v>3.0521858181369998E-3</v>
      </c>
      <c r="X262" t="s">
        <v>550</v>
      </c>
      <c r="Y262" t="s">
        <v>89</v>
      </c>
      <c r="Z262" t="s">
        <v>515</v>
      </c>
      <c r="AA262" t="s">
        <v>551</v>
      </c>
      <c r="AB262" t="s">
        <v>92</v>
      </c>
    </row>
    <row r="263" spans="1:28">
      <c r="A263" t="s">
        <v>540</v>
      </c>
      <c r="B263" t="s">
        <v>556</v>
      </c>
      <c r="C263" t="s">
        <v>542</v>
      </c>
      <c r="D263" t="s">
        <v>543</v>
      </c>
      <c r="E263" t="s">
        <v>557</v>
      </c>
      <c r="F263" t="s">
        <v>545</v>
      </c>
      <c r="G263" t="s">
        <v>546</v>
      </c>
      <c r="H263" t="s">
        <v>84</v>
      </c>
      <c r="I263" t="s">
        <v>85</v>
      </c>
      <c r="J263" t="s">
        <v>547</v>
      </c>
      <c r="K263" t="s">
        <v>149</v>
      </c>
      <c r="L263" t="s">
        <v>548</v>
      </c>
      <c r="M263" t="s">
        <v>549</v>
      </c>
      <c r="N263" s="7">
        <v>3.65</v>
      </c>
      <c r="O263" s="7">
        <v>0.15</v>
      </c>
      <c r="P263" s="7">
        <v>4</v>
      </c>
      <c r="Q263" s="7">
        <v>3.85</v>
      </c>
      <c r="R263" s="7">
        <v>0.18</v>
      </c>
      <c r="S263" s="7">
        <v>4</v>
      </c>
      <c r="T263" s="7">
        <f t="shared" si="22"/>
        <v>0.3</v>
      </c>
      <c r="U263" s="7">
        <f t="shared" si="23"/>
        <v>0.36</v>
      </c>
      <c r="V263" s="7">
        <f t="shared" si="24"/>
        <v>5.3345980705292714E-2</v>
      </c>
      <c r="W263" s="7">
        <f t="shared" si="25"/>
        <v>3.8747382906395215E-3</v>
      </c>
      <c r="X263" t="s">
        <v>550</v>
      </c>
      <c r="Y263" t="s">
        <v>89</v>
      </c>
      <c r="Z263" t="s">
        <v>515</v>
      </c>
      <c r="AA263" t="s">
        <v>551</v>
      </c>
      <c r="AB263" t="s">
        <v>92</v>
      </c>
    </row>
    <row r="264" spans="1:28">
      <c r="A264" t="s">
        <v>540</v>
      </c>
      <c r="B264" t="s">
        <v>558</v>
      </c>
      <c r="C264" t="s">
        <v>542</v>
      </c>
      <c r="D264" t="s">
        <v>543</v>
      </c>
      <c r="E264" t="s">
        <v>96</v>
      </c>
      <c r="F264" t="s">
        <v>545</v>
      </c>
      <c r="G264" t="s">
        <v>546</v>
      </c>
      <c r="H264" t="s">
        <v>84</v>
      </c>
      <c r="I264" t="s">
        <v>85</v>
      </c>
      <c r="J264" t="s">
        <v>547</v>
      </c>
      <c r="K264" t="s">
        <v>149</v>
      </c>
      <c r="L264" t="s">
        <v>548</v>
      </c>
      <c r="M264" t="s">
        <v>549</v>
      </c>
      <c r="N264" s="7">
        <v>3.65</v>
      </c>
      <c r="O264" s="7">
        <v>0.15</v>
      </c>
      <c r="P264" s="7">
        <v>4</v>
      </c>
      <c r="Q264" s="7">
        <v>3.2</v>
      </c>
      <c r="R264" s="7">
        <v>0.15</v>
      </c>
      <c r="S264" s="7">
        <v>4</v>
      </c>
      <c r="T264" s="7">
        <f t="shared" si="22"/>
        <v>0.3</v>
      </c>
      <c r="U264" s="7">
        <f t="shared" si="23"/>
        <v>0.3</v>
      </c>
      <c r="V264" s="7">
        <f t="shared" si="24"/>
        <v>-0.13157635778871921</v>
      </c>
      <c r="W264" s="7">
        <f t="shared" si="25"/>
        <v>3.8861378336695436E-3</v>
      </c>
      <c r="X264" t="s">
        <v>550</v>
      </c>
      <c r="Y264" t="s">
        <v>89</v>
      </c>
      <c r="Z264" t="s">
        <v>515</v>
      </c>
      <c r="AA264" t="s">
        <v>551</v>
      </c>
      <c r="AB264" t="s">
        <v>92</v>
      </c>
    </row>
    <row r="265" spans="1:28">
      <c r="A265" t="s">
        <v>540</v>
      </c>
      <c r="B265" t="s">
        <v>559</v>
      </c>
      <c r="C265" t="s">
        <v>542</v>
      </c>
      <c r="D265" t="s">
        <v>543</v>
      </c>
      <c r="E265" t="s">
        <v>560</v>
      </c>
      <c r="F265" t="s">
        <v>545</v>
      </c>
      <c r="G265" t="s">
        <v>546</v>
      </c>
      <c r="H265" t="s">
        <v>84</v>
      </c>
      <c r="I265" t="s">
        <v>85</v>
      </c>
      <c r="J265" t="s">
        <v>547</v>
      </c>
      <c r="K265" t="s">
        <v>149</v>
      </c>
      <c r="L265" t="s">
        <v>548</v>
      </c>
      <c r="M265" t="s">
        <v>549</v>
      </c>
      <c r="N265" s="7">
        <v>3.65</v>
      </c>
      <c r="O265" s="7">
        <v>0.15</v>
      </c>
      <c r="P265" s="7">
        <v>4</v>
      </c>
      <c r="Q265" s="7">
        <v>3.15</v>
      </c>
      <c r="R265" s="7">
        <v>0.18</v>
      </c>
      <c r="S265" s="7">
        <v>4</v>
      </c>
      <c r="T265" s="7">
        <f t="shared" si="22"/>
        <v>0.3</v>
      </c>
      <c r="U265" s="7">
        <f t="shared" si="23"/>
        <v>0.36</v>
      </c>
      <c r="V265" s="7">
        <f t="shared" si="24"/>
        <v>-0.14732471475685843</v>
      </c>
      <c r="W265" s="7">
        <f t="shared" si="25"/>
        <v>4.9541783311185233E-3</v>
      </c>
      <c r="X265" t="s">
        <v>550</v>
      </c>
      <c r="Y265" t="s">
        <v>89</v>
      </c>
      <c r="Z265" t="s">
        <v>515</v>
      </c>
      <c r="AA265" t="s">
        <v>551</v>
      </c>
      <c r="AB265" t="s">
        <v>92</v>
      </c>
    </row>
    <row r="266" spans="1:28">
      <c r="A266" t="s">
        <v>540</v>
      </c>
      <c r="B266" t="s">
        <v>561</v>
      </c>
      <c r="C266" t="s">
        <v>542</v>
      </c>
      <c r="D266" t="s">
        <v>543</v>
      </c>
      <c r="E266" t="s">
        <v>562</v>
      </c>
      <c r="F266" t="s">
        <v>545</v>
      </c>
      <c r="G266" t="s">
        <v>546</v>
      </c>
      <c r="H266" t="s">
        <v>84</v>
      </c>
      <c r="I266" t="s">
        <v>85</v>
      </c>
      <c r="J266" t="s">
        <v>547</v>
      </c>
      <c r="K266" t="s">
        <v>149</v>
      </c>
      <c r="L266" t="s">
        <v>548</v>
      </c>
      <c r="M266" t="s">
        <v>549</v>
      </c>
      <c r="N266" s="7">
        <v>3.65</v>
      </c>
      <c r="O266" s="7">
        <v>0.15</v>
      </c>
      <c r="P266" s="7">
        <v>4</v>
      </c>
      <c r="Q266" s="7">
        <v>3.55</v>
      </c>
      <c r="R266" s="7">
        <v>0.12</v>
      </c>
      <c r="S266" s="7">
        <v>4</v>
      </c>
      <c r="T266" s="7">
        <f t="shared" si="22"/>
        <v>0.3</v>
      </c>
      <c r="U266" s="7">
        <f t="shared" si="23"/>
        <v>0.24</v>
      </c>
      <c r="V266" s="7">
        <f t="shared" si="24"/>
        <v>-2.7779564107075706E-2</v>
      </c>
      <c r="W266" s="7">
        <f t="shared" si="25"/>
        <v>2.8315026391396887E-3</v>
      </c>
      <c r="X266" t="s">
        <v>550</v>
      </c>
      <c r="Y266" t="s">
        <v>89</v>
      </c>
      <c r="Z266" t="s">
        <v>515</v>
      </c>
      <c r="AA266" t="s">
        <v>551</v>
      </c>
      <c r="AB266" t="s">
        <v>92</v>
      </c>
    </row>
    <row r="267" spans="1:28">
      <c r="A267" t="s">
        <v>540</v>
      </c>
      <c r="B267" t="s">
        <v>563</v>
      </c>
      <c r="C267" t="s">
        <v>542</v>
      </c>
      <c r="D267" t="s">
        <v>543</v>
      </c>
      <c r="E267" t="s">
        <v>544</v>
      </c>
      <c r="F267" t="s">
        <v>545</v>
      </c>
      <c r="G267" t="s">
        <v>546</v>
      </c>
      <c r="H267" t="s">
        <v>84</v>
      </c>
      <c r="I267" t="s">
        <v>85</v>
      </c>
      <c r="J267" t="s">
        <v>547</v>
      </c>
      <c r="K267" t="s">
        <v>149</v>
      </c>
      <c r="L267" t="s">
        <v>40</v>
      </c>
      <c r="M267" t="s">
        <v>549</v>
      </c>
      <c r="N267" s="7">
        <v>4.2</v>
      </c>
      <c r="O267" s="7">
        <v>0.12</v>
      </c>
      <c r="P267" s="7">
        <v>4</v>
      </c>
      <c r="Q267" s="7">
        <v>3.2</v>
      </c>
      <c r="R267" s="7">
        <v>0.08</v>
      </c>
      <c r="S267" s="7">
        <v>4</v>
      </c>
      <c r="T267" s="7">
        <f t="shared" si="22"/>
        <v>0.24</v>
      </c>
      <c r="U267" s="7">
        <f t="shared" si="23"/>
        <v>0.16</v>
      </c>
      <c r="V267" s="7">
        <f t="shared" si="24"/>
        <v>-0.27193371548364181</v>
      </c>
      <c r="W267" s="7">
        <f t="shared" si="25"/>
        <v>1.4413265306122448E-3</v>
      </c>
      <c r="X267" t="s">
        <v>550</v>
      </c>
      <c r="Y267" t="s">
        <v>89</v>
      </c>
      <c r="Z267" t="s">
        <v>515</v>
      </c>
      <c r="AA267" t="s">
        <v>564</v>
      </c>
      <c r="AB267" t="s">
        <v>92</v>
      </c>
    </row>
    <row r="268" spans="1:28">
      <c r="A268" t="s">
        <v>540</v>
      </c>
      <c r="B268" t="s">
        <v>565</v>
      </c>
      <c r="C268" t="s">
        <v>542</v>
      </c>
      <c r="D268" t="s">
        <v>543</v>
      </c>
      <c r="E268" t="s">
        <v>553</v>
      </c>
      <c r="F268" t="s">
        <v>545</v>
      </c>
      <c r="G268" t="s">
        <v>546</v>
      </c>
      <c r="H268" t="s">
        <v>84</v>
      </c>
      <c r="I268" t="s">
        <v>85</v>
      </c>
      <c r="J268" t="s">
        <v>547</v>
      </c>
      <c r="K268" t="s">
        <v>149</v>
      </c>
      <c r="L268" t="s">
        <v>40</v>
      </c>
      <c r="M268" t="s">
        <v>549</v>
      </c>
      <c r="N268" s="7">
        <v>4.2</v>
      </c>
      <c r="O268" s="7">
        <v>0.12</v>
      </c>
      <c r="P268" s="7">
        <v>4</v>
      </c>
      <c r="Q268" s="7">
        <v>3.65</v>
      </c>
      <c r="R268" s="7">
        <v>0.1</v>
      </c>
      <c r="S268" s="7">
        <v>4</v>
      </c>
      <c r="T268" s="7">
        <f t="shared" si="22"/>
        <v>0.24</v>
      </c>
      <c r="U268" s="7">
        <f t="shared" si="23"/>
        <v>0.2</v>
      </c>
      <c r="V268" s="7">
        <f t="shared" si="24"/>
        <v>-0.14035735769492258</v>
      </c>
      <c r="W268" s="7">
        <f t="shared" si="25"/>
        <v>1.5669364011320422E-3</v>
      </c>
      <c r="X268" t="s">
        <v>550</v>
      </c>
      <c r="Y268" t="s">
        <v>89</v>
      </c>
      <c r="Z268" t="s">
        <v>515</v>
      </c>
      <c r="AA268" t="s">
        <v>564</v>
      </c>
      <c r="AB268" t="s">
        <v>92</v>
      </c>
    </row>
    <row r="269" spans="1:28">
      <c r="A269" t="s">
        <v>540</v>
      </c>
      <c r="B269" t="s">
        <v>566</v>
      </c>
      <c r="C269" t="s">
        <v>542</v>
      </c>
      <c r="D269" t="s">
        <v>543</v>
      </c>
      <c r="E269" t="s">
        <v>82</v>
      </c>
      <c r="F269" t="s">
        <v>545</v>
      </c>
      <c r="G269" t="s">
        <v>546</v>
      </c>
      <c r="H269" t="s">
        <v>84</v>
      </c>
      <c r="I269" t="s">
        <v>85</v>
      </c>
      <c r="J269" t="s">
        <v>547</v>
      </c>
      <c r="K269" t="s">
        <v>149</v>
      </c>
      <c r="L269" t="s">
        <v>40</v>
      </c>
      <c r="M269" t="s">
        <v>549</v>
      </c>
      <c r="N269" s="7">
        <v>4.2</v>
      </c>
      <c r="O269" s="7">
        <v>0.12</v>
      </c>
      <c r="P269" s="7">
        <v>4</v>
      </c>
      <c r="Q269" s="7">
        <v>3.6</v>
      </c>
      <c r="R269" s="7">
        <v>0.1</v>
      </c>
      <c r="S269" s="7">
        <v>4</v>
      </c>
      <c r="T269" s="7">
        <f t="shared" si="22"/>
        <v>0.24</v>
      </c>
      <c r="U269" s="7">
        <f t="shared" si="23"/>
        <v>0.2</v>
      </c>
      <c r="V269" s="7">
        <f t="shared" si="24"/>
        <v>-0.15415067982725836</v>
      </c>
      <c r="W269" s="7">
        <f t="shared" si="25"/>
        <v>1.5879314688838498E-3</v>
      </c>
      <c r="X269" t="s">
        <v>550</v>
      </c>
      <c r="Y269" t="s">
        <v>89</v>
      </c>
      <c r="Z269" t="s">
        <v>515</v>
      </c>
      <c r="AA269" t="s">
        <v>564</v>
      </c>
      <c r="AB269" t="s">
        <v>92</v>
      </c>
    </row>
    <row r="270" spans="1:28">
      <c r="A270" t="s">
        <v>540</v>
      </c>
      <c r="B270" t="s">
        <v>567</v>
      </c>
      <c r="C270" t="s">
        <v>542</v>
      </c>
      <c r="D270" t="s">
        <v>543</v>
      </c>
      <c r="E270" t="s">
        <v>421</v>
      </c>
      <c r="F270" t="s">
        <v>545</v>
      </c>
      <c r="G270" t="s">
        <v>546</v>
      </c>
      <c r="H270" t="s">
        <v>84</v>
      </c>
      <c r="I270" t="s">
        <v>85</v>
      </c>
      <c r="J270" t="s">
        <v>547</v>
      </c>
      <c r="K270" t="s">
        <v>149</v>
      </c>
      <c r="L270" t="s">
        <v>40</v>
      </c>
      <c r="M270" t="s">
        <v>549</v>
      </c>
      <c r="N270" s="7">
        <v>4.2</v>
      </c>
      <c r="O270" s="7">
        <v>0.12</v>
      </c>
      <c r="P270" s="7">
        <v>4</v>
      </c>
      <c r="Q270" s="7">
        <v>3.6</v>
      </c>
      <c r="R270" s="7">
        <v>0.1</v>
      </c>
      <c r="S270" s="7">
        <v>4</v>
      </c>
      <c r="T270" s="7">
        <f t="shared" si="22"/>
        <v>0.24</v>
      </c>
      <c r="U270" s="7">
        <f t="shared" si="23"/>
        <v>0.2</v>
      </c>
      <c r="V270" s="7">
        <f t="shared" si="24"/>
        <v>-0.15415067982725836</v>
      </c>
      <c r="W270" s="7">
        <f t="shared" si="25"/>
        <v>1.5879314688838498E-3</v>
      </c>
      <c r="X270" t="s">
        <v>550</v>
      </c>
      <c r="Y270" t="s">
        <v>89</v>
      </c>
      <c r="Z270" t="s">
        <v>515</v>
      </c>
      <c r="AA270" t="s">
        <v>564</v>
      </c>
      <c r="AB270" t="s">
        <v>92</v>
      </c>
    </row>
    <row r="271" spans="1:28">
      <c r="A271" t="s">
        <v>540</v>
      </c>
      <c r="B271" t="s">
        <v>568</v>
      </c>
      <c r="C271" t="s">
        <v>542</v>
      </c>
      <c r="D271" t="s">
        <v>543</v>
      </c>
      <c r="E271" t="s">
        <v>557</v>
      </c>
      <c r="F271" t="s">
        <v>545</v>
      </c>
      <c r="G271" t="s">
        <v>546</v>
      </c>
      <c r="H271" t="s">
        <v>84</v>
      </c>
      <c r="I271" t="s">
        <v>85</v>
      </c>
      <c r="J271" t="s">
        <v>547</v>
      </c>
      <c r="K271" t="s">
        <v>149</v>
      </c>
      <c r="L271" t="s">
        <v>40</v>
      </c>
      <c r="M271" t="s">
        <v>549</v>
      </c>
      <c r="N271" s="7">
        <v>4.2</v>
      </c>
      <c r="O271" s="7">
        <v>0.12</v>
      </c>
      <c r="P271" s="7">
        <v>4</v>
      </c>
      <c r="Q271" s="7">
        <v>3.7</v>
      </c>
      <c r="R271" s="7">
        <v>0.1</v>
      </c>
      <c r="S271" s="7">
        <v>4</v>
      </c>
      <c r="T271" s="7">
        <f t="shared" si="22"/>
        <v>0.24</v>
      </c>
      <c r="U271" s="7">
        <f t="shared" si="23"/>
        <v>0.2</v>
      </c>
      <c r="V271" s="7">
        <f t="shared" si="24"/>
        <v>-0.1267517056391439</v>
      </c>
      <c r="W271" s="7">
        <f t="shared" si="25"/>
        <v>1.5467867205318942E-3</v>
      </c>
      <c r="X271" t="s">
        <v>550</v>
      </c>
      <c r="Y271" t="s">
        <v>89</v>
      </c>
      <c r="Z271" t="s">
        <v>515</v>
      </c>
      <c r="AA271" t="s">
        <v>564</v>
      </c>
      <c r="AB271" t="s">
        <v>92</v>
      </c>
    </row>
    <row r="272" spans="1:28">
      <c r="A272" t="s">
        <v>540</v>
      </c>
      <c r="B272" t="s">
        <v>569</v>
      </c>
      <c r="C272" t="s">
        <v>542</v>
      </c>
      <c r="D272" t="s">
        <v>543</v>
      </c>
      <c r="E272" t="s">
        <v>96</v>
      </c>
      <c r="F272" t="s">
        <v>545</v>
      </c>
      <c r="G272" t="s">
        <v>546</v>
      </c>
      <c r="H272" t="s">
        <v>84</v>
      </c>
      <c r="I272" t="s">
        <v>85</v>
      </c>
      <c r="J272" t="s">
        <v>547</v>
      </c>
      <c r="K272" t="s">
        <v>149</v>
      </c>
      <c r="L272" t="s">
        <v>40</v>
      </c>
      <c r="M272" t="s">
        <v>549</v>
      </c>
      <c r="N272" s="7">
        <v>4.2</v>
      </c>
      <c r="O272" s="7">
        <v>0.12</v>
      </c>
      <c r="P272" s="7">
        <v>4</v>
      </c>
      <c r="Q272" s="7">
        <v>2.9</v>
      </c>
      <c r="R272" s="7">
        <v>0.1</v>
      </c>
      <c r="S272" s="7">
        <v>4</v>
      </c>
      <c r="T272" s="7">
        <f t="shared" si="22"/>
        <v>0.24</v>
      </c>
      <c r="U272" s="7">
        <f t="shared" si="23"/>
        <v>0.2</v>
      </c>
      <c r="V272" s="7">
        <f t="shared" si="24"/>
        <v>-0.37037378829689427</v>
      </c>
      <c r="W272" s="7">
        <f t="shared" si="25"/>
        <v>2.0053871727049918E-3</v>
      </c>
      <c r="X272" t="s">
        <v>550</v>
      </c>
      <c r="Y272" t="s">
        <v>89</v>
      </c>
      <c r="Z272" t="s">
        <v>515</v>
      </c>
      <c r="AA272" t="s">
        <v>564</v>
      </c>
      <c r="AB272" t="s">
        <v>92</v>
      </c>
    </row>
    <row r="273" spans="1:28">
      <c r="A273" t="s">
        <v>540</v>
      </c>
      <c r="B273" t="s">
        <v>570</v>
      </c>
      <c r="C273" t="s">
        <v>542</v>
      </c>
      <c r="D273" t="s">
        <v>543</v>
      </c>
      <c r="E273" t="s">
        <v>560</v>
      </c>
      <c r="F273" t="s">
        <v>545</v>
      </c>
      <c r="G273" t="s">
        <v>546</v>
      </c>
      <c r="H273" t="s">
        <v>84</v>
      </c>
      <c r="I273" t="s">
        <v>85</v>
      </c>
      <c r="J273" t="s">
        <v>547</v>
      </c>
      <c r="K273" t="s">
        <v>149</v>
      </c>
      <c r="L273" t="s">
        <v>40</v>
      </c>
      <c r="M273" t="s">
        <v>549</v>
      </c>
      <c r="N273" s="7">
        <v>4.2</v>
      </c>
      <c r="O273" s="7">
        <v>0.12</v>
      </c>
      <c r="P273" s="7">
        <v>4</v>
      </c>
      <c r="Q273" s="7">
        <v>3</v>
      </c>
      <c r="R273" s="7">
        <v>0.1</v>
      </c>
      <c r="S273" s="7">
        <v>4</v>
      </c>
      <c r="T273" s="7">
        <f t="shared" si="22"/>
        <v>0.24</v>
      </c>
      <c r="U273" s="7">
        <f t="shared" si="23"/>
        <v>0.2</v>
      </c>
      <c r="V273" s="7">
        <f t="shared" si="24"/>
        <v>-0.33647223662121289</v>
      </c>
      <c r="W273" s="7">
        <f t="shared" si="25"/>
        <v>1.927437641723356E-3</v>
      </c>
      <c r="X273" t="s">
        <v>550</v>
      </c>
      <c r="Y273" t="s">
        <v>89</v>
      </c>
      <c r="Z273" t="s">
        <v>515</v>
      </c>
      <c r="AA273" t="s">
        <v>564</v>
      </c>
      <c r="AB273" t="s">
        <v>92</v>
      </c>
    </row>
    <row r="274" spans="1:28">
      <c r="A274" t="s">
        <v>540</v>
      </c>
      <c r="B274" t="s">
        <v>571</v>
      </c>
      <c r="C274" t="s">
        <v>542</v>
      </c>
      <c r="D274" t="s">
        <v>543</v>
      </c>
      <c r="E274" t="s">
        <v>562</v>
      </c>
      <c r="F274" t="s">
        <v>545</v>
      </c>
      <c r="G274" t="s">
        <v>546</v>
      </c>
      <c r="H274" t="s">
        <v>84</v>
      </c>
      <c r="I274" t="s">
        <v>85</v>
      </c>
      <c r="J274" t="s">
        <v>547</v>
      </c>
      <c r="K274" t="s">
        <v>149</v>
      </c>
      <c r="L274" t="s">
        <v>40</v>
      </c>
      <c r="M274" t="s">
        <v>549</v>
      </c>
      <c r="N274" s="7">
        <v>4.2</v>
      </c>
      <c r="O274" s="7">
        <v>0.12</v>
      </c>
      <c r="P274" s="7">
        <v>4</v>
      </c>
      <c r="Q274" s="7">
        <v>3.95</v>
      </c>
      <c r="R274" s="7">
        <v>0.12</v>
      </c>
      <c r="S274" s="7">
        <v>4</v>
      </c>
      <c r="T274" s="7">
        <f t="shared" si="22"/>
        <v>0.24</v>
      </c>
      <c r="U274" s="7">
        <f t="shared" si="23"/>
        <v>0.24</v>
      </c>
      <c r="V274" s="7">
        <f t="shared" si="24"/>
        <v>-6.136894637629213E-2</v>
      </c>
      <c r="W274" s="7">
        <f t="shared" si="25"/>
        <v>1.7392555483978561E-3</v>
      </c>
      <c r="X274" t="s">
        <v>550</v>
      </c>
      <c r="Y274" t="s">
        <v>89</v>
      </c>
      <c r="Z274" t="s">
        <v>515</v>
      </c>
      <c r="AA274" t="s">
        <v>564</v>
      </c>
      <c r="AB274" t="s">
        <v>92</v>
      </c>
    </row>
    <row r="275" spans="1:28">
      <c r="A275" t="s">
        <v>572</v>
      </c>
      <c r="B275" t="s">
        <v>573</v>
      </c>
      <c r="C275" t="s">
        <v>183</v>
      </c>
      <c r="D275" t="s">
        <v>574</v>
      </c>
      <c r="E275" t="s">
        <v>82</v>
      </c>
      <c r="F275">
        <v>5</v>
      </c>
      <c r="G275" t="s">
        <v>83</v>
      </c>
      <c r="H275" t="s">
        <v>84</v>
      </c>
      <c r="I275" t="s">
        <v>85</v>
      </c>
      <c r="J275" t="s">
        <v>575</v>
      </c>
      <c r="K275" t="s">
        <v>41</v>
      </c>
      <c r="L275" t="s">
        <v>40</v>
      </c>
      <c r="M275" t="s">
        <v>188</v>
      </c>
      <c r="N275" s="7">
        <v>17.7</v>
      </c>
      <c r="O275" s="7"/>
      <c r="P275" s="7">
        <v>3</v>
      </c>
      <c r="Q275" s="7">
        <v>18.2</v>
      </c>
      <c r="R275" s="7"/>
      <c r="S275" s="7">
        <v>3</v>
      </c>
      <c r="T275" s="7">
        <v>2.6487733009829286</v>
      </c>
      <c r="U275" s="7">
        <v>2.6487733009829286</v>
      </c>
      <c r="V275" s="7">
        <f t="shared" si="24"/>
        <v>2.7856954502966279E-2</v>
      </c>
      <c r="W275" s="7">
        <f t="shared" si="25"/>
        <v>1.4525201090259132E-2</v>
      </c>
      <c r="X275" t="s">
        <v>576</v>
      </c>
      <c r="Y275" t="s">
        <v>577</v>
      </c>
      <c r="Z275" t="s">
        <v>578</v>
      </c>
      <c r="AA275" t="s">
        <v>579</v>
      </c>
      <c r="AB275" t="s">
        <v>92</v>
      </c>
    </row>
    <row r="276" spans="1:28">
      <c r="A276" t="s">
        <v>572</v>
      </c>
      <c r="B276" t="s">
        <v>580</v>
      </c>
      <c r="C276" t="s">
        <v>183</v>
      </c>
      <c r="D276" t="s">
        <v>574</v>
      </c>
      <c r="E276" t="s">
        <v>82</v>
      </c>
      <c r="F276">
        <v>10</v>
      </c>
      <c r="G276" t="s">
        <v>83</v>
      </c>
      <c r="H276" t="s">
        <v>84</v>
      </c>
      <c r="I276" t="s">
        <v>85</v>
      </c>
      <c r="J276" t="s">
        <v>575</v>
      </c>
      <c r="K276" t="s">
        <v>41</v>
      </c>
      <c r="L276" t="s">
        <v>40</v>
      </c>
      <c r="M276" t="s">
        <v>188</v>
      </c>
      <c r="N276" s="7">
        <v>17.7</v>
      </c>
      <c r="O276" s="7"/>
      <c r="P276" s="7">
        <v>3</v>
      </c>
      <c r="Q276" s="7">
        <v>20.8</v>
      </c>
      <c r="R276" s="7"/>
      <c r="S276" s="7">
        <v>3</v>
      </c>
      <c r="T276" s="7">
        <v>2.6487733009829286</v>
      </c>
      <c r="U276" s="7">
        <v>2.6487733009829286</v>
      </c>
      <c r="V276" s="7">
        <f t="shared" si="24"/>
        <v>0.16138834712748887</v>
      </c>
      <c r="W276" s="7">
        <f t="shared" si="25"/>
        <v>1.2870434153898786E-2</v>
      </c>
      <c r="X276" t="s">
        <v>576</v>
      </c>
      <c r="Y276" t="s">
        <v>577</v>
      </c>
      <c r="Z276" t="s">
        <v>578</v>
      </c>
      <c r="AA276" t="s">
        <v>579</v>
      </c>
      <c r="AB276" t="s">
        <v>92</v>
      </c>
    </row>
    <row r="277" spans="1:28">
      <c r="A277" t="s">
        <v>572</v>
      </c>
      <c r="B277" t="s">
        <v>581</v>
      </c>
      <c r="C277" t="s">
        <v>183</v>
      </c>
      <c r="D277" t="s">
        <v>582</v>
      </c>
      <c r="E277" t="s">
        <v>82</v>
      </c>
      <c r="F277">
        <v>5</v>
      </c>
      <c r="G277" t="s">
        <v>83</v>
      </c>
      <c r="H277" t="s">
        <v>84</v>
      </c>
      <c r="I277" t="s">
        <v>85</v>
      </c>
      <c r="J277" t="s">
        <v>575</v>
      </c>
      <c r="K277" t="s">
        <v>41</v>
      </c>
      <c r="L277" t="s">
        <v>40</v>
      </c>
      <c r="M277" t="s">
        <v>188</v>
      </c>
      <c r="N277" s="7">
        <v>13.8</v>
      </c>
      <c r="O277" s="7"/>
      <c r="P277" s="7">
        <v>3</v>
      </c>
      <c r="Q277" s="7">
        <v>15.3</v>
      </c>
      <c r="R277" s="7"/>
      <c r="S277" s="7">
        <v>3</v>
      </c>
      <c r="T277" s="7">
        <v>2.6487733009829286</v>
      </c>
      <c r="U277" s="7">
        <v>2.6487733009829286</v>
      </c>
      <c r="V277" s="7">
        <f t="shared" si="24"/>
        <v>0.10318423623523081</v>
      </c>
      <c r="W277" s="7">
        <f t="shared" si="25"/>
        <v>2.2270792773195148E-2</v>
      </c>
      <c r="X277" t="s">
        <v>576</v>
      </c>
      <c r="Y277" t="s">
        <v>577</v>
      </c>
      <c r="Z277" t="s">
        <v>578</v>
      </c>
      <c r="AA277" t="s">
        <v>583</v>
      </c>
      <c r="AB277" t="s">
        <v>92</v>
      </c>
    </row>
    <row r="278" spans="1:28">
      <c r="A278" t="s">
        <v>572</v>
      </c>
      <c r="B278" t="s">
        <v>584</v>
      </c>
      <c r="C278" t="s">
        <v>183</v>
      </c>
      <c r="D278" t="s">
        <v>582</v>
      </c>
      <c r="E278" t="s">
        <v>82</v>
      </c>
      <c r="F278">
        <v>10</v>
      </c>
      <c r="G278" t="s">
        <v>83</v>
      </c>
      <c r="H278" t="s">
        <v>84</v>
      </c>
      <c r="I278" t="s">
        <v>85</v>
      </c>
      <c r="J278" t="s">
        <v>575</v>
      </c>
      <c r="K278" t="s">
        <v>41</v>
      </c>
      <c r="L278" t="s">
        <v>40</v>
      </c>
      <c r="M278" t="s">
        <v>188</v>
      </c>
      <c r="N278" s="7">
        <v>13.8</v>
      </c>
      <c r="O278" s="7"/>
      <c r="P278" s="7">
        <v>3</v>
      </c>
      <c r="Q278" s="7">
        <v>17</v>
      </c>
      <c r="R278" s="7"/>
      <c r="S278" s="7">
        <v>3</v>
      </c>
      <c r="T278" s="7">
        <v>2.6487733009829286</v>
      </c>
      <c r="U278" s="7">
        <v>2.6487733009829286</v>
      </c>
      <c r="V278" s="7">
        <f t="shared" si="24"/>
        <v>0.20854475189305702</v>
      </c>
      <c r="W278" s="7">
        <f t="shared" si="25"/>
        <v>2.0372605466318874E-2</v>
      </c>
      <c r="X278" t="s">
        <v>576</v>
      </c>
      <c r="Y278" t="s">
        <v>577</v>
      </c>
      <c r="Z278" t="s">
        <v>578</v>
      </c>
      <c r="AA278" t="s">
        <v>583</v>
      </c>
      <c r="AB278" t="s">
        <v>92</v>
      </c>
    </row>
    <row r="279" spans="1:28">
      <c r="A279" t="s">
        <v>572</v>
      </c>
      <c r="B279" t="s">
        <v>585</v>
      </c>
      <c r="C279" t="s">
        <v>183</v>
      </c>
      <c r="D279" t="s">
        <v>586</v>
      </c>
      <c r="E279" t="s">
        <v>82</v>
      </c>
      <c r="F279">
        <v>5</v>
      </c>
      <c r="G279" t="s">
        <v>83</v>
      </c>
      <c r="H279" t="s">
        <v>84</v>
      </c>
      <c r="I279" t="s">
        <v>85</v>
      </c>
      <c r="J279" t="s">
        <v>575</v>
      </c>
      <c r="K279" t="s">
        <v>41</v>
      </c>
      <c r="L279" t="s">
        <v>40</v>
      </c>
      <c r="M279" t="s">
        <v>188</v>
      </c>
      <c r="N279" s="7">
        <v>10</v>
      </c>
      <c r="O279" s="7"/>
      <c r="P279" s="7">
        <v>3</v>
      </c>
      <c r="Q279" s="7">
        <v>12</v>
      </c>
      <c r="R279" s="7"/>
      <c r="S279" s="7">
        <v>3</v>
      </c>
      <c r="T279" s="7">
        <v>2.6487733009829286</v>
      </c>
      <c r="U279" s="7">
        <v>2.6487733009829286</v>
      </c>
      <c r="V279" s="7">
        <f t="shared" si="24"/>
        <v>0.18232155679395459</v>
      </c>
      <c r="W279" s="7">
        <f t="shared" si="25"/>
        <v>3.9627407407407403E-2</v>
      </c>
      <c r="X279" t="s">
        <v>576</v>
      </c>
      <c r="Y279" t="s">
        <v>577</v>
      </c>
      <c r="Z279" t="s">
        <v>578</v>
      </c>
      <c r="AA279" t="s">
        <v>587</v>
      </c>
      <c r="AB279" t="s">
        <v>92</v>
      </c>
    </row>
    <row r="280" spans="1:28">
      <c r="A280" t="s">
        <v>572</v>
      </c>
      <c r="B280" t="s">
        <v>588</v>
      </c>
      <c r="C280" t="s">
        <v>183</v>
      </c>
      <c r="D280" t="s">
        <v>586</v>
      </c>
      <c r="E280" t="s">
        <v>82</v>
      </c>
      <c r="F280">
        <v>10</v>
      </c>
      <c r="G280" t="s">
        <v>83</v>
      </c>
      <c r="H280" t="s">
        <v>84</v>
      </c>
      <c r="I280" t="s">
        <v>85</v>
      </c>
      <c r="J280" t="s">
        <v>575</v>
      </c>
      <c r="K280" t="s">
        <v>41</v>
      </c>
      <c r="L280" t="s">
        <v>40</v>
      </c>
      <c r="M280" t="s">
        <v>188</v>
      </c>
      <c r="N280" s="7">
        <v>10</v>
      </c>
      <c r="O280" s="7"/>
      <c r="P280" s="7">
        <v>3</v>
      </c>
      <c r="Q280" s="7">
        <v>14.8</v>
      </c>
      <c r="R280" s="7"/>
      <c r="S280" s="7">
        <v>3</v>
      </c>
      <c r="T280" s="7">
        <v>2.6487733009829286</v>
      </c>
      <c r="U280" s="7">
        <v>2.6487733009829286</v>
      </c>
      <c r="V280" s="7">
        <f t="shared" si="24"/>
        <v>0.39204208777602367</v>
      </c>
      <c r="W280" s="7">
        <f t="shared" si="25"/>
        <v>3.4063559775992208E-2</v>
      </c>
      <c r="X280" t="s">
        <v>576</v>
      </c>
      <c r="Y280" t="s">
        <v>577</v>
      </c>
      <c r="Z280" t="s">
        <v>578</v>
      </c>
      <c r="AA280" t="s">
        <v>587</v>
      </c>
      <c r="AB280" t="s">
        <v>92</v>
      </c>
    </row>
    <row r="281" spans="1:28">
      <c r="A281" t="s">
        <v>572</v>
      </c>
      <c r="B281" t="s">
        <v>589</v>
      </c>
      <c r="C281" t="s">
        <v>183</v>
      </c>
      <c r="D281" t="s">
        <v>590</v>
      </c>
      <c r="E281" t="s">
        <v>82</v>
      </c>
      <c r="F281">
        <v>5</v>
      </c>
      <c r="G281" t="s">
        <v>83</v>
      </c>
      <c r="H281" t="s">
        <v>84</v>
      </c>
      <c r="I281" t="s">
        <v>85</v>
      </c>
      <c r="J281" t="s">
        <v>575</v>
      </c>
      <c r="K281" t="s">
        <v>41</v>
      </c>
      <c r="L281" t="s">
        <v>40</v>
      </c>
      <c r="M281" t="s">
        <v>188</v>
      </c>
      <c r="N281" s="7">
        <v>7.7</v>
      </c>
      <c r="O281" s="7"/>
      <c r="P281" s="7">
        <v>3</v>
      </c>
      <c r="Q281" s="7">
        <v>10.8</v>
      </c>
      <c r="R281" s="7"/>
      <c r="S281" s="7">
        <v>3</v>
      </c>
      <c r="T281" s="7">
        <v>2.6487733009829286</v>
      </c>
      <c r="U281" s="7">
        <v>2.6487733009829286</v>
      </c>
      <c r="V281" s="7">
        <f t="shared" si="24"/>
        <v>0.33832580527053585</v>
      </c>
      <c r="W281" s="7">
        <f t="shared" si="25"/>
        <v>5.9494835356627876E-2</v>
      </c>
      <c r="X281" t="s">
        <v>576</v>
      </c>
      <c r="Y281" t="s">
        <v>577</v>
      </c>
      <c r="Z281" t="s">
        <v>578</v>
      </c>
      <c r="AA281" t="s">
        <v>591</v>
      </c>
      <c r="AB281" t="s">
        <v>92</v>
      </c>
    </row>
    <row r="282" spans="1:28">
      <c r="A282" t="s">
        <v>572</v>
      </c>
      <c r="B282" t="s">
        <v>592</v>
      </c>
      <c r="C282" t="s">
        <v>183</v>
      </c>
      <c r="D282" t="s">
        <v>590</v>
      </c>
      <c r="E282" t="s">
        <v>82</v>
      </c>
      <c r="F282">
        <v>10</v>
      </c>
      <c r="G282" t="s">
        <v>83</v>
      </c>
      <c r="H282" t="s">
        <v>84</v>
      </c>
      <c r="I282" t="s">
        <v>85</v>
      </c>
      <c r="J282" t="s">
        <v>575</v>
      </c>
      <c r="K282" t="s">
        <v>41</v>
      </c>
      <c r="L282" t="s">
        <v>40</v>
      </c>
      <c r="M282" t="s">
        <v>188</v>
      </c>
      <c r="N282" s="7">
        <v>7.7</v>
      </c>
      <c r="O282" s="7"/>
      <c r="P282" s="7">
        <v>3</v>
      </c>
      <c r="Q282" s="7">
        <v>11.5</v>
      </c>
      <c r="R282" s="7"/>
      <c r="S282" s="7">
        <v>3</v>
      </c>
      <c r="T282" s="7">
        <v>2.6487733009829286</v>
      </c>
      <c r="U282" s="7">
        <v>2.6487733009829286</v>
      </c>
      <c r="V282" s="7">
        <f t="shared" si="24"/>
        <v>0.40112670650956617</v>
      </c>
      <c r="W282" s="7">
        <f t="shared" si="25"/>
        <v>5.7128218045017692E-2</v>
      </c>
      <c r="X282" t="s">
        <v>576</v>
      </c>
      <c r="Y282" t="s">
        <v>577</v>
      </c>
      <c r="Z282" t="s">
        <v>578</v>
      </c>
      <c r="AA282" t="s">
        <v>591</v>
      </c>
      <c r="AB282" t="s">
        <v>92</v>
      </c>
    </row>
    <row r="283" spans="1:28">
      <c r="A283" t="s">
        <v>572</v>
      </c>
      <c r="B283" t="s">
        <v>593</v>
      </c>
      <c r="C283" t="s">
        <v>183</v>
      </c>
      <c r="D283" t="s">
        <v>574</v>
      </c>
      <c r="E283" t="s">
        <v>82</v>
      </c>
      <c r="F283">
        <v>5</v>
      </c>
      <c r="G283" t="s">
        <v>83</v>
      </c>
      <c r="H283" t="s">
        <v>84</v>
      </c>
      <c r="I283" t="s">
        <v>85</v>
      </c>
      <c r="J283" t="s">
        <v>575</v>
      </c>
      <c r="K283" t="s">
        <v>29</v>
      </c>
      <c r="L283" t="s">
        <v>40</v>
      </c>
      <c r="M283" t="s">
        <v>188</v>
      </c>
      <c r="N283" s="7">
        <v>7.8</v>
      </c>
      <c r="O283" s="7"/>
      <c r="P283" s="7">
        <v>3</v>
      </c>
      <c r="Q283" s="7">
        <v>10.5</v>
      </c>
      <c r="R283" s="7"/>
      <c r="S283" s="7">
        <v>3</v>
      </c>
      <c r="T283" s="7">
        <v>2.2790348834539591</v>
      </c>
      <c r="U283" s="7">
        <v>2.2790348834539591</v>
      </c>
      <c r="V283" s="7">
        <f t="shared" si="24"/>
        <v>0.29725152346793171</v>
      </c>
      <c r="W283" s="7">
        <f t="shared" si="25"/>
        <v>4.4160859083936022E-2</v>
      </c>
      <c r="X283" t="s">
        <v>576</v>
      </c>
      <c r="Y283" t="s">
        <v>577</v>
      </c>
      <c r="Z283" t="s">
        <v>578</v>
      </c>
      <c r="AA283" t="s">
        <v>594</v>
      </c>
      <c r="AB283" t="s">
        <v>92</v>
      </c>
    </row>
    <row r="284" spans="1:28">
      <c r="A284" t="s">
        <v>572</v>
      </c>
      <c r="B284" t="s">
        <v>595</v>
      </c>
      <c r="C284" t="s">
        <v>183</v>
      </c>
      <c r="D284" t="s">
        <v>574</v>
      </c>
      <c r="E284" t="s">
        <v>82</v>
      </c>
      <c r="F284">
        <v>10</v>
      </c>
      <c r="G284" t="s">
        <v>83</v>
      </c>
      <c r="H284" t="s">
        <v>84</v>
      </c>
      <c r="I284" t="s">
        <v>85</v>
      </c>
      <c r="J284" t="s">
        <v>575</v>
      </c>
      <c r="K284" t="s">
        <v>29</v>
      </c>
      <c r="L284" t="s">
        <v>40</v>
      </c>
      <c r="M284" t="s">
        <v>188</v>
      </c>
      <c r="N284" s="7">
        <v>7.8</v>
      </c>
      <c r="O284" s="7"/>
      <c r="P284" s="7">
        <v>3</v>
      </c>
      <c r="Q284" s="7">
        <v>12.2</v>
      </c>
      <c r="R284" s="7"/>
      <c r="S284" s="7">
        <v>3</v>
      </c>
      <c r="T284" s="7">
        <v>2.2790348834539591</v>
      </c>
      <c r="U284" s="7">
        <v>2.2790348834539591</v>
      </c>
      <c r="V284" s="7">
        <f t="shared" si="24"/>
        <v>0.44731221804366483</v>
      </c>
      <c r="W284" s="7">
        <f t="shared" si="25"/>
        <v>4.0089333110233216E-2</v>
      </c>
      <c r="X284" t="s">
        <v>576</v>
      </c>
      <c r="Y284" t="s">
        <v>577</v>
      </c>
      <c r="Z284" t="s">
        <v>578</v>
      </c>
      <c r="AA284" t="s">
        <v>594</v>
      </c>
      <c r="AB284" t="s">
        <v>92</v>
      </c>
    </row>
    <row r="285" spans="1:28">
      <c r="A285" t="s">
        <v>572</v>
      </c>
      <c r="B285" t="s">
        <v>596</v>
      </c>
      <c r="C285" t="s">
        <v>183</v>
      </c>
      <c r="D285" t="s">
        <v>582</v>
      </c>
      <c r="E285" t="s">
        <v>82</v>
      </c>
      <c r="F285">
        <v>5</v>
      </c>
      <c r="G285" t="s">
        <v>83</v>
      </c>
      <c r="H285" t="s">
        <v>84</v>
      </c>
      <c r="I285" t="s">
        <v>85</v>
      </c>
      <c r="J285" t="s">
        <v>575</v>
      </c>
      <c r="K285" t="s">
        <v>29</v>
      </c>
      <c r="L285" t="s">
        <v>40</v>
      </c>
      <c r="M285" t="s">
        <v>188</v>
      </c>
      <c r="N285" s="7">
        <v>8.1</v>
      </c>
      <c r="O285" s="7"/>
      <c r="P285" s="7">
        <v>3</v>
      </c>
      <c r="Q285" s="7">
        <v>9.5</v>
      </c>
      <c r="R285" s="7"/>
      <c r="S285" s="7">
        <v>3</v>
      </c>
      <c r="T285" s="7">
        <v>2.2790348834539591</v>
      </c>
      <c r="U285" s="7">
        <v>2.2790348834539591</v>
      </c>
      <c r="V285" s="7">
        <f t="shared" si="24"/>
        <v>0.15942773692810217</v>
      </c>
      <c r="W285" s="7">
        <f t="shared" si="25"/>
        <v>4.5572002668894787E-2</v>
      </c>
      <c r="X285" t="s">
        <v>576</v>
      </c>
      <c r="Y285" t="s">
        <v>577</v>
      </c>
      <c r="Z285" t="s">
        <v>578</v>
      </c>
      <c r="AA285" t="s">
        <v>597</v>
      </c>
      <c r="AB285" t="s">
        <v>92</v>
      </c>
    </row>
    <row r="286" spans="1:28">
      <c r="A286" t="s">
        <v>572</v>
      </c>
      <c r="B286" t="s">
        <v>598</v>
      </c>
      <c r="C286" t="s">
        <v>183</v>
      </c>
      <c r="D286" t="s">
        <v>582</v>
      </c>
      <c r="E286" t="s">
        <v>82</v>
      </c>
      <c r="F286">
        <v>10</v>
      </c>
      <c r="G286" t="s">
        <v>83</v>
      </c>
      <c r="H286" t="s">
        <v>84</v>
      </c>
      <c r="I286" t="s">
        <v>85</v>
      </c>
      <c r="J286" t="s">
        <v>575</v>
      </c>
      <c r="K286" t="s">
        <v>29</v>
      </c>
      <c r="L286" t="s">
        <v>40</v>
      </c>
      <c r="M286" t="s">
        <v>188</v>
      </c>
      <c r="N286" s="7">
        <v>8.1</v>
      </c>
      <c r="O286" s="7"/>
      <c r="P286" s="7">
        <v>3</v>
      </c>
      <c r="Q286" s="7">
        <v>10.8</v>
      </c>
      <c r="R286" s="7"/>
      <c r="S286" s="7">
        <v>3</v>
      </c>
      <c r="T286" s="7">
        <v>2.2790348834539591</v>
      </c>
      <c r="U286" s="7">
        <v>2.2790348834539591</v>
      </c>
      <c r="V286" s="7">
        <f t="shared" si="24"/>
        <v>0.28768207245178101</v>
      </c>
      <c r="W286" s="7">
        <f t="shared" si="25"/>
        <v>4.1231646598587621E-2</v>
      </c>
      <c r="X286" t="s">
        <v>576</v>
      </c>
      <c r="Y286" t="s">
        <v>577</v>
      </c>
      <c r="Z286" t="s">
        <v>578</v>
      </c>
      <c r="AA286" t="s">
        <v>597</v>
      </c>
      <c r="AB286" t="s">
        <v>92</v>
      </c>
    </row>
    <row r="287" spans="1:28">
      <c r="A287" t="s">
        <v>572</v>
      </c>
      <c r="B287" t="s">
        <v>599</v>
      </c>
      <c r="C287" t="s">
        <v>183</v>
      </c>
      <c r="D287" t="s">
        <v>586</v>
      </c>
      <c r="E287" t="s">
        <v>82</v>
      </c>
      <c r="F287">
        <v>5</v>
      </c>
      <c r="G287" t="s">
        <v>83</v>
      </c>
      <c r="H287" t="s">
        <v>84</v>
      </c>
      <c r="I287" t="s">
        <v>85</v>
      </c>
      <c r="J287" t="s">
        <v>575</v>
      </c>
      <c r="K287" t="s">
        <v>29</v>
      </c>
      <c r="L287" t="s">
        <v>40</v>
      </c>
      <c r="M287" t="s">
        <v>188</v>
      </c>
      <c r="N287" s="7">
        <v>5.8</v>
      </c>
      <c r="O287" s="7"/>
      <c r="P287" s="7">
        <v>3</v>
      </c>
      <c r="Q287" s="7">
        <v>7.5</v>
      </c>
      <c r="R287" s="7"/>
      <c r="S287" s="7">
        <v>3</v>
      </c>
      <c r="T287" s="7">
        <v>2.2790348834539591</v>
      </c>
      <c r="U287" s="7">
        <v>2.2790348834539591</v>
      </c>
      <c r="V287" s="7">
        <f t="shared" si="24"/>
        <v>0.25704510298989114</v>
      </c>
      <c r="W287" s="7">
        <f t="shared" si="25"/>
        <v>8.2245767384506993E-2</v>
      </c>
      <c r="X287" t="s">
        <v>576</v>
      </c>
      <c r="Y287" t="s">
        <v>577</v>
      </c>
      <c r="Z287" t="s">
        <v>578</v>
      </c>
      <c r="AA287" t="s">
        <v>600</v>
      </c>
      <c r="AB287" t="s">
        <v>92</v>
      </c>
    </row>
    <row r="288" spans="1:28">
      <c r="A288" t="s">
        <v>572</v>
      </c>
      <c r="B288" t="s">
        <v>601</v>
      </c>
      <c r="C288" t="s">
        <v>183</v>
      </c>
      <c r="D288" t="s">
        <v>586</v>
      </c>
      <c r="E288" t="s">
        <v>82</v>
      </c>
      <c r="F288">
        <v>10</v>
      </c>
      <c r="G288" t="s">
        <v>83</v>
      </c>
      <c r="H288" t="s">
        <v>84</v>
      </c>
      <c r="I288" t="s">
        <v>85</v>
      </c>
      <c r="J288" t="s">
        <v>575</v>
      </c>
      <c r="K288" t="s">
        <v>29</v>
      </c>
      <c r="L288" t="s">
        <v>40</v>
      </c>
      <c r="M288" t="s">
        <v>188</v>
      </c>
      <c r="N288" s="7">
        <v>5.8</v>
      </c>
      <c r="O288" s="7"/>
      <c r="P288" s="7">
        <v>3</v>
      </c>
      <c r="Q288" s="7">
        <v>9.1999999999999993</v>
      </c>
      <c r="R288" s="7"/>
      <c r="S288" s="7">
        <v>3</v>
      </c>
      <c r="T288" s="7">
        <v>2.2790348834539591</v>
      </c>
      <c r="U288" s="7">
        <v>2.2790348834539591</v>
      </c>
      <c r="V288" s="7">
        <f t="shared" si="24"/>
        <v>0.46134556650262087</v>
      </c>
      <c r="W288" s="7">
        <f t="shared" si="25"/>
        <v>7.1921769624932672E-2</v>
      </c>
      <c r="X288" t="s">
        <v>576</v>
      </c>
      <c r="Y288" t="s">
        <v>577</v>
      </c>
      <c r="Z288" t="s">
        <v>578</v>
      </c>
      <c r="AA288" t="s">
        <v>600</v>
      </c>
      <c r="AB288" t="s">
        <v>92</v>
      </c>
    </row>
    <row r="289" spans="1:28">
      <c r="A289" t="s">
        <v>572</v>
      </c>
      <c r="B289" t="s">
        <v>602</v>
      </c>
      <c r="C289" t="s">
        <v>183</v>
      </c>
      <c r="D289" t="s">
        <v>590</v>
      </c>
      <c r="E289" t="s">
        <v>82</v>
      </c>
      <c r="F289">
        <v>5</v>
      </c>
      <c r="G289" t="s">
        <v>83</v>
      </c>
      <c r="H289" t="s">
        <v>84</v>
      </c>
      <c r="I289" t="s">
        <v>85</v>
      </c>
      <c r="J289" t="s">
        <v>575</v>
      </c>
      <c r="K289" t="s">
        <v>29</v>
      </c>
      <c r="L289" t="s">
        <v>40</v>
      </c>
      <c r="M289" t="s">
        <v>188</v>
      </c>
      <c r="N289" s="7">
        <v>5</v>
      </c>
      <c r="O289" s="7"/>
      <c r="P289" s="7">
        <v>3</v>
      </c>
      <c r="Q289" s="7">
        <v>6.8</v>
      </c>
      <c r="R289" s="7"/>
      <c r="S289" s="7">
        <v>3</v>
      </c>
      <c r="T289" s="7">
        <v>2.2790348834539591</v>
      </c>
      <c r="U289" s="7">
        <v>2.2790348834539591</v>
      </c>
      <c r="V289" s="7">
        <f t="shared" si="24"/>
        <v>0.30748469974796055</v>
      </c>
      <c r="W289" s="7">
        <f t="shared" si="25"/>
        <v>0.10669566320645908</v>
      </c>
      <c r="X289" t="s">
        <v>576</v>
      </c>
      <c r="Y289" t="s">
        <v>577</v>
      </c>
      <c r="Z289" t="s">
        <v>578</v>
      </c>
      <c r="AA289" t="s">
        <v>603</v>
      </c>
      <c r="AB289" t="s">
        <v>92</v>
      </c>
    </row>
    <row r="290" spans="1:28">
      <c r="A290" t="s">
        <v>572</v>
      </c>
      <c r="B290" t="s">
        <v>604</v>
      </c>
      <c r="C290" t="s">
        <v>183</v>
      </c>
      <c r="D290" t="s">
        <v>590</v>
      </c>
      <c r="E290" t="s">
        <v>82</v>
      </c>
      <c r="F290">
        <v>10</v>
      </c>
      <c r="G290" t="s">
        <v>83</v>
      </c>
      <c r="H290" t="s">
        <v>84</v>
      </c>
      <c r="I290" t="s">
        <v>85</v>
      </c>
      <c r="J290" t="s">
        <v>575</v>
      </c>
      <c r="K290" t="s">
        <v>29</v>
      </c>
      <c r="L290" t="s">
        <v>40</v>
      </c>
      <c r="M290" t="s">
        <v>188</v>
      </c>
      <c r="N290" s="7">
        <v>5</v>
      </c>
      <c r="O290" s="7"/>
      <c r="P290" s="7">
        <v>3</v>
      </c>
      <c r="Q290" s="7">
        <v>8</v>
      </c>
      <c r="R290" s="7"/>
      <c r="S290" s="7">
        <v>3</v>
      </c>
      <c r="T290" s="7">
        <v>2.2790348834539591</v>
      </c>
      <c r="U290" s="7">
        <v>2.2790348834539591</v>
      </c>
      <c r="V290" s="7">
        <f t="shared" si="24"/>
        <v>0.47000362924573563</v>
      </c>
      <c r="W290" s="7">
        <f t="shared" si="25"/>
        <v>9.6305416666666685E-2</v>
      </c>
      <c r="X290" t="s">
        <v>576</v>
      </c>
      <c r="Y290" t="s">
        <v>577</v>
      </c>
      <c r="Z290" t="s">
        <v>578</v>
      </c>
      <c r="AA290" t="s">
        <v>603</v>
      </c>
      <c r="AB290" t="s">
        <v>92</v>
      </c>
    </row>
    <row r="291" spans="1:28">
      <c r="A291" t="s">
        <v>572</v>
      </c>
      <c r="B291" t="s">
        <v>605</v>
      </c>
      <c r="C291" t="s">
        <v>183</v>
      </c>
      <c r="D291" t="s">
        <v>574</v>
      </c>
      <c r="E291" t="s">
        <v>82</v>
      </c>
      <c r="F291">
        <v>5</v>
      </c>
      <c r="G291" t="s">
        <v>83</v>
      </c>
      <c r="H291" t="s">
        <v>84</v>
      </c>
      <c r="I291" t="s">
        <v>85</v>
      </c>
      <c r="J291" t="s">
        <v>575</v>
      </c>
      <c r="K291" t="s">
        <v>41</v>
      </c>
      <c r="L291" t="s">
        <v>30</v>
      </c>
      <c r="M291" t="s">
        <v>188</v>
      </c>
      <c r="N291" s="7">
        <v>6.3</v>
      </c>
      <c r="O291" s="7"/>
      <c r="P291" s="7">
        <v>3</v>
      </c>
      <c r="Q291" s="7">
        <v>8.6999999999999993</v>
      </c>
      <c r="R291" s="7"/>
      <c r="S291" s="7">
        <v>3</v>
      </c>
      <c r="T291" s="7">
        <v>1.9595917942265424</v>
      </c>
      <c r="U291" s="7">
        <v>1.9595917942265424</v>
      </c>
      <c r="V291" s="7">
        <f t="shared" si="24"/>
        <v>0.32277339226305102</v>
      </c>
      <c r="W291" s="7">
        <f t="shared" si="25"/>
        <v>4.9161021699383065E-2</v>
      </c>
      <c r="X291" t="s">
        <v>576</v>
      </c>
      <c r="Y291" t="s">
        <v>577</v>
      </c>
      <c r="Z291" t="s">
        <v>578</v>
      </c>
      <c r="AA291" t="s">
        <v>606</v>
      </c>
      <c r="AB291" t="s">
        <v>92</v>
      </c>
    </row>
    <row r="292" spans="1:28">
      <c r="A292" t="s">
        <v>572</v>
      </c>
      <c r="B292" t="s">
        <v>607</v>
      </c>
      <c r="C292" t="s">
        <v>183</v>
      </c>
      <c r="D292" t="s">
        <v>574</v>
      </c>
      <c r="E292" t="s">
        <v>82</v>
      </c>
      <c r="F292">
        <v>10</v>
      </c>
      <c r="G292" t="s">
        <v>83</v>
      </c>
      <c r="H292" t="s">
        <v>84</v>
      </c>
      <c r="I292" t="s">
        <v>85</v>
      </c>
      <c r="J292" t="s">
        <v>575</v>
      </c>
      <c r="K292" t="s">
        <v>41</v>
      </c>
      <c r="L292" t="s">
        <v>30</v>
      </c>
      <c r="M292" t="s">
        <v>188</v>
      </c>
      <c r="N292" s="7">
        <v>6.3</v>
      </c>
      <c r="O292" s="7"/>
      <c r="P292" s="7">
        <v>3</v>
      </c>
      <c r="Q292" s="7">
        <v>11.5</v>
      </c>
      <c r="R292" s="7"/>
      <c r="S292" s="7">
        <v>3</v>
      </c>
      <c r="T292" s="7">
        <v>1.9595917942265424</v>
      </c>
      <c r="U292" s="7">
        <v>1.9595917942265424</v>
      </c>
      <c r="V292" s="7">
        <f t="shared" si="24"/>
        <v>0.60179740197171738</v>
      </c>
      <c r="W292" s="7">
        <f t="shared" si="25"/>
        <v>4.1928575953240642E-2</v>
      </c>
      <c r="X292" t="s">
        <v>576</v>
      </c>
      <c r="Y292" t="s">
        <v>577</v>
      </c>
      <c r="Z292" t="s">
        <v>578</v>
      </c>
      <c r="AA292" t="s">
        <v>606</v>
      </c>
      <c r="AB292" t="s">
        <v>92</v>
      </c>
    </row>
    <row r="293" spans="1:28">
      <c r="A293" t="s">
        <v>572</v>
      </c>
      <c r="B293" t="s">
        <v>608</v>
      </c>
      <c r="C293" t="s">
        <v>183</v>
      </c>
      <c r="D293" t="s">
        <v>582</v>
      </c>
      <c r="E293" t="s">
        <v>82</v>
      </c>
      <c r="F293">
        <v>5</v>
      </c>
      <c r="G293" t="s">
        <v>83</v>
      </c>
      <c r="H293" t="s">
        <v>84</v>
      </c>
      <c r="I293" t="s">
        <v>85</v>
      </c>
      <c r="J293" t="s">
        <v>575</v>
      </c>
      <c r="K293" t="s">
        <v>41</v>
      </c>
      <c r="L293" t="s">
        <v>30</v>
      </c>
      <c r="M293" t="s">
        <v>188</v>
      </c>
      <c r="N293" s="7">
        <v>6</v>
      </c>
      <c r="O293" s="7"/>
      <c r="P293" s="7">
        <v>3</v>
      </c>
      <c r="Q293" s="7">
        <v>7.6</v>
      </c>
      <c r="R293" s="7"/>
      <c r="S293" s="7">
        <v>3</v>
      </c>
      <c r="T293" s="7">
        <v>1.9595917942265424</v>
      </c>
      <c r="U293" s="7">
        <v>1.9595917942265424</v>
      </c>
      <c r="V293" s="7">
        <f t="shared" si="24"/>
        <v>0.23638877806423034</v>
      </c>
      <c r="W293" s="7">
        <f t="shared" si="25"/>
        <v>5.7716220375500157E-2</v>
      </c>
      <c r="X293" t="s">
        <v>576</v>
      </c>
      <c r="Y293" t="s">
        <v>577</v>
      </c>
      <c r="Z293" t="s">
        <v>578</v>
      </c>
      <c r="AA293" t="s">
        <v>609</v>
      </c>
      <c r="AB293" t="s">
        <v>92</v>
      </c>
    </row>
    <row r="294" spans="1:28">
      <c r="A294" t="s">
        <v>572</v>
      </c>
      <c r="B294" t="s">
        <v>610</v>
      </c>
      <c r="C294" t="s">
        <v>183</v>
      </c>
      <c r="D294" t="s">
        <v>582</v>
      </c>
      <c r="E294" t="s">
        <v>82</v>
      </c>
      <c r="F294">
        <v>10</v>
      </c>
      <c r="G294" t="s">
        <v>83</v>
      </c>
      <c r="H294" t="s">
        <v>84</v>
      </c>
      <c r="I294" t="s">
        <v>85</v>
      </c>
      <c r="J294" t="s">
        <v>575</v>
      </c>
      <c r="K294" t="s">
        <v>41</v>
      </c>
      <c r="L294" t="s">
        <v>30</v>
      </c>
      <c r="M294" t="s">
        <v>188</v>
      </c>
      <c r="N294" s="7">
        <v>6</v>
      </c>
      <c r="O294" s="7"/>
      <c r="P294" s="7">
        <v>3</v>
      </c>
      <c r="Q294" s="7">
        <v>10</v>
      </c>
      <c r="R294" s="7"/>
      <c r="S294" s="7">
        <v>3</v>
      </c>
      <c r="T294" s="7">
        <v>1.9595917942265424</v>
      </c>
      <c r="U294" s="7">
        <v>1.9595917942265424</v>
      </c>
      <c r="V294" s="7">
        <f t="shared" si="24"/>
        <v>0.51082562376599072</v>
      </c>
      <c r="W294" s="7">
        <f t="shared" si="25"/>
        <v>4.8355555555555554E-2</v>
      </c>
      <c r="X294" t="s">
        <v>576</v>
      </c>
      <c r="Y294" t="s">
        <v>577</v>
      </c>
      <c r="Z294" t="s">
        <v>578</v>
      </c>
      <c r="AA294" t="s">
        <v>609</v>
      </c>
      <c r="AB294" t="s">
        <v>92</v>
      </c>
    </row>
    <row r="295" spans="1:28">
      <c r="A295" t="s">
        <v>572</v>
      </c>
      <c r="B295" t="s">
        <v>611</v>
      </c>
      <c r="C295" t="s">
        <v>183</v>
      </c>
      <c r="D295" t="s">
        <v>586</v>
      </c>
      <c r="E295" t="s">
        <v>82</v>
      </c>
      <c r="F295">
        <v>5</v>
      </c>
      <c r="G295" t="s">
        <v>83</v>
      </c>
      <c r="H295" t="s">
        <v>84</v>
      </c>
      <c r="I295" t="s">
        <v>85</v>
      </c>
      <c r="J295" t="s">
        <v>575</v>
      </c>
      <c r="K295" t="s">
        <v>41</v>
      </c>
      <c r="L295" t="s">
        <v>30</v>
      </c>
      <c r="M295" t="s">
        <v>188</v>
      </c>
      <c r="N295" s="7">
        <v>4.2</v>
      </c>
      <c r="O295" s="7"/>
      <c r="P295" s="7">
        <v>3</v>
      </c>
      <c r="Q295" s="7">
        <v>4.7</v>
      </c>
      <c r="R295" s="7"/>
      <c r="S295" s="7">
        <v>3</v>
      </c>
      <c r="T295" s="7">
        <v>1.9595917942265424</v>
      </c>
      <c r="U295" s="7">
        <v>1.9595917942265424</v>
      </c>
      <c r="V295" s="7">
        <f t="shared" si="24"/>
        <v>0.1124779834266903</v>
      </c>
      <c r="W295" s="7">
        <f t="shared" si="25"/>
        <v>0.13050712966641309</v>
      </c>
      <c r="X295" t="s">
        <v>576</v>
      </c>
      <c r="Y295" t="s">
        <v>577</v>
      </c>
      <c r="Z295" t="s">
        <v>578</v>
      </c>
      <c r="AA295" t="s">
        <v>612</v>
      </c>
      <c r="AB295" t="s">
        <v>92</v>
      </c>
    </row>
    <row r="296" spans="1:28">
      <c r="A296" t="s">
        <v>572</v>
      </c>
      <c r="B296" t="s">
        <v>613</v>
      </c>
      <c r="C296" t="s">
        <v>183</v>
      </c>
      <c r="D296" t="s">
        <v>586</v>
      </c>
      <c r="E296" t="s">
        <v>82</v>
      </c>
      <c r="F296">
        <v>10</v>
      </c>
      <c r="G296" t="s">
        <v>83</v>
      </c>
      <c r="H296" t="s">
        <v>84</v>
      </c>
      <c r="I296" t="s">
        <v>85</v>
      </c>
      <c r="J296" t="s">
        <v>575</v>
      </c>
      <c r="K296" t="s">
        <v>41</v>
      </c>
      <c r="L296" t="s">
        <v>30</v>
      </c>
      <c r="M296" t="s">
        <v>188</v>
      </c>
      <c r="N296" s="7">
        <v>4.2</v>
      </c>
      <c r="O296" s="7"/>
      <c r="P296" s="7">
        <v>3</v>
      </c>
      <c r="Q296" s="7">
        <v>7</v>
      </c>
      <c r="R296" s="7"/>
      <c r="S296" s="7">
        <v>3</v>
      </c>
      <c r="T296" s="7">
        <v>1.9595917942265424</v>
      </c>
      <c r="U296" s="7">
        <v>1.9595917942265424</v>
      </c>
      <c r="V296" s="7">
        <f t="shared" si="24"/>
        <v>0.51082562376599061</v>
      </c>
      <c r="W296" s="7">
        <f t="shared" si="25"/>
        <v>9.868480725623581E-2</v>
      </c>
      <c r="X296" t="s">
        <v>576</v>
      </c>
      <c r="Y296" t="s">
        <v>577</v>
      </c>
      <c r="Z296" t="s">
        <v>578</v>
      </c>
      <c r="AA296" t="s">
        <v>612</v>
      </c>
      <c r="AB296" t="s">
        <v>92</v>
      </c>
    </row>
    <row r="297" spans="1:28">
      <c r="A297" t="s">
        <v>572</v>
      </c>
      <c r="B297" t="s">
        <v>614</v>
      </c>
      <c r="C297" t="s">
        <v>183</v>
      </c>
      <c r="D297" t="s">
        <v>590</v>
      </c>
      <c r="E297" t="s">
        <v>82</v>
      </c>
      <c r="F297">
        <v>5</v>
      </c>
      <c r="G297" t="s">
        <v>83</v>
      </c>
      <c r="H297" t="s">
        <v>84</v>
      </c>
      <c r="I297" t="s">
        <v>85</v>
      </c>
      <c r="J297" t="s">
        <v>575</v>
      </c>
      <c r="K297" t="s">
        <v>41</v>
      </c>
      <c r="L297" t="s">
        <v>30</v>
      </c>
      <c r="M297" t="s">
        <v>188</v>
      </c>
      <c r="N297" s="7">
        <v>3.8</v>
      </c>
      <c r="O297" s="7"/>
      <c r="P297" s="7">
        <v>3</v>
      </c>
      <c r="Q297" s="7">
        <v>4.3</v>
      </c>
      <c r="R297" s="7"/>
      <c r="S297" s="7">
        <v>3</v>
      </c>
      <c r="T297" s="7">
        <v>1.9595917942265424</v>
      </c>
      <c r="U297" s="7">
        <v>1.9595917942265424</v>
      </c>
      <c r="V297" s="7">
        <f t="shared" si="24"/>
        <v>0.12361395596717663</v>
      </c>
      <c r="W297" s="7">
        <f t="shared" si="25"/>
        <v>0.15786926825760425</v>
      </c>
      <c r="X297" t="s">
        <v>576</v>
      </c>
      <c r="Y297" t="s">
        <v>577</v>
      </c>
      <c r="Z297" t="s">
        <v>578</v>
      </c>
      <c r="AA297" t="s">
        <v>615</v>
      </c>
      <c r="AB297" t="s">
        <v>92</v>
      </c>
    </row>
    <row r="298" spans="1:28">
      <c r="A298" t="s">
        <v>572</v>
      </c>
      <c r="B298" t="s">
        <v>616</v>
      </c>
      <c r="C298" t="s">
        <v>183</v>
      </c>
      <c r="D298" t="s">
        <v>590</v>
      </c>
      <c r="E298" t="s">
        <v>82</v>
      </c>
      <c r="F298">
        <v>10</v>
      </c>
      <c r="G298" t="s">
        <v>83</v>
      </c>
      <c r="H298" t="s">
        <v>84</v>
      </c>
      <c r="I298" t="s">
        <v>85</v>
      </c>
      <c r="J298" t="s">
        <v>575</v>
      </c>
      <c r="K298" t="s">
        <v>41</v>
      </c>
      <c r="L298" t="s">
        <v>30</v>
      </c>
      <c r="M298" t="s">
        <v>188</v>
      </c>
      <c r="N298" s="7">
        <v>3.8</v>
      </c>
      <c r="O298" s="7"/>
      <c r="P298" s="7">
        <v>3</v>
      </c>
      <c r="Q298" s="7">
        <v>6.5</v>
      </c>
      <c r="R298" s="7"/>
      <c r="S298" s="7">
        <v>3</v>
      </c>
      <c r="T298" s="7">
        <v>1.9595917942265424</v>
      </c>
      <c r="U298" s="7">
        <v>1.9595917942265424</v>
      </c>
      <c r="V298" s="7">
        <f t="shared" si="24"/>
        <v>0.53680111016925136</v>
      </c>
      <c r="W298" s="7">
        <f t="shared" si="25"/>
        <v>0.11893851726794408</v>
      </c>
      <c r="X298" t="s">
        <v>576</v>
      </c>
      <c r="Y298" t="s">
        <v>577</v>
      </c>
      <c r="Z298" t="s">
        <v>578</v>
      </c>
      <c r="AA298" t="s">
        <v>615</v>
      </c>
      <c r="AB298" t="s">
        <v>92</v>
      </c>
    </row>
    <row r="299" spans="1:28">
      <c r="A299" t="s">
        <v>572</v>
      </c>
      <c r="B299" t="s">
        <v>617</v>
      </c>
      <c r="C299" t="s">
        <v>183</v>
      </c>
      <c r="D299" t="s">
        <v>574</v>
      </c>
      <c r="E299" t="s">
        <v>82</v>
      </c>
      <c r="F299">
        <v>5</v>
      </c>
      <c r="G299" t="s">
        <v>83</v>
      </c>
      <c r="H299" t="s">
        <v>84</v>
      </c>
      <c r="I299" t="s">
        <v>85</v>
      </c>
      <c r="J299" t="s">
        <v>575</v>
      </c>
      <c r="K299" t="s">
        <v>29</v>
      </c>
      <c r="L299" t="s">
        <v>30</v>
      </c>
      <c r="M299" t="s">
        <v>188</v>
      </c>
      <c r="N299" s="7">
        <v>7.5</v>
      </c>
      <c r="O299" s="7"/>
      <c r="P299" s="7">
        <v>3</v>
      </c>
      <c r="Q299" s="7">
        <v>8.8000000000000007</v>
      </c>
      <c r="R299" s="7"/>
      <c r="S299" s="7">
        <v>3</v>
      </c>
      <c r="T299" s="7">
        <v>1.8886503117305755</v>
      </c>
      <c r="U299" s="7">
        <v>1.8886503117305755</v>
      </c>
      <c r="V299" s="7">
        <f t="shared" si="24"/>
        <v>0.15984870094189604</v>
      </c>
      <c r="W299" s="7">
        <f t="shared" si="25"/>
        <v>3.6491600091827364E-2</v>
      </c>
      <c r="X299" t="s">
        <v>576</v>
      </c>
      <c r="Y299" t="s">
        <v>577</v>
      </c>
      <c r="Z299" t="s">
        <v>578</v>
      </c>
      <c r="AA299" t="s">
        <v>618</v>
      </c>
      <c r="AB299" t="s">
        <v>92</v>
      </c>
    </row>
    <row r="300" spans="1:28">
      <c r="A300" t="s">
        <v>572</v>
      </c>
      <c r="B300" t="s">
        <v>619</v>
      </c>
      <c r="C300" t="s">
        <v>183</v>
      </c>
      <c r="D300" t="s">
        <v>574</v>
      </c>
      <c r="E300" t="s">
        <v>82</v>
      </c>
      <c r="F300">
        <v>10</v>
      </c>
      <c r="G300" t="s">
        <v>83</v>
      </c>
      <c r="H300" t="s">
        <v>84</v>
      </c>
      <c r="I300" t="s">
        <v>85</v>
      </c>
      <c r="J300" t="s">
        <v>575</v>
      </c>
      <c r="K300" t="s">
        <v>29</v>
      </c>
      <c r="L300" t="s">
        <v>30</v>
      </c>
      <c r="M300" t="s">
        <v>188</v>
      </c>
      <c r="N300" s="7">
        <v>7.5</v>
      </c>
      <c r="O300" s="7"/>
      <c r="P300" s="7">
        <v>3</v>
      </c>
      <c r="Q300" s="7">
        <v>9</v>
      </c>
      <c r="R300" s="7"/>
      <c r="S300" s="7">
        <v>3</v>
      </c>
      <c r="T300" s="7">
        <v>1.8886503117305755</v>
      </c>
      <c r="U300" s="7">
        <v>1.8886503117305755</v>
      </c>
      <c r="V300" s="7">
        <f t="shared" si="24"/>
        <v>0.18232155679395459</v>
      </c>
      <c r="W300" s="7">
        <f t="shared" si="25"/>
        <v>3.5816790123456795E-2</v>
      </c>
      <c r="X300" t="s">
        <v>576</v>
      </c>
      <c r="Y300" t="s">
        <v>577</v>
      </c>
      <c r="Z300" t="s">
        <v>578</v>
      </c>
      <c r="AA300" t="s">
        <v>618</v>
      </c>
      <c r="AB300" t="s">
        <v>92</v>
      </c>
    </row>
    <row r="301" spans="1:28">
      <c r="A301" t="s">
        <v>572</v>
      </c>
      <c r="B301" t="s">
        <v>620</v>
      </c>
      <c r="C301" t="s">
        <v>183</v>
      </c>
      <c r="D301" t="s">
        <v>582</v>
      </c>
      <c r="E301" t="s">
        <v>82</v>
      </c>
      <c r="F301">
        <v>5</v>
      </c>
      <c r="G301" t="s">
        <v>83</v>
      </c>
      <c r="H301" t="s">
        <v>84</v>
      </c>
      <c r="I301" t="s">
        <v>85</v>
      </c>
      <c r="J301" t="s">
        <v>575</v>
      </c>
      <c r="K301" t="s">
        <v>29</v>
      </c>
      <c r="L301" t="s">
        <v>30</v>
      </c>
      <c r="M301" t="s">
        <v>188</v>
      </c>
      <c r="N301" s="7">
        <v>8.3000000000000007</v>
      </c>
      <c r="O301" s="7"/>
      <c r="P301" s="7">
        <v>3</v>
      </c>
      <c r="Q301" s="7">
        <v>9.3000000000000007</v>
      </c>
      <c r="R301" s="7"/>
      <c r="S301" s="7">
        <v>3</v>
      </c>
      <c r="T301" s="7">
        <v>1.8886503117305755</v>
      </c>
      <c r="U301" s="7">
        <v>1.8886503117305755</v>
      </c>
      <c r="V301" s="7">
        <f t="shared" si="24"/>
        <v>0.11375888535665796</v>
      </c>
      <c r="W301" s="7">
        <f t="shared" si="25"/>
        <v>3.1006653059756459E-2</v>
      </c>
      <c r="X301" t="s">
        <v>576</v>
      </c>
      <c r="Y301" t="s">
        <v>577</v>
      </c>
      <c r="Z301" t="s">
        <v>578</v>
      </c>
      <c r="AA301" t="s">
        <v>621</v>
      </c>
      <c r="AB301" t="s">
        <v>92</v>
      </c>
    </row>
    <row r="302" spans="1:28">
      <c r="A302" t="s">
        <v>572</v>
      </c>
      <c r="B302" t="s">
        <v>622</v>
      </c>
      <c r="C302" t="s">
        <v>183</v>
      </c>
      <c r="D302" t="s">
        <v>582</v>
      </c>
      <c r="E302" t="s">
        <v>82</v>
      </c>
      <c r="F302">
        <v>10</v>
      </c>
      <c r="G302" t="s">
        <v>83</v>
      </c>
      <c r="H302" t="s">
        <v>84</v>
      </c>
      <c r="I302" t="s">
        <v>85</v>
      </c>
      <c r="J302" t="s">
        <v>575</v>
      </c>
      <c r="K302" t="s">
        <v>29</v>
      </c>
      <c r="L302" t="s">
        <v>30</v>
      </c>
      <c r="M302" t="s">
        <v>188</v>
      </c>
      <c r="N302" s="7">
        <v>8.3000000000000007</v>
      </c>
      <c r="O302" s="7"/>
      <c r="P302" s="7">
        <v>3</v>
      </c>
      <c r="Q302" s="7">
        <v>10.8</v>
      </c>
      <c r="R302" s="7"/>
      <c r="S302" s="7">
        <v>3</v>
      </c>
      <c r="T302" s="7">
        <v>1.8886503117305755</v>
      </c>
      <c r="U302" s="7">
        <v>1.8886503117305755</v>
      </c>
      <c r="V302" s="7">
        <f t="shared" si="24"/>
        <v>0.26329061932762177</v>
      </c>
      <c r="W302" s="7">
        <f t="shared" si="25"/>
        <v>2.7453157615339136E-2</v>
      </c>
      <c r="X302" t="s">
        <v>576</v>
      </c>
      <c r="Y302" t="s">
        <v>577</v>
      </c>
      <c r="Z302" t="s">
        <v>578</v>
      </c>
      <c r="AA302" t="s">
        <v>621</v>
      </c>
      <c r="AB302" t="s">
        <v>92</v>
      </c>
    </row>
    <row r="303" spans="1:28">
      <c r="A303" t="s">
        <v>572</v>
      </c>
      <c r="B303" t="s">
        <v>623</v>
      </c>
      <c r="C303" t="s">
        <v>183</v>
      </c>
      <c r="D303" t="s">
        <v>586</v>
      </c>
      <c r="E303" t="s">
        <v>82</v>
      </c>
      <c r="F303">
        <v>5</v>
      </c>
      <c r="G303" t="s">
        <v>83</v>
      </c>
      <c r="H303" t="s">
        <v>84</v>
      </c>
      <c r="I303" t="s">
        <v>85</v>
      </c>
      <c r="J303" t="s">
        <v>575</v>
      </c>
      <c r="K303" t="s">
        <v>29</v>
      </c>
      <c r="L303" t="s">
        <v>30</v>
      </c>
      <c r="M303" t="s">
        <v>188</v>
      </c>
      <c r="N303" s="7">
        <v>5</v>
      </c>
      <c r="O303" s="7"/>
      <c r="P303" s="7">
        <v>3</v>
      </c>
      <c r="Q303" s="7">
        <v>6</v>
      </c>
      <c r="R303" s="7"/>
      <c r="S303" s="7">
        <v>3</v>
      </c>
      <c r="T303" s="7">
        <v>1.8886503117305755</v>
      </c>
      <c r="U303" s="7">
        <v>1.8886503117305755</v>
      </c>
      <c r="V303" s="7">
        <f t="shared" si="24"/>
        <v>0.18232155679395459</v>
      </c>
      <c r="W303" s="7">
        <f t="shared" si="25"/>
        <v>8.0587777777777786E-2</v>
      </c>
      <c r="X303" t="s">
        <v>576</v>
      </c>
      <c r="Y303" t="s">
        <v>577</v>
      </c>
      <c r="Z303" t="s">
        <v>578</v>
      </c>
      <c r="AA303" t="s">
        <v>624</v>
      </c>
      <c r="AB303" t="s">
        <v>92</v>
      </c>
    </row>
    <row r="304" spans="1:28">
      <c r="A304" t="s">
        <v>572</v>
      </c>
      <c r="B304" t="s">
        <v>625</v>
      </c>
      <c r="C304" t="s">
        <v>183</v>
      </c>
      <c r="D304" t="s">
        <v>586</v>
      </c>
      <c r="E304" t="s">
        <v>82</v>
      </c>
      <c r="F304">
        <v>10</v>
      </c>
      <c r="G304" t="s">
        <v>83</v>
      </c>
      <c r="H304" t="s">
        <v>84</v>
      </c>
      <c r="I304" t="s">
        <v>85</v>
      </c>
      <c r="J304" t="s">
        <v>575</v>
      </c>
      <c r="K304" t="s">
        <v>29</v>
      </c>
      <c r="L304" t="s">
        <v>30</v>
      </c>
      <c r="M304" t="s">
        <v>188</v>
      </c>
      <c r="N304" s="7">
        <v>5</v>
      </c>
      <c r="O304" s="7"/>
      <c r="P304" s="7">
        <v>3</v>
      </c>
      <c r="Q304" s="7">
        <v>8</v>
      </c>
      <c r="R304" s="7"/>
      <c r="S304" s="7">
        <v>3</v>
      </c>
      <c r="T304" s="7">
        <v>1.8886503117305755</v>
      </c>
      <c r="U304" s="7">
        <v>1.8886503117305755</v>
      </c>
      <c r="V304" s="7">
        <f t="shared" si="24"/>
        <v>0.47000362924573563</v>
      </c>
      <c r="W304" s="7">
        <f t="shared" si="25"/>
        <v>6.6138125000000006E-2</v>
      </c>
      <c r="X304" t="s">
        <v>576</v>
      </c>
      <c r="Y304" t="s">
        <v>577</v>
      </c>
      <c r="Z304" t="s">
        <v>578</v>
      </c>
      <c r="AA304" t="s">
        <v>624</v>
      </c>
      <c r="AB304" t="s">
        <v>92</v>
      </c>
    </row>
    <row r="305" spans="1:28">
      <c r="A305" t="s">
        <v>572</v>
      </c>
      <c r="B305" t="s">
        <v>626</v>
      </c>
      <c r="C305" t="s">
        <v>183</v>
      </c>
      <c r="D305" t="s">
        <v>590</v>
      </c>
      <c r="E305" t="s">
        <v>82</v>
      </c>
      <c r="F305">
        <v>5</v>
      </c>
      <c r="G305" t="s">
        <v>83</v>
      </c>
      <c r="H305" t="s">
        <v>84</v>
      </c>
      <c r="I305" t="s">
        <v>85</v>
      </c>
      <c r="J305" t="s">
        <v>575</v>
      </c>
      <c r="K305" t="s">
        <v>29</v>
      </c>
      <c r="L305" t="s">
        <v>30</v>
      </c>
      <c r="M305" t="s">
        <v>188</v>
      </c>
      <c r="N305" s="7">
        <v>3</v>
      </c>
      <c r="O305" s="7"/>
      <c r="P305" s="7">
        <v>3</v>
      </c>
      <c r="Q305" s="7">
        <v>4.5</v>
      </c>
      <c r="R305" s="7"/>
      <c r="S305" s="7">
        <v>3</v>
      </c>
      <c r="T305" s="7">
        <v>1.8886503117305755</v>
      </c>
      <c r="U305" s="7">
        <v>1.8886503117305755</v>
      </c>
      <c r="V305" s="7">
        <f t="shared" si="24"/>
        <v>0.40546510810816438</v>
      </c>
      <c r="W305" s="7">
        <f t="shared" si="25"/>
        <v>0.19082716049382717</v>
      </c>
      <c r="X305" t="s">
        <v>576</v>
      </c>
      <c r="Y305" t="s">
        <v>577</v>
      </c>
      <c r="Z305" t="s">
        <v>578</v>
      </c>
      <c r="AA305" t="s">
        <v>627</v>
      </c>
      <c r="AB305" t="s">
        <v>92</v>
      </c>
    </row>
    <row r="306" spans="1:28">
      <c r="A306" t="s">
        <v>572</v>
      </c>
      <c r="B306" t="s">
        <v>628</v>
      </c>
      <c r="C306" t="s">
        <v>183</v>
      </c>
      <c r="D306" t="s">
        <v>590</v>
      </c>
      <c r="E306" t="s">
        <v>82</v>
      </c>
      <c r="F306">
        <v>10</v>
      </c>
      <c r="G306" t="s">
        <v>83</v>
      </c>
      <c r="H306" t="s">
        <v>84</v>
      </c>
      <c r="I306" t="s">
        <v>85</v>
      </c>
      <c r="J306" t="s">
        <v>575</v>
      </c>
      <c r="K306" t="s">
        <v>29</v>
      </c>
      <c r="L306" t="s">
        <v>30</v>
      </c>
      <c r="M306" t="s">
        <v>188</v>
      </c>
      <c r="N306" s="7">
        <v>3</v>
      </c>
      <c r="O306" s="7"/>
      <c r="P306" s="7">
        <v>3</v>
      </c>
      <c r="Q306" s="7">
        <v>5.8</v>
      </c>
      <c r="R306" s="7"/>
      <c r="S306" s="7">
        <v>3</v>
      </c>
      <c r="T306" s="7">
        <v>1.8886503117305755</v>
      </c>
      <c r="U306" s="7">
        <v>1.8886503117305755</v>
      </c>
      <c r="V306" s="7">
        <f t="shared" si="24"/>
        <v>0.65924562888426397</v>
      </c>
      <c r="W306" s="7">
        <f t="shared" si="25"/>
        <v>0.16745593869731801</v>
      </c>
      <c r="X306" t="s">
        <v>576</v>
      </c>
      <c r="Y306" t="s">
        <v>577</v>
      </c>
      <c r="Z306" t="s">
        <v>578</v>
      </c>
      <c r="AA306" t="s">
        <v>627</v>
      </c>
      <c r="AB306" t="s">
        <v>92</v>
      </c>
    </row>
    <row r="307" spans="1:28">
      <c r="A307" t="s">
        <v>572</v>
      </c>
      <c r="B307" t="s">
        <v>629</v>
      </c>
      <c r="C307" t="s">
        <v>183</v>
      </c>
      <c r="D307" t="s">
        <v>574</v>
      </c>
      <c r="E307" t="s">
        <v>82</v>
      </c>
      <c r="F307">
        <v>5</v>
      </c>
      <c r="G307" t="s">
        <v>83</v>
      </c>
      <c r="H307" t="s">
        <v>84</v>
      </c>
      <c r="I307" t="s">
        <v>85</v>
      </c>
      <c r="J307" t="s">
        <v>575</v>
      </c>
      <c r="K307" t="s">
        <v>41</v>
      </c>
      <c r="L307" t="s">
        <v>337</v>
      </c>
      <c r="M307" t="s">
        <v>188</v>
      </c>
      <c r="N307" s="7">
        <v>5.4</v>
      </c>
      <c r="O307" s="7"/>
      <c r="P307" s="7">
        <v>3</v>
      </c>
      <c r="Q307" s="7">
        <v>6.5</v>
      </c>
      <c r="R307" s="7"/>
      <c r="S307" s="7">
        <v>3</v>
      </c>
      <c r="T307" s="7">
        <v>1.7927074496414634</v>
      </c>
      <c r="U307" s="7">
        <v>1.7927074496414634</v>
      </c>
      <c r="V307" s="7">
        <f t="shared" si="24"/>
        <v>0.18540322333136275</v>
      </c>
      <c r="W307" s="7">
        <f t="shared" si="25"/>
        <v>6.2092964072261309E-2</v>
      </c>
      <c r="X307" t="s">
        <v>576</v>
      </c>
      <c r="Y307" t="s">
        <v>577</v>
      </c>
      <c r="Z307" t="s">
        <v>578</v>
      </c>
      <c r="AA307" t="s">
        <v>630</v>
      </c>
      <c r="AB307" t="s">
        <v>92</v>
      </c>
    </row>
    <row r="308" spans="1:28">
      <c r="A308" t="s">
        <v>572</v>
      </c>
      <c r="B308" t="s">
        <v>631</v>
      </c>
      <c r="C308" t="s">
        <v>183</v>
      </c>
      <c r="D308" t="s">
        <v>574</v>
      </c>
      <c r="E308" t="s">
        <v>82</v>
      </c>
      <c r="F308">
        <v>10</v>
      </c>
      <c r="G308" t="s">
        <v>83</v>
      </c>
      <c r="H308" t="s">
        <v>84</v>
      </c>
      <c r="I308" t="s">
        <v>85</v>
      </c>
      <c r="J308" t="s">
        <v>575</v>
      </c>
      <c r="K308" t="s">
        <v>41</v>
      </c>
      <c r="L308" t="s">
        <v>337</v>
      </c>
      <c r="M308" t="s">
        <v>188</v>
      </c>
      <c r="N308" s="7">
        <v>5.4</v>
      </c>
      <c r="O308" s="7"/>
      <c r="P308" s="7">
        <v>3</v>
      </c>
      <c r="Q308" s="7">
        <v>8.1999999999999993</v>
      </c>
      <c r="R308" s="7"/>
      <c r="S308" s="7">
        <v>3</v>
      </c>
      <c r="T308" s="7">
        <v>1.7927074496414634</v>
      </c>
      <c r="U308" s="7">
        <v>1.7927074496414634</v>
      </c>
      <c r="V308" s="7">
        <f t="shared" si="24"/>
        <v>0.41773520069997866</v>
      </c>
      <c r="W308" s="7">
        <f t="shared" si="25"/>
        <v>5.2669524938750337E-2</v>
      </c>
      <c r="X308" t="s">
        <v>576</v>
      </c>
      <c r="Y308" t="s">
        <v>577</v>
      </c>
      <c r="Z308" t="s">
        <v>578</v>
      </c>
      <c r="AA308" t="s">
        <v>630</v>
      </c>
      <c r="AB308" t="s">
        <v>92</v>
      </c>
    </row>
    <row r="309" spans="1:28">
      <c r="A309" t="s">
        <v>572</v>
      </c>
      <c r="B309" t="s">
        <v>632</v>
      </c>
      <c r="C309" t="s">
        <v>183</v>
      </c>
      <c r="D309" t="s">
        <v>582</v>
      </c>
      <c r="E309" t="s">
        <v>82</v>
      </c>
      <c r="F309">
        <v>5</v>
      </c>
      <c r="G309" t="s">
        <v>83</v>
      </c>
      <c r="H309" t="s">
        <v>84</v>
      </c>
      <c r="I309" t="s">
        <v>85</v>
      </c>
      <c r="J309" t="s">
        <v>575</v>
      </c>
      <c r="K309" t="s">
        <v>41</v>
      </c>
      <c r="L309" t="s">
        <v>337</v>
      </c>
      <c r="M309" t="s">
        <v>188</v>
      </c>
      <c r="N309" s="7">
        <v>4.9000000000000004</v>
      </c>
      <c r="O309" s="7"/>
      <c r="P309" s="7">
        <v>3</v>
      </c>
      <c r="Q309" s="7">
        <v>5.8</v>
      </c>
      <c r="R309" s="7"/>
      <c r="S309" s="7">
        <v>3</v>
      </c>
      <c r="T309" s="7">
        <v>1.7927074496414634</v>
      </c>
      <c r="U309" s="7">
        <v>1.7927074496414634</v>
      </c>
      <c r="V309" s="7">
        <f t="shared" si="24"/>
        <v>0.16862271243579272</v>
      </c>
      <c r="W309" s="7">
        <f t="shared" si="25"/>
        <v>7.6462546240559356E-2</v>
      </c>
      <c r="X309" t="s">
        <v>576</v>
      </c>
      <c r="Y309" t="s">
        <v>577</v>
      </c>
      <c r="Z309" t="s">
        <v>578</v>
      </c>
      <c r="AA309" t="s">
        <v>633</v>
      </c>
      <c r="AB309" t="s">
        <v>92</v>
      </c>
    </row>
    <row r="310" spans="1:28">
      <c r="A310" t="s">
        <v>572</v>
      </c>
      <c r="B310" t="s">
        <v>634</v>
      </c>
      <c r="C310" t="s">
        <v>183</v>
      </c>
      <c r="D310" t="s">
        <v>582</v>
      </c>
      <c r="E310" t="s">
        <v>82</v>
      </c>
      <c r="F310">
        <v>10</v>
      </c>
      <c r="G310" t="s">
        <v>83</v>
      </c>
      <c r="H310" t="s">
        <v>84</v>
      </c>
      <c r="I310" t="s">
        <v>85</v>
      </c>
      <c r="J310" t="s">
        <v>575</v>
      </c>
      <c r="K310" t="s">
        <v>41</v>
      </c>
      <c r="L310" t="s">
        <v>337</v>
      </c>
      <c r="M310" t="s">
        <v>188</v>
      </c>
      <c r="N310" s="7">
        <v>4.9000000000000004</v>
      </c>
      <c r="O310" s="7"/>
      <c r="P310" s="7">
        <v>3</v>
      </c>
      <c r="Q310" s="7">
        <v>7.1</v>
      </c>
      <c r="R310" s="7"/>
      <c r="S310" s="7">
        <v>3</v>
      </c>
      <c r="T310" s="7">
        <v>1.7927074496414634</v>
      </c>
      <c r="U310" s="7">
        <v>1.7927074496414634</v>
      </c>
      <c r="V310" s="7">
        <f t="shared" si="24"/>
        <v>0.37085957893068872</v>
      </c>
      <c r="W310" s="7">
        <f t="shared" si="25"/>
        <v>6.5868594999829652E-2</v>
      </c>
      <c r="X310" t="s">
        <v>576</v>
      </c>
      <c r="Y310" t="s">
        <v>577</v>
      </c>
      <c r="Z310" t="s">
        <v>578</v>
      </c>
      <c r="AA310" t="s">
        <v>633</v>
      </c>
      <c r="AB310" t="s">
        <v>92</v>
      </c>
    </row>
    <row r="311" spans="1:28">
      <c r="A311" t="s">
        <v>572</v>
      </c>
      <c r="B311" t="s">
        <v>635</v>
      </c>
      <c r="C311" t="s">
        <v>183</v>
      </c>
      <c r="D311" t="s">
        <v>586</v>
      </c>
      <c r="E311" t="s">
        <v>82</v>
      </c>
      <c r="F311">
        <v>5</v>
      </c>
      <c r="G311" t="s">
        <v>83</v>
      </c>
      <c r="H311" t="s">
        <v>84</v>
      </c>
      <c r="I311" t="s">
        <v>85</v>
      </c>
      <c r="J311" t="s">
        <v>575</v>
      </c>
      <c r="K311" t="s">
        <v>41</v>
      </c>
      <c r="L311" t="s">
        <v>337</v>
      </c>
      <c r="M311" t="s">
        <v>188</v>
      </c>
      <c r="N311" s="7">
        <v>3.7</v>
      </c>
      <c r="O311" s="7"/>
      <c r="P311" s="7">
        <v>3</v>
      </c>
      <c r="Q311" s="7">
        <v>4.5999999999999996</v>
      </c>
      <c r="R311" s="7"/>
      <c r="S311" s="7">
        <v>3</v>
      </c>
      <c r="T311" s="7">
        <v>1.7927074496414634</v>
      </c>
      <c r="U311" s="7">
        <v>1.7927074496414634</v>
      </c>
      <c r="V311" s="7">
        <f t="shared" si="24"/>
        <v>0.21772348384487034</v>
      </c>
      <c r="W311" s="7">
        <f t="shared" si="25"/>
        <v>0.12887873440292588</v>
      </c>
      <c r="X311" t="s">
        <v>576</v>
      </c>
      <c r="Y311" t="s">
        <v>577</v>
      </c>
      <c r="Z311" t="s">
        <v>578</v>
      </c>
      <c r="AA311" t="s">
        <v>636</v>
      </c>
      <c r="AB311" t="s">
        <v>92</v>
      </c>
    </row>
    <row r="312" spans="1:28">
      <c r="A312" t="s">
        <v>572</v>
      </c>
      <c r="B312" t="s">
        <v>637</v>
      </c>
      <c r="C312" t="s">
        <v>183</v>
      </c>
      <c r="D312" t="s">
        <v>586</v>
      </c>
      <c r="E312" t="s">
        <v>82</v>
      </c>
      <c r="F312">
        <v>10</v>
      </c>
      <c r="G312" t="s">
        <v>83</v>
      </c>
      <c r="H312" t="s">
        <v>84</v>
      </c>
      <c r="I312" t="s">
        <v>85</v>
      </c>
      <c r="J312" t="s">
        <v>575</v>
      </c>
      <c r="K312" t="s">
        <v>41</v>
      </c>
      <c r="L312" t="s">
        <v>337</v>
      </c>
      <c r="M312" t="s">
        <v>188</v>
      </c>
      <c r="N312" s="7">
        <v>3.7</v>
      </c>
      <c r="O312" s="7"/>
      <c r="P312" s="7">
        <v>3</v>
      </c>
      <c r="Q312" s="7">
        <v>5.6</v>
      </c>
      <c r="R312" s="7"/>
      <c r="S312" s="7">
        <v>3</v>
      </c>
      <c r="T312" s="7">
        <v>1.7927074496414634</v>
      </c>
      <c r="U312" s="7">
        <v>1.7927074496414634</v>
      </c>
      <c r="V312" s="7">
        <f t="shared" si="24"/>
        <v>0.41443377809092469</v>
      </c>
      <c r="W312" s="7">
        <f t="shared" si="25"/>
        <v>0.11241205439443856</v>
      </c>
      <c r="X312" t="s">
        <v>576</v>
      </c>
      <c r="Y312" t="s">
        <v>577</v>
      </c>
      <c r="Z312" t="s">
        <v>578</v>
      </c>
      <c r="AA312" t="s">
        <v>636</v>
      </c>
      <c r="AB312" t="s">
        <v>92</v>
      </c>
    </row>
    <row r="313" spans="1:28">
      <c r="A313" t="s">
        <v>572</v>
      </c>
      <c r="B313" t="s">
        <v>638</v>
      </c>
      <c r="C313" t="s">
        <v>183</v>
      </c>
      <c r="D313" t="s">
        <v>590</v>
      </c>
      <c r="E313" t="s">
        <v>82</v>
      </c>
      <c r="F313">
        <v>5</v>
      </c>
      <c r="G313" t="s">
        <v>83</v>
      </c>
      <c r="H313" t="s">
        <v>84</v>
      </c>
      <c r="I313" t="s">
        <v>85</v>
      </c>
      <c r="J313" t="s">
        <v>575</v>
      </c>
      <c r="K313" t="s">
        <v>41</v>
      </c>
      <c r="L313" t="s">
        <v>337</v>
      </c>
      <c r="M313" t="s">
        <v>188</v>
      </c>
      <c r="N313" s="7">
        <v>2.5</v>
      </c>
      <c r="O313" s="7"/>
      <c r="P313" s="7">
        <v>3</v>
      </c>
      <c r="Q313" s="7">
        <v>3.2</v>
      </c>
      <c r="R313" s="7"/>
      <c r="S313" s="7">
        <v>3</v>
      </c>
      <c r="T313" s="7">
        <v>1.7927074496414634</v>
      </c>
      <c r="U313" s="7">
        <v>1.7927074496414634</v>
      </c>
      <c r="V313" s="7">
        <f t="shared" si="24"/>
        <v>0.24686007793152581</v>
      </c>
      <c r="W313" s="7">
        <f t="shared" si="25"/>
        <v>0.27601855208333331</v>
      </c>
      <c r="X313" t="s">
        <v>576</v>
      </c>
      <c r="Y313" t="s">
        <v>577</v>
      </c>
      <c r="Z313" t="s">
        <v>578</v>
      </c>
      <c r="AA313" t="s">
        <v>639</v>
      </c>
      <c r="AB313" t="s">
        <v>92</v>
      </c>
    </row>
    <row r="314" spans="1:28">
      <c r="A314" t="s">
        <v>572</v>
      </c>
      <c r="B314" t="s">
        <v>640</v>
      </c>
      <c r="C314" t="s">
        <v>183</v>
      </c>
      <c r="D314" t="s">
        <v>590</v>
      </c>
      <c r="E314" t="s">
        <v>82</v>
      </c>
      <c r="F314">
        <v>10</v>
      </c>
      <c r="G314" t="s">
        <v>83</v>
      </c>
      <c r="H314" t="s">
        <v>84</v>
      </c>
      <c r="I314" t="s">
        <v>85</v>
      </c>
      <c r="J314" t="s">
        <v>575</v>
      </c>
      <c r="K314" t="s">
        <v>41</v>
      </c>
      <c r="L314" t="s">
        <v>337</v>
      </c>
      <c r="M314" t="s">
        <v>188</v>
      </c>
      <c r="N314" s="7">
        <v>2.5</v>
      </c>
      <c r="O314" s="7"/>
      <c r="P314" s="7">
        <v>3</v>
      </c>
      <c r="Q314" s="7">
        <v>4.4000000000000004</v>
      </c>
      <c r="R314" s="7"/>
      <c r="S314" s="7">
        <v>3</v>
      </c>
      <c r="T314" s="7">
        <v>1.7927074496414634</v>
      </c>
      <c r="U314" s="7">
        <v>1.7927074496414634</v>
      </c>
      <c r="V314" s="7">
        <f t="shared" si="24"/>
        <v>0.56531380905006057</v>
      </c>
      <c r="W314" s="7">
        <f t="shared" si="25"/>
        <v>0.22673668870523417</v>
      </c>
      <c r="X314" t="s">
        <v>576</v>
      </c>
      <c r="Y314" t="s">
        <v>577</v>
      </c>
      <c r="Z314" t="s">
        <v>578</v>
      </c>
      <c r="AA314" t="s">
        <v>639</v>
      </c>
      <c r="AB314" t="s">
        <v>92</v>
      </c>
    </row>
    <row r="315" spans="1:28">
      <c r="A315" t="s">
        <v>572</v>
      </c>
      <c r="B315" t="s">
        <v>641</v>
      </c>
      <c r="C315" t="s">
        <v>183</v>
      </c>
      <c r="D315" t="s">
        <v>574</v>
      </c>
      <c r="E315" t="s">
        <v>82</v>
      </c>
      <c r="F315">
        <v>5</v>
      </c>
      <c r="G315" t="s">
        <v>83</v>
      </c>
      <c r="H315" t="s">
        <v>84</v>
      </c>
      <c r="I315" t="s">
        <v>85</v>
      </c>
      <c r="J315" t="s">
        <v>575</v>
      </c>
      <c r="K315" t="s">
        <v>29</v>
      </c>
      <c r="L315" t="s">
        <v>337</v>
      </c>
      <c r="M315" t="s">
        <v>188</v>
      </c>
      <c r="N315" s="7">
        <v>4.8</v>
      </c>
      <c r="O315" s="7"/>
      <c r="P315" s="7">
        <v>3</v>
      </c>
      <c r="Q315" s="7">
        <v>5.6</v>
      </c>
      <c r="R315" s="7"/>
      <c r="S315" s="7">
        <v>3</v>
      </c>
      <c r="T315" s="7">
        <v>0.7235329985563892</v>
      </c>
      <c r="U315" s="7">
        <v>0.7235329985563892</v>
      </c>
      <c r="V315" s="7">
        <f t="shared" si="24"/>
        <v>0.15415067982725836</v>
      </c>
      <c r="W315" s="7">
        <f t="shared" si="25"/>
        <v>1.3138197987528341E-2</v>
      </c>
      <c r="X315" t="s">
        <v>576</v>
      </c>
      <c r="Y315" t="s">
        <v>577</v>
      </c>
      <c r="Z315" t="s">
        <v>578</v>
      </c>
      <c r="AA315" t="s">
        <v>642</v>
      </c>
      <c r="AB315" t="s">
        <v>92</v>
      </c>
    </row>
    <row r="316" spans="1:28">
      <c r="A316" t="s">
        <v>572</v>
      </c>
      <c r="B316" t="s">
        <v>643</v>
      </c>
      <c r="C316" t="s">
        <v>183</v>
      </c>
      <c r="D316" t="s">
        <v>574</v>
      </c>
      <c r="E316" t="s">
        <v>82</v>
      </c>
      <c r="F316">
        <v>10</v>
      </c>
      <c r="G316" t="s">
        <v>83</v>
      </c>
      <c r="H316" t="s">
        <v>84</v>
      </c>
      <c r="I316" t="s">
        <v>85</v>
      </c>
      <c r="J316" t="s">
        <v>575</v>
      </c>
      <c r="K316" t="s">
        <v>29</v>
      </c>
      <c r="L316" t="s">
        <v>337</v>
      </c>
      <c r="M316" t="s">
        <v>188</v>
      </c>
      <c r="N316" s="7">
        <v>4.8</v>
      </c>
      <c r="O316" s="7"/>
      <c r="P316" s="7">
        <v>3</v>
      </c>
      <c r="Q316" s="7">
        <v>6.7</v>
      </c>
      <c r="R316" s="7"/>
      <c r="S316" s="7">
        <v>3</v>
      </c>
      <c r="T316" s="7">
        <v>0.7235329985563892</v>
      </c>
      <c r="U316" s="7">
        <v>0.7235329985563892</v>
      </c>
      <c r="V316" s="7">
        <f t="shared" si="24"/>
        <v>0.33349160848307524</v>
      </c>
      <c r="W316" s="7">
        <f t="shared" si="25"/>
        <v>1.1461064740043559E-2</v>
      </c>
      <c r="X316" t="s">
        <v>576</v>
      </c>
      <c r="Y316" t="s">
        <v>577</v>
      </c>
      <c r="Z316" t="s">
        <v>578</v>
      </c>
      <c r="AA316" t="s">
        <v>642</v>
      </c>
      <c r="AB316" t="s">
        <v>92</v>
      </c>
    </row>
    <row r="317" spans="1:28">
      <c r="A317" t="s">
        <v>572</v>
      </c>
      <c r="B317" t="s">
        <v>644</v>
      </c>
      <c r="C317" t="s">
        <v>183</v>
      </c>
      <c r="D317" t="s">
        <v>582</v>
      </c>
      <c r="E317" t="s">
        <v>82</v>
      </c>
      <c r="F317">
        <v>5</v>
      </c>
      <c r="G317" t="s">
        <v>83</v>
      </c>
      <c r="H317" t="s">
        <v>84</v>
      </c>
      <c r="I317" t="s">
        <v>85</v>
      </c>
      <c r="J317" t="s">
        <v>575</v>
      </c>
      <c r="K317" t="s">
        <v>29</v>
      </c>
      <c r="L317" t="s">
        <v>337</v>
      </c>
      <c r="M317" t="s">
        <v>188</v>
      </c>
      <c r="N317" s="7">
        <v>4.0999999999999996</v>
      </c>
      <c r="O317" s="7"/>
      <c r="P317" s="7">
        <v>3</v>
      </c>
      <c r="Q317" s="7">
        <v>4.5999999999999996</v>
      </c>
      <c r="R317" s="7"/>
      <c r="S317" s="7">
        <v>3</v>
      </c>
      <c r="T317" s="7">
        <v>0.7235329985563892</v>
      </c>
      <c r="U317" s="7">
        <v>0.7235329985563892</v>
      </c>
      <c r="V317" s="7">
        <f t="shared" si="24"/>
        <v>0.11506932978478729</v>
      </c>
      <c r="W317" s="7">
        <f t="shared" si="25"/>
        <v>1.8627417629932669E-2</v>
      </c>
      <c r="X317" t="s">
        <v>576</v>
      </c>
      <c r="Y317" t="s">
        <v>577</v>
      </c>
      <c r="Z317" t="s">
        <v>578</v>
      </c>
      <c r="AA317" t="s">
        <v>645</v>
      </c>
      <c r="AB317" t="s">
        <v>92</v>
      </c>
    </row>
    <row r="318" spans="1:28">
      <c r="A318" t="s">
        <v>572</v>
      </c>
      <c r="B318" t="s">
        <v>646</v>
      </c>
      <c r="C318" t="s">
        <v>183</v>
      </c>
      <c r="D318" t="s">
        <v>582</v>
      </c>
      <c r="E318" t="s">
        <v>82</v>
      </c>
      <c r="F318">
        <v>10</v>
      </c>
      <c r="G318" t="s">
        <v>83</v>
      </c>
      <c r="H318" t="s">
        <v>84</v>
      </c>
      <c r="I318" t="s">
        <v>85</v>
      </c>
      <c r="J318" t="s">
        <v>575</v>
      </c>
      <c r="K318" t="s">
        <v>29</v>
      </c>
      <c r="L318" t="s">
        <v>337</v>
      </c>
      <c r="M318" t="s">
        <v>188</v>
      </c>
      <c r="N318" s="7">
        <v>4.0999999999999996</v>
      </c>
      <c r="O318" s="7"/>
      <c r="P318" s="7">
        <v>3</v>
      </c>
      <c r="Q318" s="7">
        <v>5.6</v>
      </c>
      <c r="R318" s="7"/>
      <c r="S318" s="7">
        <v>3</v>
      </c>
      <c r="T318" s="7">
        <v>0.7235329985563892</v>
      </c>
      <c r="U318" s="7">
        <v>0.7235329985563892</v>
      </c>
      <c r="V318" s="7">
        <f t="shared" si="24"/>
        <v>0.31177962403084153</v>
      </c>
      <c r="W318" s="7">
        <f t="shared" si="25"/>
        <v>1.5945139023783216E-2</v>
      </c>
      <c r="X318" t="s">
        <v>576</v>
      </c>
      <c r="Y318" t="s">
        <v>577</v>
      </c>
      <c r="Z318" t="s">
        <v>578</v>
      </c>
      <c r="AA318" t="s">
        <v>645</v>
      </c>
      <c r="AB318" t="s">
        <v>92</v>
      </c>
    </row>
    <row r="319" spans="1:28">
      <c r="A319" t="s">
        <v>572</v>
      </c>
      <c r="B319" t="s">
        <v>647</v>
      </c>
      <c r="C319" t="s">
        <v>183</v>
      </c>
      <c r="D319" t="s">
        <v>586</v>
      </c>
      <c r="E319" t="s">
        <v>82</v>
      </c>
      <c r="F319">
        <v>5</v>
      </c>
      <c r="G319" t="s">
        <v>83</v>
      </c>
      <c r="H319" t="s">
        <v>84</v>
      </c>
      <c r="I319" t="s">
        <v>85</v>
      </c>
      <c r="J319" t="s">
        <v>575</v>
      </c>
      <c r="K319" t="s">
        <v>29</v>
      </c>
      <c r="L319" t="s">
        <v>337</v>
      </c>
      <c r="M319" t="s">
        <v>188</v>
      </c>
      <c r="N319" s="7">
        <v>3</v>
      </c>
      <c r="O319" s="7"/>
      <c r="P319" s="7">
        <v>3</v>
      </c>
      <c r="Q319" s="7">
        <v>3.7</v>
      </c>
      <c r="R319" s="7"/>
      <c r="S319" s="7">
        <v>3</v>
      </c>
      <c r="T319" s="7">
        <v>0.7235329985563892</v>
      </c>
      <c r="U319" s="7">
        <v>0.7235329985563892</v>
      </c>
      <c r="V319" s="7">
        <f t="shared" si="24"/>
        <v>0.20972053098206911</v>
      </c>
      <c r="W319" s="7">
        <f t="shared" si="25"/>
        <v>3.2135419202986758E-2</v>
      </c>
      <c r="X319" t="s">
        <v>576</v>
      </c>
      <c r="Y319" t="s">
        <v>577</v>
      </c>
      <c r="Z319" t="s">
        <v>578</v>
      </c>
      <c r="AA319" t="s">
        <v>648</v>
      </c>
      <c r="AB319" t="s">
        <v>92</v>
      </c>
    </row>
    <row r="320" spans="1:28">
      <c r="A320" t="s">
        <v>572</v>
      </c>
      <c r="B320" t="s">
        <v>649</v>
      </c>
      <c r="C320" t="s">
        <v>183</v>
      </c>
      <c r="D320" t="s">
        <v>586</v>
      </c>
      <c r="E320" t="s">
        <v>82</v>
      </c>
      <c r="F320">
        <v>10</v>
      </c>
      <c r="G320" t="s">
        <v>83</v>
      </c>
      <c r="H320" t="s">
        <v>84</v>
      </c>
      <c r="I320" t="s">
        <v>85</v>
      </c>
      <c r="J320" t="s">
        <v>575</v>
      </c>
      <c r="K320" t="s">
        <v>29</v>
      </c>
      <c r="L320" t="s">
        <v>337</v>
      </c>
      <c r="M320" t="s">
        <v>188</v>
      </c>
      <c r="N320" s="7">
        <v>3</v>
      </c>
      <c r="O320" s="7"/>
      <c r="P320" s="7">
        <v>3</v>
      </c>
      <c r="Q320" s="7">
        <v>4.8</v>
      </c>
      <c r="R320" s="7"/>
      <c r="S320" s="7">
        <v>3</v>
      </c>
      <c r="T320" s="7">
        <v>0.7235329985563892</v>
      </c>
      <c r="U320" s="7">
        <v>0.7235329985563892</v>
      </c>
      <c r="V320" s="7">
        <f t="shared" si="24"/>
        <v>0.47000362924573547</v>
      </c>
      <c r="W320" s="7">
        <f t="shared" si="25"/>
        <v>2.6962673611111102E-2</v>
      </c>
      <c r="X320" t="s">
        <v>576</v>
      </c>
      <c r="Y320" t="s">
        <v>577</v>
      </c>
      <c r="Z320" t="s">
        <v>578</v>
      </c>
      <c r="AA320" t="s">
        <v>648</v>
      </c>
      <c r="AB320" t="s">
        <v>92</v>
      </c>
    </row>
    <row r="321" spans="1:28">
      <c r="A321" t="s">
        <v>572</v>
      </c>
      <c r="B321" t="s">
        <v>650</v>
      </c>
      <c r="C321" t="s">
        <v>183</v>
      </c>
      <c r="D321" t="s">
        <v>590</v>
      </c>
      <c r="E321" t="s">
        <v>82</v>
      </c>
      <c r="F321">
        <v>5</v>
      </c>
      <c r="G321" t="s">
        <v>83</v>
      </c>
      <c r="H321" t="s">
        <v>84</v>
      </c>
      <c r="I321" t="s">
        <v>85</v>
      </c>
      <c r="J321" t="s">
        <v>575</v>
      </c>
      <c r="K321" t="s">
        <v>29</v>
      </c>
      <c r="L321" t="s">
        <v>337</v>
      </c>
      <c r="M321" t="s">
        <v>188</v>
      </c>
      <c r="N321" s="7">
        <v>2.5</v>
      </c>
      <c r="O321" s="7"/>
      <c r="P321" s="7">
        <v>3</v>
      </c>
      <c r="Q321" s="7">
        <v>3.1</v>
      </c>
      <c r="R321" s="7"/>
      <c r="S321" s="7">
        <v>3</v>
      </c>
      <c r="T321" s="7">
        <v>0.7235329985563892</v>
      </c>
      <c r="U321" s="7">
        <v>0.7235329985563892</v>
      </c>
      <c r="V321" s="7">
        <f t="shared" si="24"/>
        <v>0.21511137961694549</v>
      </c>
      <c r="W321" s="7">
        <f t="shared" si="25"/>
        <v>4.6078168574401654E-2</v>
      </c>
      <c r="X321" t="s">
        <v>576</v>
      </c>
      <c r="Y321" t="s">
        <v>577</v>
      </c>
      <c r="Z321" t="s">
        <v>578</v>
      </c>
      <c r="AA321" t="s">
        <v>651</v>
      </c>
      <c r="AB321" t="s">
        <v>92</v>
      </c>
    </row>
    <row r="322" spans="1:28">
      <c r="A322" t="s">
        <v>572</v>
      </c>
      <c r="B322" t="s">
        <v>652</v>
      </c>
      <c r="C322" t="s">
        <v>183</v>
      </c>
      <c r="D322" t="s">
        <v>590</v>
      </c>
      <c r="E322" t="s">
        <v>82</v>
      </c>
      <c r="F322">
        <v>10</v>
      </c>
      <c r="G322" t="s">
        <v>83</v>
      </c>
      <c r="H322" t="s">
        <v>84</v>
      </c>
      <c r="I322" t="s">
        <v>85</v>
      </c>
      <c r="J322" t="s">
        <v>575</v>
      </c>
      <c r="K322" t="s">
        <v>29</v>
      </c>
      <c r="L322" t="s">
        <v>337</v>
      </c>
      <c r="M322" t="s">
        <v>188</v>
      </c>
      <c r="N322" s="7">
        <v>2.5</v>
      </c>
      <c r="O322" s="7"/>
      <c r="P322" s="7">
        <v>3</v>
      </c>
      <c r="Q322" s="7">
        <v>3.7</v>
      </c>
      <c r="R322" s="7"/>
      <c r="S322" s="7">
        <v>3</v>
      </c>
      <c r="T322" s="7">
        <v>0.7235329985563892</v>
      </c>
      <c r="U322" s="7">
        <v>0.7235329985563892</v>
      </c>
      <c r="V322" s="7">
        <f t="shared" ref="V322:V385" si="26">LN(Q322/N322)</f>
        <v>0.39204208777602367</v>
      </c>
      <c r="W322" s="7">
        <f t="shared" ref="W322:W385" si="27">(U322^2/(S322*Q322^2))+(T322^2/(P322*N322^2))</f>
        <v>4.0666530314097865E-2</v>
      </c>
      <c r="X322" t="s">
        <v>576</v>
      </c>
      <c r="Y322" t="s">
        <v>577</v>
      </c>
      <c r="Z322" t="s">
        <v>578</v>
      </c>
      <c r="AA322" t="s">
        <v>651</v>
      </c>
      <c r="AB322" t="s">
        <v>92</v>
      </c>
    </row>
    <row r="323" spans="1:28">
      <c r="A323" t="s">
        <v>653</v>
      </c>
      <c r="B323" t="s">
        <v>654</v>
      </c>
      <c r="C323" t="s">
        <v>655</v>
      </c>
      <c r="D323" t="s">
        <v>656</v>
      </c>
      <c r="E323" t="s">
        <v>82</v>
      </c>
      <c r="F323">
        <v>4</v>
      </c>
      <c r="G323" t="s">
        <v>185</v>
      </c>
      <c r="H323" t="s">
        <v>84</v>
      </c>
      <c r="I323" t="s">
        <v>186</v>
      </c>
      <c r="J323" t="s">
        <v>657</v>
      </c>
      <c r="K323" t="s">
        <v>41</v>
      </c>
      <c r="L323" t="s">
        <v>40</v>
      </c>
      <c r="M323" t="s">
        <v>188</v>
      </c>
      <c r="N323" s="7">
        <v>5.15</v>
      </c>
      <c r="O323" s="7">
        <v>0.18</v>
      </c>
      <c r="P323" s="7">
        <v>4</v>
      </c>
      <c r="Q323" s="7">
        <v>6.3</v>
      </c>
      <c r="R323" s="7">
        <v>0.18</v>
      </c>
      <c r="S323" s="7">
        <v>4</v>
      </c>
      <c r="T323" s="7">
        <f t="shared" ref="T323:T332" si="28">O323*SQRT(P323)</f>
        <v>0.36</v>
      </c>
      <c r="U323" s="7">
        <f t="shared" ref="U323:U332" si="29">R323*SQRT(S323)</f>
        <v>0.36</v>
      </c>
      <c r="V323" s="7">
        <f t="shared" si="26"/>
        <v>0.20155291872184214</v>
      </c>
      <c r="W323" s="7">
        <f t="shared" si="27"/>
        <v>2.0379308288495904E-3</v>
      </c>
      <c r="X323" t="s">
        <v>658</v>
      </c>
      <c r="Y323" t="s">
        <v>380</v>
      </c>
      <c r="Z323" t="s">
        <v>381</v>
      </c>
      <c r="AA323" t="s">
        <v>659</v>
      </c>
      <c r="AB323" t="s">
        <v>92</v>
      </c>
    </row>
    <row r="324" spans="1:28">
      <c r="A324" t="s">
        <v>653</v>
      </c>
      <c r="B324" t="s">
        <v>660</v>
      </c>
      <c r="C324" t="s">
        <v>655</v>
      </c>
      <c r="D324" t="s">
        <v>656</v>
      </c>
      <c r="E324" t="s">
        <v>82</v>
      </c>
      <c r="F324">
        <v>4</v>
      </c>
      <c r="G324" t="s">
        <v>185</v>
      </c>
      <c r="H324" t="s">
        <v>84</v>
      </c>
      <c r="I324" t="s">
        <v>186</v>
      </c>
      <c r="J324" t="s">
        <v>657</v>
      </c>
      <c r="K324" t="s">
        <v>41</v>
      </c>
      <c r="L324" t="s">
        <v>30</v>
      </c>
      <c r="M324" t="s">
        <v>188</v>
      </c>
      <c r="N324" s="7">
        <v>6.25</v>
      </c>
      <c r="O324" s="7">
        <v>0.32</v>
      </c>
      <c r="P324" s="7">
        <v>4</v>
      </c>
      <c r="Q324" s="7">
        <v>10</v>
      </c>
      <c r="R324" s="7">
        <v>0.46</v>
      </c>
      <c r="S324" s="7">
        <v>4</v>
      </c>
      <c r="T324" s="7">
        <f t="shared" si="28"/>
        <v>0.64</v>
      </c>
      <c r="U324" s="7">
        <f t="shared" si="29"/>
        <v>0.92</v>
      </c>
      <c r="V324" s="7">
        <f t="shared" si="26"/>
        <v>0.47000362924573563</v>
      </c>
      <c r="W324" s="7">
        <f t="shared" si="27"/>
        <v>4.7374400000000007E-3</v>
      </c>
      <c r="X324" t="s">
        <v>658</v>
      </c>
      <c r="Y324" t="s">
        <v>380</v>
      </c>
      <c r="Z324" t="s">
        <v>381</v>
      </c>
      <c r="AA324" t="s">
        <v>661</v>
      </c>
      <c r="AB324" t="s">
        <v>92</v>
      </c>
    </row>
    <row r="325" spans="1:28">
      <c r="A325" t="s">
        <v>653</v>
      </c>
      <c r="B325" t="s">
        <v>662</v>
      </c>
      <c r="C325" t="s">
        <v>655</v>
      </c>
      <c r="D325" t="s">
        <v>656</v>
      </c>
      <c r="E325" t="s">
        <v>82</v>
      </c>
      <c r="F325">
        <v>4</v>
      </c>
      <c r="G325" t="s">
        <v>185</v>
      </c>
      <c r="H325" t="s">
        <v>84</v>
      </c>
      <c r="I325" t="s">
        <v>186</v>
      </c>
      <c r="J325" t="s">
        <v>657</v>
      </c>
      <c r="K325" t="s">
        <v>41</v>
      </c>
      <c r="L325" t="s">
        <v>53</v>
      </c>
      <c r="M325" t="s">
        <v>188</v>
      </c>
      <c r="N325" s="7">
        <v>0.08</v>
      </c>
      <c r="O325" s="7">
        <v>0.02</v>
      </c>
      <c r="P325" s="7">
        <v>4</v>
      </c>
      <c r="Q325" s="7">
        <v>0.09</v>
      </c>
      <c r="R325" s="7">
        <v>0.01</v>
      </c>
      <c r="S325" s="7">
        <v>4</v>
      </c>
      <c r="T325" s="7">
        <f t="shared" si="28"/>
        <v>0.04</v>
      </c>
      <c r="U325" s="7">
        <f t="shared" si="29"/>
        <v>0.02</v>
      </c>
      <c r="V325" s="7">
        <f t="shared" si="26"/>
        <v>0.11778303565638346</v>
      </c>
      <c r="W325" s="7">
        <f t="shared" si="27"/>
        <v>7.4845679012345678E-2</v>
      </c>
      <c r="X325" t="s">
        <v>658</v>
      </c>
      <c r="Y325" t="s">
        <v>380</v>
      </c>
      <c r="Z325" t="s">
        <v>381</v>
      </c>
      <c r="AA325" t="s">
        <v>663</v>
      </c>
      <c r="AB325" t="s">
        <v>92</v>
      </c>
    </row>
    <row r="326" spans="1:28">
      <c r="A326" t="s">
        <v>653</v>
      </c>
      <c r="B326" t="s">
        <v>664</v>
      </c>
      <c r="C326" t="s">
        <v>655</v>
      </c>
      <c r="D326" t="s">
        <v>665</v>
      </c>
      <c r="E326" t="s">
        <v>82</v>
      </c>
      <c r="F326">
        <v>4</v>
      </c>
      <c r="G326" t="s">
        <v>185</v>
      </c>
      <c r="H326" t="s">
        <v>84</v>
      </c>
      <c r="I326" t="s">
        <v>186</v>
      </c>
      <c r="J326" t="s">
        <v>657</v>
      </c>
      <c r="K326" t="s">
        <v>41</v>
      </c>
      <c r="L326" t="s">
        <v>40</v>
      </c>
      <c r="M326" t="s">
        <v>188</v>
      </c>
      <c r="N326" s="7">
        <v>4.88</v>
      </c>
      <c r="O326" s="7">
        <v>0.15</v>
      </c>
      <c r="P326" s="7">
        <v>4</v>
      </c>
      <c r="Q326" s="7">
        <v>6.38</v>
      </c>
      <c r="R326" s="7">
        <v>0.23</v>
      </c>
      <c r="S326" s="7">
        <v>4</v>
      </c>
      <c r="T326" s="7">
        <f t="shared" si="28"/>
        <v>0.3</v>
      </c>
      <c r="U326" s="7">
        <f t="shared" si="29"/>
        <v>0.46</v>
      </c>
      <c r="V326" s="7">
        <f t="shared" si="26"/>
        <v>0.26802287749164266</v>
      </c>
      <c r="W326" s="7">
        <f t="shared" si="27"/>
        <v>2.2444203045930635E-3</v>
      </c>
      <c r="X326" t="s">
        <v>658</v>
      </c>
      <c r="Y326" t="s">
        <v>380</v>
      </c>
      <c r="Z326" t="s">
        <v>381</v>
      </c>
      <c r="AA326" t="s">
        <v>666</v>
      </c>
      <c r="AB326" t="s">
        <v>92</v>
      </c>
    </row>
    <row r="327" spans="1:28">
      <c r="A327" t="s">
        <v>653</v>
      </c>
      <c r="B327" t="s">
        <v>667</v>
      </c>
      <c r="C327" t="s">
        <v>655</v>
      </c>
      <c r="D327" t="s">
        <v>665</v>
      </c>
      <c r="E327" t="s">
        <v>82</v>
      </c>
      <c r="F327">
        <v>4</v>
      </c>
      <c r="G327" t="s">
        <v>185</v>
      </c>
      <c r="H327" t="s">
        <v>84</v>
      </c>
      <c r="I327" t="s">
        <v>186</v>
      </c>
      <c r="J327" t="s">
        <v>657</v>
      </c>
      <c r="K327" t="s">
        <v>41</v>
      </c>
      <c r="L327" t="s">
        <v>30</v>
      </c>
      <c r="M327" t="s">
        <v>188</v>
      </c>
      <c r="N327" s="7">
        <v>9.3000000000000007</v>
      </c>
      <c r="O327" s="7">
        <v>0.28999999999999998</v>
      </c>
      <c r="P327" s="7">
        <v>4</v>
      </c>
      <c r="Q327" s="7">
        <v>10</v>
      </c>
      <c r="R327" s="7">
        <v>0.46</v>
      </c>
      <c r="S327" s="7">
        <v>4</v>
      </c>
      <c r="T327" s="7">
        <f t="shared" si="28"/>
        <v>0.57999999999999996</v>
      </c>
      <c r="U327" s="7">
        <f t="shared" si="29"/>
        <v>0.92</v>
      </c>
      <c r="V327" s="7">
        <f t="shared" si="26"/>
        <v>7.2570692834835374E-2</v>
      </c>
      <c r="W327" s="7">
        <f t="shared" si="27"/>
        <v>3.0883667476008787E-3</v>
      </c>
      <c r="X327" t="s">
        <v>658</v>
      </c>
      <c r="Y327" t="s">
        <v>380</v>
      </c>
      <c r="Z327" t="s">
        <v>381</v>
      </c>
      <c r="AA327" t="s">
        <v>668</v>
      </c>
      <c r="AB327" t="s">
        <v>92</v>
      </c>
    </row>
    <row r="328" spans="1:28">
      <c r="A328" t="s">
        <v>653</v>
      </c>
      <c r="B328" t="s">
        <v>669</v>
      </c>
      <c r="C328" t="s">
        <v>655</v>
      </c>
      <c r="D328" t="s">
        <v>665</v>
      </c>
      <c r="E328" t="s">
        <v>82</v>
      </c>
      <c r="F328">
        <v>4</v>
      </c>
      <c r="G328" t="s">
        <v>185</v>
      </c>
      <c r="H328" t="s">
        <v>84</v>
      </c>
      <c r="I328" t="s">
        <v>186</v>
      </c>
      <c r="J328" t="s">
        <v>657</v>
      </c>
      <c r="K328" t="s">
        <v>41</v>
      </c>
      <c r="L328" t="s">
        <v>53</v>
      </c>
      <c r="M328" t="s">
        <v>188</v>
      </c>
      <c r="N328" s="7">
        <v>0.08</v>
      </c>
      <c r="O328" s="7">
        <v>0.01</v>
      </c>
      <c r="P328" s="7">
        <v>4</v>
      </c>
      <c r="Q328" s="7">
        <v>0.09</v>
      </c>
      <c r="R328" s="7">
        <v>0.01</v>
      </c>
      <c r="S328" s="7">
        <v>4</v>
      </c>
      <c r="T328" s="7">
        <f t="shared" si="28"/>
        <v>0.02</v>
      </c>
      <c r="U328" s="7">
        <f t="shared" si="29"/>
        <v>0.02</v>
      </c>
      <c r="V328" s="7">
        <f t="shared" si="26"/>
        <v>0.11778303565638346</v>
      </c>
      <c r="W328" s="7">
        <f t="shared" si="27"/>
        <v>2.7970679012345678E-2</v>
      </c>
      <c r="X328" t="s">
        <v>658</v>
      </c>
      <c r="Y328" t="s">
        <v>380</v>
      </c>
      <c r="Z328" t="s">
        <v>381</v>
      </c>
      <c r="AA328" t="s">
        <v>670</v>
      </c>
      <c r="AB328" t="s">
        <v>92</v>
      </c>
    </row>
    <row r="329" spans="1:28">
      <c r="A329" t="s">
        <v>671</v>
      </c>
      <c r="B329" t="s">
        <v>672</v>
      </c>
      <c r="C329" t="s">
        <v>673</v>
      </c>
      <c r="D329" t="s">
        <v>674</v>
      </c>
      <c r="E329" t="s">
        <v>96</v>
      </c>
      <c r="F329">
        <v>2.5</v>
      </c>
      <c r="G329" t="s">
        <v>185</v>
      </c>
      <c r="H329" t="s">
        <v>675</v>
      </c>
      <c r="I329" t="s">
        <v>85</v>
      </c>
      <c r="J329" t="s">
        <v>676</v>
      </c>
      <c r="K329" t="s">
        <v>41</v>
      </c>
      <c r="L329" t="s">
        <v>40</v>
      </c>
      <c r="M329" t="s">
        <v>677</v>
      </c>
      <c r="N329" s="7">
        <v>0.78</v>
      </c>
      <c r="O329" s="7">
        <v>0.05</v>
      </c>
      <c r="P329" s="7">
        <v>8</v>
      </c>
      <c r="Q329" s="7">
        <v>0.72</v>
      </c>
      <c r="R329" s="7">
        <v>0.05</v>
      </c>
      <c r="S329" s="7">
        <v>8</v>
      </c>
      <c r="T329" s="7">
        <f t="shared" si="28"/>
        <v>0.14142135623730953</v>
      </c>
      <c r="U329" s="7">
        <f t="shared" si="29"/>
        <v>0.14142135623730953</v>
      </c>
      <c r="V329" s="7">
        <f t="shared" si="26"/>
        <v>-8.0042707673536495E-2</v>
      </c>
      <c r="W329" s="7">
        <f t="shared" si="27"/>
        <v>8.9316695887208739E-3</v>
      </c>
      <c r="X329" t="s">
        <v>678</v>
      </c>
      <c r="Y329" t="s">
        <v>89</v>
      </c>
      <c r="Z329" t="s">
        <v>515</v>
      </c>
      <c r="AA329" t="s">
        <v>679</v>
      </c>
      <c r="AB329" t="s">
        <v>92</v>
      </c>
    </row>
    <row r="330" spans="1:28">
      <c r="A330" t="s">
        <v>671</v>
      </c>
      <c r="B330" t="s">
        <v>680</v>
      </c>
      <c r="C330" t="s">
        <v>673</v>
      </c>
      <c r="D330" t="s">
        <v>674</v>
      </c>
      <c r="E330" t="s">
        <v>96</v>
      </c>
      <c r="F330">
        <v>2.5</v>
      </c>
      <c r="G330" t="s">
        <v>185</v>
      </c>
      <c r="H330" t="s">
        <v>675</v>
      </c>
      <c r="I330" t="s">
        <v>85</v>
      </c>
      <c r="J330" t="s">
        <v>676</v>
      </c>
      <c r="K330" t="s">
        <v>29</v>
      </c>
      <c r="L330" t="s">
        <v>40</v>
      </c>
      <c r="M330" t="s">
        <v>677</v>
      </c>
      <c r="N330" s="7">
        <v>0.85</v>
      </c>
      <c r="O330" s="7">
        <v>0.06</v>
      </c>
      <c r="P330" s="7">
        <v>8</v>
      </c>
      <c r="Q330" s="7">
        <v>0.9</v>
      </c>
      <c r="R330" s="7">
        <v>7.0000000000000007E-2</v>
      </c>
      <c r="S330" s="7">
        <v>8</v>
      </c>
      <c r="T330" s="7">
        <f t="shared" si="28"/>
        <v>0.16970562748477142</v>
      </c>
      <c r="U330" s="7">
        <f t="shared" si="29"/>
        <v>0.19798989873223333</v>
      </c>
      <c r="V330" s="7">
        <f t="shared" si="26"/>
        <v>5.7158413839948623E-2</v>
      </c>
      <c r="W330" s="7">
        <f t="shared" si="27"/>
        <v>1.10320816779871E-2</v>
      </c>
      <c r="X330" t="s">
        <v>678</v>
      </c>
      <c r="Y330" t="s">
        <v>89</v>
      </c>
      <c r="Z330" t="s">
        <v>515</v>
      </c>
      <c r="AA330" t="s">
        <v>681</v>
      </c>
      <c r="AB330" t="s">
        <v>92</v>
      </c>
    </row>
    <row r="331" spans="1:28">
      <c r="A331" t="s">
        <v>671</v>
      </c>
      <c r="B331" t="s">
        <v>682</v>
      </c>
      <c r="C331" t="s">
        <v>673</v>
      </c>
      <c r="D331" t="s">
        <v>674</v>
      </c>
      <c r="E331" t="s">
        <v>96</v>
      </c>
      <c r="F331">
        <v>2.5</v>
      </c>
      <c r="G331" t="s">
        <v>185</v>
      </c>
      <c r="H331" t="s">
        <v>675</v>
      </c>
      <c r="I331" t="s">
        <v>85</v>
      </c>
      <c r="J331" t="s">
        <v>86</v>
      </c>
      <c r="K331" t="s">
        <v>41</v>
      </c>
      <c r="L331" t="s">
        <v>40</v>
      </c>
      <c r="M331" t="s">
        <v>677</v>
      </c>
      <c r="N331" s="7">
        <v>0.72</v>
      </c>
      <c r="O331" s="7">
        <v>0.05</v>
      </c>
      <c r="P331" s="7">
        <v>8</v>
      </c>
      <c r="Q331" s="7">
        <v>0.73</v>
      </c>
      <c r="R331" s="7">
        <v>0.05</v>
      </c>
      <c r="S331" s="7">
        <v>8</v>
      </c>
      <c r="T331" s="7">
        <f t="shared" si="28"/>
        <v>0.14142135623730953</v>
      </c>
      <c r="U331" s="7">
        <f t="shared" si="29"/>
        <v>0.14142135623730953</v>
      </c>
      <c r="V331" s="7">
        <f t="shared" si="26"/>
        <v>1.3793322132335769E-2</v>
      </c>
      <c r="W331" s="7">
        <f t="shared" si="27"/>
        <v>9.5138425549462693E-3</v>
      </c>
      <c r="X331" t="s">
        <v>678</v>
      </c>
      <c r="Y331" t="s">
        <v>89</v>
      </c>
      <c r="Z331" t="s">
        <v>515</v>
      </c>
      <c r="AA331" t="s">
        <v>683</v>
      </c>
      <c r="AB331" t="s">
        <v>92</v>
      </c>
    </row>
    <row r="332" spans="1:28">
      <c r="A332" t="s">
        <v>671</v>
      </c>
      <c r="B332" t="s">
        <v>684</v>
      </c>
      <c r="C332" t="s">
        <v>673</v>
      </c>
      <c r="D332" t="s">
        <v>674</v>
      </c>
      <c r="E332" t="s">
        <v>96</v>
      </c>
      <c r="F332">
        <v>2.5</v>
      </c>
      <c r="G332" t="s">
        <v>185</v>
      </c>
      <c r="H332" t="s">
        <v>675</v>
      </c>
      <c r="I332" t="s">
        <v>85</v>
      </c>
      <c r="J332" t="s">
        <v>86</v>
      </c>
      <c r="K332" t="s">
        <v>29</v>
      </c>
      <c r="L332" t="s">
        <v>40</v>
      </c>
      <c r="M332" t="s">
        <v>677</v>
      </c>
      <c r="N332" s="7">
        <v>0.82</v>
      </c>
      <c r="O332" s="7">
        <v>0.06</v>
      </c>
      <c r="P332" s="7">
        <v>8</v>
      </c>
      <c r="Q332" s="7">
        <v>1.02</v>
      </c>
      <c r="R332" s="7">
        <v>0.08</v>
      </c>
      <c r="S332" s="7">
        <v>8</v>
      </c>
      <c r="T332" s="7">
        <f t="shared" si="28"/>
        <v>0.16970562748477142</v>
      </c>
      <c r="U332" s="7">
        <f t="shared" si="29"/>
        <v>0.22627416997969524</v>
      </c>
      <c r="V332" s="7">
        <f t="shared" si="26"/>
        <v>0.21825356602001797</v>
      </c>
      <c r="W332" s="7">
        <f t="shared" si="27"/>
        <v>1.1505436178507286E-2</v>
      </c>
      <c r="X332" t="s">
        <v>678</v>
      </c>
      <c r="Y332" t="s">
        <v>89</v>
      </c>
      <c r="Z332" t="s">
        <v>515</v>
      </c>
      <c r="AA332" t="s">
        <v>685</v>
      </c>
      <c r="AB332" t="s">
        <v>92</v>
      </c>
    </row>
    <row r="333" spans="1:28">
      <c r="A333" t="s">
        <v>686</v>
      </c>
      <c r="B333" t="s">
        <v>687</v>
      </c>
      <c r="C333" t="s">
        <v>688</v>
      </c>
      <c r="D333" t="s">
        <v>689</v>
      </c>
      <c r="E333" t="s">
        <v>690</v>
      </c>
      <c r="F333">
        <v>10</v>
      </c>
      <c r="G333" t="s">
        <v>185</v>
      </c>
      <c r="H333" t="s">
        <v>691</v>
      </c>
      <c r="I333" t="s">
        <v>377</v>
      </c>
      <c r="J333" t="s">
        <v>692</v>
      </c>
      <c r="K333" t="s">
        <v>149</v>
      </c>
      <c r="L333" t="s">
        <v>693</v>
      </c>
      <c r="M333" t="s">
        <v>694</v>
      </c>
      <c r="N333" s="7">
        <v>2.3199999999999998</v>
      </c>
      <c r="O333" s="7"/>
      <c r="P333" s="7">
        <v>3</v>
      </c>
      <c r="Q333" s="7">
        <v>2.64</v>
      </c>
      <c r="R333" s="7"/>
      <c r="S333" s="7">
        <v>3</v>
      </c>
      <c r="T333" s="7">
        <v>0.12</v>
      </c>
      <c r="U333" s="7">
        <v>0.14000000000000001</v>
      </c>
      <c r="V333" s="7">
        <f t="shared" si="26"/>
        <v>0.12921173148000625</v>
      </c>
      <c r="W333" s="7">
        <f t="shared" si="27"/>
        <v>1.8291998280648158E-3</v>
      </c>
      <c r="X333" t="s">
        <v>695</v>
      </c>
      <c r="Y333" t="s">
        <v>89</v>
      </c>
      <c r="Z333" t="s">
        <v>696</v>
      </c>
      <c r="AA333" t="s">
        <v>697</v>
      </c>
      <c r="AB333" t="s">
        <v>92</v>
      </c>
    </row>
    <row r="334" spans="1:28">
      <c r="A334" t="s">
        <v>686</v>
      </c>
      <c r="B334" t="s">
        <v>698</v>
      </c>
      <c r="C334" t="s">
        <v>688</v>
      </c>
      <c r="D334" t="s">
        <v>689</v>
      </c>
      <c r="E334" t="s">
        <v>690</v>
      </c>
      <c r="F334">
        <v>10</v>
      </c>
      <c r="G334" t="s">
        <v>185</v>
      </c>
      <c r="H334" t="s">
        <v>691</v>
      </c>
      <c r="I334" t="s">
        <v>377</v>
      </c>
      <c r="J334" t="s">
        <v>692</v>
      </c>
      <c r="K334" t="s">
        <v>149</v>
      </c>
      <c r="L334" t="s">
        <v>699</v>
      </c>
      <c r="M334" t="s">
        <v>694</v>
      </c>
      <c r="N334" s="7">
        <v>1.03</v>
      </c>
      <c r="O334" s="7"/>
      <c r="P334" s="7">
        <v>3</v>
      </c>
      <c r="Q334" s="7">
        <v>0.76</v>
      </c>
      <c r="R334" s="7"/>
      <c r="S334" s="7">
        <v>3</v>
      </c>
      <c r="T334" s="7">
        <v>0.03</v>
      </c>
      <c r="U334" s="7">
        <v>0.03</v>
      </c>
      <c r="V334" s="7">
        <f t="shared" si="26"/>
        <v>-0.30399564794330469</v>
      </c>
      <c r="W334" s="7">
        <f t="shared" si="27"/>
        <v>8.021693544575778E-4</v>
      </c>
      <c r="X334" t="s">
        <v>695</v>
      </c>
      <c r="Y334" t="s">
        <v>89</v>
      </c>
      <c r="Z334" t="s">
        <v>696</v>
      </c>
      <c r="AA334" t="s">
        <v>700</v>
      </c>
      <c r="AB334" t="s">
        <v>92</v>
      </c>
    </row>
    <row r="335" spans="1:28">
      <c r="A335" t="s">
        <v>701</v>
      </c>
      <c r="B335" t="s">
        <v>702</v>
      </c>
      <c r="C335" t="s">
        <v>703</v>
      </c>
      <c r="D335" t="s">
        <v>704</v>
      </c>
      <c r="E335" t="s">
        <v>562</v>
      </c>
      <c r="F335">
        <v>10</v>
      </c>
      <c r="G335" t="s">
        <v>185</v>
      </c>
      <c r="H335" t="s">
        <v>705</v>
      </c>
      <c r="I335" t="s">
        <v>85</v>
      </c>
      <c r="J335" t="s">
        <v>706</v>
      </c>
      <c r="K335" t="s">
        <v>149</v>
      </c>
      <c r="L335" t="s">
        <v>40</v>
      </c>
      <c r="M335" t="s">
        <v>707</v>
      </c>
      <c r="N335" s="7">
        <v>524</v>
      </c>
      <c r="O335" s="7">
        <v>6</v>
      </c>
      <c r="P335" s="7">
        <v>3</v>
      </c>
      <c r="Q335" s="7">
        <v>539</v>
      </c>
      <c r="R335" s="7">
        <v>7</v>
      </c>
      <c r="S335" s="7">
        <v>3</v>
      </c>
      <c r="T335" s="7">
        <f t="shared" ref="T335:T366" si="30">O335*SQRT(P335)</f>
        <v>10.392304845413264</v>
      </c>
      <c r="U335" s="7">
        <f t="shared" ref="U335:U366" si="31">R335*SQRT(S335)</f>
        <v>12.124355652982141</v>
      </c>
      <c r="V335" s="7">
        <f t="shared" si="26"/>
        <v>2.8223886587954956E-2</v>
      </c>
      <c r="W335" s="7">
        <f t="shared" si="27"/>
        <v>2.9977374692853837E-4</v>
      </c>
      <c r="X335" t="s">
        <v>658</v>
      </c>
      <c r="Y335" t="s">
        <v>380</v>
      </c>
      <c r="Z335" t="s">
        <v>381</v>
      </c>
      <c r="AA335" t="s">
        <v>708</v>
      </c>
      <c r="AB335" t="s">
        <v>92</v>
      </c>
    </row>
    <row r="336" spans="1:28">
      <c r="A336" t="s">
        <v>701</v>
      </c>
      <c r="B336" t="s">
        <v>709</v>
      </c>
      <c r="C336" t="s">
        <v>703</v>
      </c>
      <c r="D336" t="s">
        <v>704</v>
      </c>
      <c r="E336" t="s">
        <v>562</v>
      </c>
      <c r="F336">
        <v>10</v>
      </c>
      <c r="G336" t="s">
        <v>185</v>
      </c>
      <c r="H336" t="s">
        <v>705</v>
      </c>
      <c r="I336" t="s">
        <v>85</v>
      </c>
      <c r="J336" t="s">
        <v>706</v>
      </c>
      <c r="K336" t="s">
        <v>41</v>
      </c>
      <c r="L336" t="s">
        <v>40</v>
      </c>
      <c r="M336" t="s">
        <v>707</v>
      </c>
      <c r="N336" s="7">
        <v>211</v>
      </c>
      <c r="O336" s="7">
        <v>14</v>
      </c>
      <c r="P336" s="7">
        <v>3</v>
      </c>
      <c r="Q336" s="7">
        <v>361</v>
      </c>
      <c r="R336" s="7">
        <v>8</v>
      </c>
      <c r="S336" s="7">
        <v>3</v>
      </c>
      <c r="T336" s="7">
        <f t="shared" si="30"/>
        <v>24.248711305964282</v>
      </c>
      <c r="U336" s="7">
        <f t="shared" si="31"/>
        <v>13.856406460551018</v>
      </c>
      <c r="V336" s="7">
        <f t="shared" si="26"/>
        <v>0.53701982485681443</v>
      </c>
      <c r="W336" s="7">
        <f t="shared" si="27"/>
        <v>4.8935119022602003E-3</v>
      </c>
      <c r="X336" t="s">
        <v>658</v>
      </c>
      <c r="Y336" t="s">
        <v>380</v>
      </c>
      <c r="Z336" t="s">
        <v>381</v>
      </c>
      <c r="AA336" t="s">
        <v>710</v>
      </c>
      <c r="AB336" t="s">
        <v>92</v>
      </c>
    </row>
    <row r="337" spans="1:28">
      <c r="A337" t="s">
        <v>701</v>
      </c>
      <c r="B337" t="s">
        <v>711</v>
      </c>
      <c r="C337" t="s">
        <v>703</v>
      </c>
      <c r="D337" t="s">
        <v>704</v>
      </c>
      <c r="E337" t="s">
        <v>562</v>
      </c>
      <c r="F337">
        <v>10</v>
      </c>
      <c r="G337" t="s">
        <v>185</v>
      </c>
      <c r="H337" t="s">
        <v>705</v>
      </c>
      <c r="I337" t="s">
        <v>85</v>
      </c>
      <c r="J337" t="s">
        <v>706</v>
      </c>
      <c r="K337" t="s">
        <v>29</v>
      </c>
      <c r="L337" t="s">
        <v>40</v>
      </c>
      <c r="M337" t="s">
        <v>707</v>
      </c>
      <c r="N337" s="7">
        <v>206</v>
      </c>
      <c r="O337" s="7">
        <v>11</v>
      </c>
      <c r="P337" s="7">
        <v>3</v>
      </c>
      <c r="Q337" s="7">
        <v>344</v>
      </c>
      <c r="R337" s="7">
        <v>12</v>
      </c>
      <c r="S337" s="7">
        <v>3</v>
      </c>
      <c r="T337" s="7">
        <f t="shared" si="30"/>
        <v>19.05255888325765</v>
      </c>
      <c r="U337" s="7">
        <f t="shared" si="31"/>
        <v>20.784609690826528</v>
      </c>
      <c r="V337" s="7">
        <f t="shared" si="26"/>
        <v>0.51276548858381721</v>
      </c>
      <c r="W337" s="7">
        <f t="shared" si="27"/>
        <v>4.0682266110679526E-3</v>
      </c>
      <c r="X337" t="s">
        <v>658</v>
      </c>
      <c r="Y337" t="s">
        <v>380</v>
      </c>
      <c r="Z337" t="s">
        <v>381</v>
      </c>
      <c r="AA337" t="s">
        <v>712</v>
      </c>
      <c r="AB337" t="s">
        <v>92</v>
      </c>
    </row>
    <row r="338" spans="1:28">
      <c r="A338" t="s">
        <v>713</v>
      </c>
      <c r="B338" t="s">
        <v>714</v>
      </c>
      <c r="C338" t="s">
        <v>183</v>
      </c>
      <c r="D338" t="s">
        <v>715</v>
      </c>
      <c r="E338" t="s">
        <v>94</v>
      </c>
      <c r="F338">
        <v>10</v>
      </c>
      <c r="G338" t="s">
        <v>185</v>
      </c>
      <c r="H338" t="s">
        <v>84</v>
      </c>
      <c r="I338" t="s">
        <v>85</v>
      </c>
      <c r="J338" t="s">
        <v>86</v>
      </c>
      <c r="K338" t="s">
        <v>29</v>
      </c>
      <c r="L338" t="s">
        <v>40</v>
      </c>
      <c r="M338" t="s">
        <v>188</v>
      </c>
      <c r="N338" s="7">
        <v>26</v>
      </c>
      <c r="O338" s="7">
        <v>1.3</v>
      </c>
      <c r="P338" s="7">
        <v>3</v>
      </c>
      <c r="Q338" s="7">
        <v>27</v>
      </c>
      <c r="R338" s="7">
        <v>1.3</v>
      </c>
      <c r="S338" s="7">
        <v>3</v>
      </c>
      <c r="T338" s="7">
        <f t="shared" si="30"/>
        <v>2.2516660498395402</v>
      </c>
      <c r="U338" s="7">
        <f t="shared" si="31"/>
        <v>2.2516660498395402</v>
      </c>
      <c r="V338" s="7">
        <f t="shared" si="26"/>
        <v>3.7740327982847113E-2</v>
      </c>
      <c r="W338" s="7">
        <f t="shared" si="27"/>
        <v>4.8182441700960199E-3</v>
      </c>
      <c r="X338" t="s">
        <v>716</v>
      </c>
      <c r="Y338" t="s">
        <v>89</v>
      </c>
      <c r="Z338" t="s">
        <v>515</v>
      </c>
      <c r="AA338" t="s">
        <v>717</v>
      </c>
      <c r="AB338" t="s">
        <v>92</v>
      </c>
    </row>
    <row r="339" spans="1:28">
      <c r="A339" t="s">
        <v>713</v>
      </c>
      <c r="B339" t="s">
        <v>718</v>
      </c>
      <c r="C339" t="s">
        <v>183</v>
      </c>
      <c r="D339" t="s">
        <v>715</v>
      </c>
      <c r="E339" t="s">
        <v>94</v>
      </c>
      <c r="F339">
        <v>20</v>
      </c>
      <c r="G339" t="s">
        <v>185</v>
      </c>
      <c r="H339" t="s">
        <v>84</v>
      </c>
      <c r="I339" t="s">
        <v>85</v>
      </c>
      <c r="J339" t="s">
        <v>86</v>
      </c>
      <c r="K339" t="s">
        <v>29</v>
      </c>
      <c r="L339" t="s">
        <v>40</v>
      </c>
      <c r="M339" t="s">
        <v>188</v>
      </c>
      <c r="N339" s="7">
        <v>26</v>
      </c>
      <c r="O339" s="7">
        <v>1.3</v>
      </c>
      <c r="P339" s="7">
        <v>3</v>
      </c>
      <c r="Q339" s="7">
        <v>27.8</v>
      </c>
      <c r="R339" s="7">
        <v>1.3</v>
      </c>
      <c r="S339" s="7">
        <v>3</v>
      </c>
      <c r="T339" s="7">
        <f t="shared" si="30"/>
        <v>2.2516660498395402</v>
      </c>
      <c r="U339" s="7">
        <f t="shared" si="31"/>
        <v>2.2516660498395402</v>
      </c>
      <c r="V339" s="7">
        <f t="shared" si="26"/>
        <v>6.693948267510931E-2</v>
      </c>
      <c r="W339" s="7">
        <f t="shared" si="27"/>
        <v>4.6867398167796687E-3</v>
      </c>
      <c r="X339" t="s">
        <v>716</v>
      </c>
      <c r="Y339" t="s">
        <v>89</v>
      </c>
      <c r="Z339" t="s">
        <v>515</v>
      </c>
      <c r="AA339" t="s">
        <v>717</v>
      </c>
      <c r="AB339" t="s">
        <v>92</v>
      </c>
    </row>
    <row r="340" spans="1:28">
      <c r="A340" t="s">
        <v>713</v>
      </c>
      <c r="B340" t="s">
        <v>719</v>
      </c>
      <c r="C340" t="s">
        <v>183</v>
      </c>
      <c r="D340" t="s">
        <v>715</v>
      </c>
      <c r="E340" t="s">
        <v>94</v>
      </c>
      <c r="F340">
        <v>30</v>
      </c>
      <c r="G340" t="s">
        <v>185</v>
      </c>
      <c r="H340" t="s">
        <v>84</v>
      </c>
      <c r="I340" t="s">
        <v>85</v>
      </c>
      <c r="J340" t="s">
        <v>86</v>
      </c>
      <c r="K340" t="s">
        <v>29</v>
      </c>
      <c r="L340" t="s">
        <v>40</v>
      </c>
      <c r="M340" t="s">
        <v>188</v>
      </c>
      <c r="N340" s="7">
        <v>26</v>
      </c>
      <c r="O340" s="7">
        <v>1.3</v>
      </c>
      <c r="P340" s="7">
        <v>3</v>
      </c>
      <c r="Q340" s="7">
        <v>27.1</v>
      </c>
      <c r="R340" s="7">
        <v>1.3</v>
      </c>
      <c r="S340" s="7">
        <v>3</v>
      </c>
      <c r="T340" s="7">
        <f t="shared" si="30"/>
        <v>2.2516660498395402</v>
      </c>
      <c r="U340" s="7">
        <f t="shared" si="31"/>
        <v>2.2516660498395402</v>
      </c>
      <c r="V340" s="7">
        <f t="shared" si="26"/>
        <v>4.1437189864173239E-2</v>
      </c>
      <c r="W340" s="7">
        <f t="shared" si="27"/>
        <v>4.801166923108344E-3</v>
      </c>
      <c r="X340" t="s">
        <v>716</v>
      </c>
      <c r="Y340" t="s">
        <v>89</v>
      </c>
      <c r="Z340" t="s">
        <v>515</v>
      </c>
      <c r="AA340" t="s">
        <v>717</v>
      </c>
      <c r="AB340" t="s">
        <v>92</v>
      </c>
    </row>
    <row r="341" spans="1:28">
      <c r="A341" t="s">
        <v>713</v>
      </c>
      <c r="B341" t="s">
        <v>720</v>
      </c>
      <c r="C341" t="s">
        <v>183</v>
      </c>
      <c r="D341" t="s">
        <v>715</v>
      </c>
      <c r="E341" t="s">
        <v>94</v>
      </c>
      <c r="F341">
        <v>40</v>
      </c>
      <c r="G341" t="s">
        <v>185</v>
      </c>
      <c r="H341" t="s">
        <v>84</v>
      </c>
      <c r="I341" t="s">
        <v>85</v>
      </c>
      <c r="J341" t="s">
        <v>86</v>
      </c>
      <c r="K341" t="s">
        <v>29</v>
      </c>
      <c r="L341" t="s">
        <v>40</v>
      </c>
      <c r="M341" t="s">
        <v>188</v>
      </c>
      <c r="N341" s="7">
        <v>26</v>
      </c>
      <c r="O341" s="7">
        <v>1.3</v>
      </c>
      <c r="P341" s="7">
        <v>3</v>
      </c>
      <c r="Q341" s="7">
        <v>32</v>
      </c>
      <c r="R341" s="7">
        <v>1.3</v>
      </c>
      <c r="S341" s="7">
        <v>3</v>
      </c>
      <c r="T341" s="7">
        <f t="shared" si="30"/>
        <v>2.2516660498395402</v>
      </c>
      <c r="U341" s="7">
        <f t="shared" si="31"/>
        <v>2.2516660498395402</v>
      </c>
      <c r="V341" s="7">
        <f t="shared" si="26"/>
        <v>0.20763936477824455</v>
      </c>
      <c r="W341" s="7">
        <f t="shared" si="27"/>
        <v>4.1503906249999983E-3</v>
      </c>
      <c r="X341" t="s">
        <v>716</v>
      </c>
      <c r="Y341" t="s">
        <v>89</v>
      </c>
      <c r="Z341" t="s">
        <v>515</v>
      </c>
      <c r="AA341" t="s">
        <v>717</v>
      </c>
      <c r="AB341" t="s">
        <v>92</v>
      </c>
    </row>
    <row r="342" spans="1:28">
      <c r="A342" t="s">
        <v>713</v>
      </c>
      <c r="B342" t="s">
        <v>721</v>
      </c>
      <c r="C342" t="s">
        <v>183</v>
      </c>
      <c r="D342" t="s">
        <v>715</v>
      </c>
      <c r="E342" t="s">
        <v>94</v>
      </c>
      <c r="F342">
        <v>10</v>
      </c>
      <c r="G342" t="s">
        <v>185</v>
      </c>
      <c r="H342" t="s">
        <v>84</v>
      </c>
      <c r="I342" t="s">
        <v>85</v>
      </c>
      <c r="J342" t="s">
        <v>86</v>
      </c>
      <c r="K342" t="s">
        <v>41</v>
      </c>
      <c r="L342" t="s">
        <v>40</v>
      </c>
      <c r="M342" t="s">
        <v>188</v>
      </c>
      <c r="N342" s="7">
        <v>4.9000000000000004</v>
      </c>
      <c r="O342" s="7">
        <v>0.35</v>
      </c>
      <c r="P342" s="7">
        <v>3</v>
      </c>
      <c r="Q342" s="7">
        <v>5.2</v>
      </c>
      <c r="R342" s="7">
        <v>0.35</v>
      </c>
      <c r="S342" s="7">
        <v>3</v>
      </c>
      <c r="T342" s="7">
        <f t="shared" si="30"/>
        <v>0.60621778264910697</v>
      </c>
      <c r="U342" s="7">
        <f t="shared" si="31"/>
        <v>0.60621778264910697</v>
      </c>
      <c r="V342" s="7">
        <f t="shared" si="26"/>
        <v>5.9423420470800806E-2</v>
      </c>
      <c r="W342" s="7">
        <f t="shared" si="27"/>
        <v>9.632366260113507E-3</v>
      </c>
      <c r="X342" t="s">
        <v>716</v>
      </c>
      <c r="Y342" t="s">
        <v>89</v>
      </c>
      <c r="Z342" t="s">
        <v>515</v>
      </c>
      <c r="AA342" t="s">
        <v>722</v>
      </c>
      <c r="AB342" t="s">
        <v>92</v>
      </c>
    </row>
    <row r="343" spans="1:28">
      <c r="A343" t="s">
        <v>713</v>
      </c>
      <c r="B343" t="s">
        <v>723</v>
      </c>
      <c r="C343" t="s">
        <v>183</v>
      </c>
      <c r="D343" t="s">
        <v>715</v>
      </c>
      <c r="E343" t="s">
        <v>94</v>
      </c>
      <c r="F343">
        <v>20</v>
      </c>
      <c r="G343" t="s">
        <v>185</v>
      </c>
      <c r="H343" t="s">
        <v>84</v>
      </c>
      <c r="I343" t="s">
        <v>85</v>
      </c>
      <c r="J343" t="s">
        <v>86</v>
      </c>
      <c r="K343" t="s">
        <v>41</v>
      </c>
      <c r="L343" t="s">
        <v>40</v>
      </c>
      <c r="M343" t="s">
        <v>188</v>
      </c>
      <c r="N343" s="7">
        <v>4.9000000000000004</v>
      </c>
      <c r="O343" s="7">
        <v>0.35</v>
      </c>
      <c r="P343" s="7">
        <v>3</v>
      </c>
      <c r="Q343" s="7">
        <v>6.1</v>
      </c>
      <c r="R343" s="7">
        <v>0.35</v>
      </c>
      <c r="S343" s="7">
        <v>3</v>
      </c>
      <c r="T343" s="7">
        <f t="shared" si="30"/>
        <v>0.60621778264910697</v>
      </c>
      <c r="U343" s="7">
        <f t="shared" si="31"/>
        <v>0.60621778264910697</v>
      </c>
      <c r="V343" s="7">
        <f t="shared" si="26"/>
        <v>0.2190535660626845</v>
      </c>
      <c r="W343" s="7">
        <f t="shared" si="27"/>
        <v>8.3941665889682906E-3</v>
      </c>
      <c r="X343" t="s">
        <v>716</v>
      </c>
      <c r="Y343" t="s">
        <v>89</v>
      </c>
      <c r="Z343" t="s">
        <v>515</v>
      </c>
      <c r="AA343" t="s">
        <v>722</v>
      </c>
      <c r="AB343" t="s">
        <v>92</v>
      </c>
    </row>
    <row r="344" spans="1:28">
      <c r="A344" t="s">
        <v>713</v>
      </c>
      <c r="B344" t="s">
        <v>724</v>
      </c>
      <c r="C344" t="s">
        <v>183</v>
      </c>
      <c r="D344" t="s">
        <v>715</v>
      </c>
      <c r="E344" t="s">
        <v>94</v>
      </c>
      <c r="F344">
        <v>30</v>
      </c>
      <c r="G344" t="s">
        <v>185</v>
      </c>
      <c r="H344" t="s">
        <v>84</v>
      </c>
      <c r="I344" t="s">
        <v>85</v>
      </c>
      <c r="J344" t="s">
        <v>86</v>
      </c>
      <c r="K344" t="s">
        <v>41</v>
      </c>
      <c r="L344" t="s">
        <v>40</v>
      </c>
      <c r="M344" t="s">
        <v>188</v>
      </c>
      <c r="N344" s="7">
        <v>4.9000000000000004</v>
      </c>
      <c r="O344" s="7">
        <v>0.35</v>
      </c>
      <c r="P344" s="7">
        <v>3</v>
      </c>
      <c r="Q344" s="7">
        <v>6.9</v>
      </c>
      <c r="R344" s="7">
        <v>0.35</v>
      </c>
      <c r="S344" s="7">
        <v>3</v>
      </c>
      <c r="T344" s="7">
        <f t="shared" si="30"/>
        <v>0.60621778264910697</v>
      </c>
      <c r="U344" s="7">
        <f t="shared" si="31"/>
        <v>0.60621778264910697</v>
      </c>
      <c r="V344" s="7">
        <f t="shared" si="26"/>
        <v>0.34228620648663277</v>
      </c>
      <c r="W344" s="7">
        <f t="shared" si="27"/>
        <v>7.6750296842114252E-3</v>
      </c>
      <c r="X344" t="s">
        <v>716</v>
      </c>
      <c r="Y344" t="s">
        <v>89</v>
      </c>
      <c r="Z344" t="s">
        <v>515</v>
      </c>
      <c r="AA344" t="s">
        <v>722</v>
      </c>
      <c r="AB344" t="s">
        <v>92</v>
      </c>
    </row>
    <row r="345" spans="1:28">
      <c r="A345" t="s">
        <v>713</v>
      </c>
      <c r="B345" t="s">
        <v>725</v>
      </c>
      <c r="C345" t="s">
        <v>183</v>
      </c>
      <c r="D345" t="s">
        <v>715</v>
      </c>
      <c r="E345" t="s">
        <v>94</v>
      </c>
      <c r="F345">
        <v>40</v>
      </c>
      <c r="G345" t="s">
        <v>185</v>
      </c>
      <c r="H345" t="s">
        <v>84</v>
      </c>
      <c r="I345" t="s">
        <v>85</v>
      </c>
      <c r="J345" t="s">
        <v>86</v>
      </c>
      <c r="K345" t="s">
        <v>41</v>
      </c>
      <c r="L345" t="s">
        <v>40</v>
      </c>
      <c r="M345" t="s">
        <v>188</v>
      </c>
      <c r="N345" s="7">
        <v>4.9000000000000004</v>
      </c>
      <c r="O345" s="7">
        <v>0.35</v>
      </c>
      <c r="P345" s="7">
        <v>3</v>
      </c>
      <c r="Q345" s="7">
        <v>7.1</v>
      </c>
      <c r="R345" s="7">
        <v>0.4</v>
      </c>
      <c r="S345" s="7">
        <v>3</v>
      </c>
      <c r="T345" s="7">
        <f t="shared" si="30"/>
        <v>0.60621778264910697</v>
      </c>
      <c r="U345" s="7">
        <f t="shared" si="31"/>
        <v>0.69282032302755092</v>
      </c>
      <c r="V345" s="7">
        <f t="shared" si="26"/>
        <v>0.37085957893068872</v>
      </c>
      <c r="W345" s="7">
        <f t="shared" si="27"/>
        <v>8.2760142342991512E-3</v>
      </c>
      <c r="X345" t="s">
        <v>716</v>
      </c>
      <c r="Y345" t="s">
        <v>89</v>
      </c>
      <c r="Z345" t="s">
        <v>515</v>
      </c>
      <c r="AA345" t="s">
        <v>722</v>
      </c>
      <c r="AB345" t="s">
        <v>92</v>
      </c>
    </row>
    <row r="346" spans="1:28">
      <c r="A346" t="s">
        <v>713</v>
      </c>
      <c r="B346" t="s">
        <v>726</v>
      </c>
      <c r="C346" t="s">
        <v>183</v>
      </c>
      <c r="D346" t="s">
        <v>715</v>
      </c>
      <c r="E346" t="s">
        <v>94</v>
      </c>
      <c r="F346">
        <v>10</v>
      </c>
      <c r="G346" t="s">
        <v>185</v>
      </c>
      <c r="H346" t="s">
        <v>84</v>
      </c>
      <c r="I346" t="s">
        <v>85</v>
      </c>
      <c r="J346" t="s">
        <v>86</v>
      </c>
      <c r="K346" t="s">
        <v>29</v>
      </c>
      <c r="L346" t="s">
        <v>30</v>
      </c>
      <c r="M346" t="s">
        <v>188</v>
      </c>
      <c r="N346" s="7">
        <v>5.75</v>
      </c>
      <c r="O346" s="7">
        <v>0.7</v>
      </c>
      <c r="P346" s="7">
        <v>3</v>
      </c>
      <c r="Q346" s="7">
        <v>6.4</v>
      </c>
      <c r="R346" s="7">
        <v>0.7</v>
      </c>
      <c r="S346" s="7">
        <v>3</v>
      </c>
      <c r="T346" s="7">
        <f t="shared" si="30"/>
        <v>1.2124355652982139</v>
      </c>
      <c r="U346" s="7">
        <f t="shared" si="31"/>
        <v>1.2124355652982139</v>
      </c>
      <c r="V346" s="7">
        <f t="shared" si="26"/>
        <v>0.10709813555636712</v>
      </c>
      <c r="W346" s="7">
        <f t="shared" si="27"/>
        <v>2.6783306504017002E-2</v>
      </c>
      <c r="X346" t="s">
        <v>716</v>
      </c>
      <c r="Y346" t="s">
        <v>89</v>
      </c>
      <c r="Z346" t="s">
        <v>515</v>
      </c>
      <c r="AA346" t="s">
        <v>727</v>
      </c>
      <c r="AB346" t="s">
        <v>92</v>
      </c>
    </row>
    <row r="347" spans="1:28">
      <c r="A347" t="s">
        <v>713</v>
      </c>
      <c r="B347" t="s">
        <v>728</v>
      </c>
      <c r="C347" t="s">
        <v>183</v>
      </c>
      <c r="D347" t="s">
        <v>715</v>
      </c>
      <c r="E347" t="s">
        <v>94</v>
      </c>
      <c r="F347">
        <v>20</v>
      </c>
      <c r="G347" t="s">
        <v>185</v>
      </c>
      <c r="H347" t="s">
        <v>84</v>
      </c>
      <c r="I347" t="s">
        <v>85</v>
      </c>
      <c r="J347" t="s">
        <v>86</v>
      </c>
      <c r="K347" t="s">
        <v>29</v>
      </c>
      <c r="L347" t="s">
        <v>30</v>
      </c>
      <c r="M347" t="s">
        <v>188</v>
      </c>
      <c r="N347" s="7">
        <v>5.75</v>
      </c>
      <c r="O347" s="7">
        <v>0.7</v>
      </c>
      <c r="P347" s="7">
        <v>3</v>
      </c>
      <c r="Q347" s="7">
        <v>7.35</v>
      </c>
      <c r="R347" s="7">
        <v>0.7</v>
      </c>
      <c r="S347" s="7">
        <v>3</v>
      </c>
      <c r="T347" s="7">
        <f t="shared" si="30"/>
        <v>1.2124355652982139</v>
      </c>
      <c r="U347" s="7">
        <f t="shared" si="31"/>
        <v>1.2124355652982139</v>
      </c>
      <c r="V347" s="7">
        <f t="shared" si="26"/>
        <v>0.24550045841548621</v>
      </c>
      <c r="W347" s="7">
        <f t="shared" si="27"/>
        <v>2.3890710663597506E-2</v>
      </c>
      <c r="X347" t="s">
        <v>716</v>
      </c>
      <c r="Y347" t="s">
        <v>89</v>
      </c>
      <c r="Z347" t="s">
        <v>515</v>
      </c>
      <c r="AA347" t="s">
        <v>727</v>
      </c>
      <c r="AB347" t="s">
        <v>92</v>
      </c>
    </row>
    <row r="348" spans="1:28">
      <c r="A348" t="s">
        <v>713</v>
      </c>
      <c r="B348" t="s">
        <v>729</v>
      </c>
      <c r="C348" t="s">
        <v>183</v>
      </c>
      <c r="D348" t="s">
        <v>715</v>
      </c>
      <c r="E348" t="s">
        <v>94</v>
      </c>
      <c r="F348">
        <v>30</v>
      </c>
      <c r="G348" t="s">
        <v>185</v>
      </c>
      <c r="H348" t="s">
        <v>84</v>
      </c>
      <c r="I348" t="s">
        <v>85</v>
      </c>
      <c r="J348" t="s">
        <v>86</v>
      </c>
      <c r="K348" t="s">
        <v>29</v>
      </c>
      <c r="L348" t="s">
        <v>30</v>
      </c>
      <c r="M348" t="s">
        <v>188</v>
      </c>
      <c r="N348" s="7">
        <v>5.75</v>
      </c>
      <c r="O348" s="7">
        <v>0.7</v>
      </c>
      <c r="P348" s="7">
        <v>3</v>
      </c>
      <c r="Q348" s="7">
        <v>8.65</v>
      </c>
      <c r="R348" s="7">
        <v>0.7</v>
      </c>
      <c r="S348" s="7">
        <v>3</v>
      </c>
      <c r="T348" s="7">
        <f t="shared" si="30"/>
        <v>1.2124355652982139</v>
      </c>
      <c r="U348" s="7">
        <f t="shared" si="31"/>
        <v>1.2124355652982139</v>
      </c>
      <c r="V348" s="7">
        <f t="shared" si="26"/>
        <v>0.40835946613452889</v>
      </c>
      <c r="W348" s="7">
        <f t="shared" si="27"/>
        <v>2.1369248115309564E-2</v>
      </c>
      <c r="X348" t="s">
        <v>716</v>
      </c>
      <c r="Y348" t="s">
        <v>89</v>
      </c>
      <c r="Z348" t="s">
        <v>515</v>
      </c>
      <c r="AA348" t="s">
        <v>727</v>
      </c>
      <c r="AB348" t="s">
        <v>92</v>
      </c>
    </row>
    <row r="349" spans="1:28">
      <c r="A349" t="s">
        <v>713</v>
      </c>
      <c r="B349" t="s">
        <v>730</v>
      </c>
      <c r="C349" t="s">
        <v>183</v>
      </c>
      <c r="D349" t="s">
        <v>715</v>
      </c>
      <c r="E349" t="s">
        <v>94</v>
      </c>
      <c r="F349">
        <v>40</v>
      </c>
      <c r="G349" t="s">
        <v>185</v>
      </c>
      <c r="H349" t="s">
        <v>84</v>
      </c>
      <c r="I349" t="s">
        <v>85</v>
      </c>
      <c r="J349" t="s">
        <v>86</v>
      </c>
      <c r="K349" t="s">
        <v>29</v>
      </c>
      <c r="L349" t="s">
        <v>30</v>
      </c>
      <c r="M349" t="s">
        <v>188</v>
      </c>
      <c r="N349" s="7">
        <v>5.75</v>
      </c>
      <c r="O349" s="7">
        <v>0.7</v>
      </c>
      <c r="P349" s="7">
        <v>3</v>
      </c>
      <c r="Q349" s="7">
        <v>9.65</v>
      </c>
      <c r="R349" s="7">
        <v>0.75</v>
      </c>
      <c r="S349" s="7">
        <v>3</v>
      </c>
      <c r="T349" s="7">
        <f t="shared" si="30"/>
        <v>1.2124355652982139</v>
      </c>
      <c r="U349" s="7">
        <f t="shared" si="31"/>
        <v>1.299038105676658</v>
      </c>
      <c r="V349" s="7">
        <f t="shared" si="26"/>
        <v>0.51775806054163553</v>
      </c>
      <c r="W349" s="7">
        <f t="shared" si="27"/>
        <v>2.0860846494604006E-2</v>
      </c>
      <c r="X349" t="s">
        <v>716</v>
      </c>
      <c r="Y349" t="s">
        <v>89</v>
      </c>
      <c r="Z349" t="s">
        <v>515</v>
      </c>
      <c r="AA349" t="s">
        <v>727</v>
      </c>
      <c r="AB349" t="s">
        <v>92</v>
      </c>
    </row>
    <row r="350" spans="1:28">
      <c r="A350" t="s">
        <v>713</v>
      </c>
      <c r="B350" t="s">
        <v>731</v>
      </c>
      <c r="C350" t="s">
        <v>183</v>
      </c>
      <c r="D350" t="s">
        <v>715</v>
      </c>
      <c r="E350" t="s">
        <v>94</v>
      </c>
      <c r="F350">
        <v>10</v>
      </c>
      <c r="G350" t="s">
        <v>185</v>
      </c>
      <c r="H350" t="s">
        <v>84</v>
      </c>
      <c r="I350" t="s">
        <v>85</v>
      </c>
      <c r="J350" t="s">
        <v>86</v>
      </c>
      <c r="K350" t="s">
        <v>41</v>
      </c>
      <c r="L350" t="s">
        <v>30</v>
      </c>
      <c r="M350" t="s">
        <v>188</v>
      </c>
      <c r="N350" s="7">
        <v>5.75</v>
      </c>
      <c r="O350" s="7">
        <v>0.2</v>
      </c>
      <c r="P350" s="7">
        <v>3</v>
      </c>
      <c r="Q350" s="7">
        <v>6.5</v>
      </c>
      <c r="R350" s="7">
        <v>0.2</v>
      </c>
      <c r="S350" s="7">
        <v>3</v>
      </c>
      <c r="T350" s="7">
        <f t="shared" si="30"/>
        <v>0.34641016151377546</v>
      </c>
      <c r="U350" s="7">
        <f t="shared" si="31"/>
        <v>0.34641016151377546</v>
      </c>
      <c r="V350" s="7">
        <f t="shared" si="26"/>
        <v>0.12260232209233228</v>
      </c>
      <c r="W350" s="7">
        <f t="shared" si="27"/>
        <v>2.1565754298050357E-3</v>
      </c>
      <c r="X350" t="s">
        <v>716</v>
      </c>
      <c r="Y350" t="s">
        <v>89</v>
      </c>
      <c r="Z350" t="s">
        <v>515</v>
      </c>
      <c r="AA350" t="s">
        <v>732</v>
      </c>
      <c r="AB350" t="s">
        <v>92</v>
      </c>
    </row>
    <row r="351" spans="1:28">
      <c r="A351" t="s">
        <v>713</v>
      </c>
      <c r="B351" t="s">
        <v>733</v>
      </c>
      <c r="C351" t="s">
        <v>183</v>
      </c>
      <c r="D351" t="s">
        <v>715</v>
      </c>
      <c r="E351" t="s">
        <v>94</v>
      </c>
      <c r="F351">
        <v>20</v>
      </c>
      <c r="G351" t="s">
        <v>185</v>
      </c>
      <c r="H351" t="s">
        <v>84</v>
      </c>
      <c r="I351" t="s">
        <v>85</v>
      </c>
      <c r="J351" t="s">
        <v>86</v>
      </c>
      <c r="K351" t="s">
        <v>41</v>
      </c>
      <c r="L351" t="s">
        <v>30</v>
      </c>
      <c r="M351" t="s">
        <v>188</v>
      </c>
      <c r="N351" s="7">
        <v>5.75</v>
      </c>
      <c r="O351" s="7">
        <v>0.2</v>
      </c>
      <c r="P351" s="7">
        <v>3</v>
      </c>
      <c r="Q351" s="7">
        <v>6.85</v>
      </c>
      <c r="R351" s="7">
        <v>0.2</v>
      </c>
      <c r="S351" s="7">
        <v>3</v>
      </c>
      <c r="T351" s="7">
        <f t="shared" si="30"/>
        <v>0.34641016151377546</v>
      </c>
      <c r="U351" s="7">
        <f t="shared" si="31"/>
        <v>0.34641016151377546</v>
      </c>
      <c r="V351" s="7">
        <f t="shared" si="26"/>
        <v>0.17504879746487487</v>
      </c>
      <c r="W351" s="7">
        <f t="shared" si="27"/>
        <v>2.0622993652506479E-3</v>
      </c>
      <c r="X351" t="s">
        <v>716</v>
      </c>
      <c r="Y351" t="s">
        <v>89</v>
      </c>
      <c r="Z351" t="s">
        <v>515</v>
      </c>
      <c r="AA351" t="s">
        <v>732</v>
      </c>
      <c r="AB351" t="s">
        <v>92</v>
      </c>
    </row>
    <row r="352" spans="1:28">
      <c r="A352" t="s">
        <v>713</v>
      </c>
      <c r="B352" t="s">
        <v>734</v>
      </c>
      <c r="C352" t="s">
        <v>183</v>
      </c>
      <c r="D352" t="s">
        <v>715</v>
      </c>
      <c r="E352" t="s">
        <v>94</v>
      </c>
      <c r="F352">
        <v>30</v>
      </c>
      <c r="G352" t="s">
        <v>185</v>
      </c>
      <c r="H352" t="s">
        <v>84</v>
      </c>
      <c r="I352" t="s">
        <v>85</v>
      </c>
      <c r="J352" t="s">
        <v>86</v>
      </c>
      <c r="K352" t="s">
        <v>41</v>
      </c>
      <c r="L352" t="s">
        <v>30</v>
      </c>
      <c r="M352" t="s">
        <v>188</v>
      </c>
      <c r="N352" s="7">
        <v>5.75</v>
      </c>
      <c r="O352" s="7">
        <v>0.2</v>
      </c>
      <c r="P352" s="7">
        <v>3</v>
      </c>
      <c r="Q352" s="7">
        <v>7.25</v>
      </c>
      <c r="R352" s="7">
        <v>0.2</v>
      </c>
      <c r="S352" s="7">
        <v>3</v>
      </c>
      <c r="T352" s="7">
        <f t="shared" si="30"/>
        <v>0.34641016151377546</v>
      </c>
      <c r="U352" s="7">
        <f t="shared" si="31"/>
        <v>0.34641016151377546</v>
      </c>
      <c r="V352" s="7">
        <f t="shared" si="26"/>
        <v>0.23180161405732438</v>
      </c>
      <c r="W352" s="7">
        <f t="shared" si="27"/>
        <v>1.970828678614216E-3</v>
      </c>
      <c r="X352" t="s">
        <v>716</v>
      </c>
      <c r="Y352" t="s">
        <v>89</v>
      </c>
      <c r="Z352" t="s">
        <v>515</v>
      </c>
      <c r="AA352" t="s">
        <v>732</v>
      </c>
      <c r="AB352" t="s">
        <v>92</v>
      </c>
    </row>
    <row r="353" spans="1:28">
      <c r="A353" t="s">
        <v>713</v>
      </c>
      <c r="B353" t="s">
        <v>735</v>
      </c>
      <c r="C353" t="s">
        <v>183</v>
      </c>
      <c r="D353" t="s">
        <v>715</v>
      </c>
      <c r="E353" t="s">
        <v>94</v>
      </c>
      <c r="F353">
        <v>40</v>
      </c>
      <c r="G353" t="s">
        <v>185</v>
      </c>
      <c r="H353" t="s">
        <v>84</v>
      </c>
      <c r="I353" t="s">
        <v>85</v>
      </c>
      <c r="J353" t="s">
        <v>86</v>
      </c>
      <c r="K353" t="s">
        <v>41</v>
      </c>
      <c r="L353" t="s">
        <v>30</v>
      </c>
      <c r="M353" t="s">
        <v>188</v>
      </c>
      <c r="N353" s="7">
        <v>5.75</v>
      </c>
      <c r="O353" s="7">
        <v>0.2</v>
      </c>
      <c r="P353" s="7">
        <v>3</v>
      </c>
      <c r="Q353" s="7">
        <v>7.95</v>
      </c>
      <c r="R353" s="7">
        <v>0.3</v>
      </c>
      <c r="S353" s="7">
        <v>3</v>
      </c>
      <c r="T353" s="7">
        <f t="shared" si="30"/>
        <v>0.34641016151377546</v>
      </c>
      <c r="U353" s="7">
        <f t="shared" si="31"/>
        <v>0.51961524227066314</v>
      </c>
      <c r="V353" s="7">
        <f t="shared" si="26"/>
        <v>0.32397207385698146</v>
      </c>
      <c r="W353" s="7">
        <f t="shared" si="27"/>
        <v>2.6338241716976417E-3</v>
      </c>
      <c r="X353" t="s">
        <v>716</v>
      </c>
      <c r="Y353" t="s">
        <v>89</v>
      </c>
      <c r="Z353" t="s">
        <v>515</v>
      </c>
      <c r="AA353" t="s">
        <v>732</v>
      </c>
      <c r="AB353" t="s">
        <v>92</v>
      </c>
    </row>
    <row r="354" spans="1:28">
      <c r="A354" t="s">
        <v>713</v>
      </c>
      <c r="B354" t="s">
        <v>736</v>
      </c>
      <c r="C354" t="s">
        <v>183</v>
      </c>
      <c r="D354" t="s">
        <v>715</v>
      </c>
      <c r="E354" t="s">
        <v>94</v>
      </c>
      <c r="F354">
        <v>10</v>
      </c>
      <c r="G354" t="s">
        <v>185</v>
      </c>
      <c r="H354" t="s">
        <v>84</v>
      </c>
      <c r="I354" t="s">
        <v>85</v>
      </c>
      <c r="J354" t="s">
        <v>86</v>
      </c>
      <c r="K354" t="s">
        <v>29</v>
      </c>
      <c r="L354" t="s">
        <v>737</v>
      </c>
      <c r="M354" t="s">
        <v>188</v>
      </c>
      <c r="N354" s="7">
        <v>9.4</v>
      </c>
      <c r="O354" s="7">
        <v>1</v>
      </c>
      <c r="P354" s="7">
        <v>3</v>
      </c>
      <c r="Q354" s="7">
        <v>11.5</v>
      </c>
      <c r="R354" s="7">
        <v>1</v>
      </c>
      <c r="S354" s="7">
        <v>3</v>
      </c>
      <c r="T354" s="7">
        <f t="shared" si="30"/>
        <v>1.7320508075688772</v>
      </c>
      <c r="U354" s="7">
        <f t="shared" si="31"/>
        <v>1.7320508075688772</v>
      </c>
      <c r="V354" s="7">
        <f t="shared" si="26"/>
        <v>0.20163734609324613</v>
      </c>
      <c r="W354" s="7">
        <f t="shared" si="27"/>
        <v>1.8878774835032142E-2</v>
      </c>
      <c r="X354" t="s">
        <v>716</v>
      </c>
      <c r="Y354" t="s">
        <v>89</v>
      </c>
      <c r="Z354" t="s">
        <v>515</v>
      </c>
      <c r="AA354" t="s">
        <v>738</v>
      </c>
      <c r="AB354" t="s">
        <v>92</v>
      </c>
    </row>
    <row r="355" spans="1:28">
      <c r="A355" t="s">
        <v>713</v>
      </c>
      <c r="B355" t="s">
        <v>739</v>
      </c>
      <c r="C355" t="s">
        <v>183</v>
      </c>
      <c r="D355" t="s">
        <v>715</v>
      </c>
      <c r="E355" t="s">
        <v>94</v>
      </c>
      <c r="F355">
        <v>20</v>
      </c>
      <c r="G355" t="s">
        <v>185</v>
      </c>
      <c r="H355" t="s">
        <v>84</v>
      </c>
      <c r="I355" t="s">
        <v>85</v>
      </c>
      <c r="J355" t="s">
        <v>86</v>
      </c>
      <c r="K355" t="s">
        <v>29</v>
      </c>
      <c r="L355" t="s">
        <v>737</v>
      </c>
      <c r="M355" t="s">
        <v>188</v>
      </c>
      <c r="N355" s="7">
        <v>9.4</v>
      </c>
      <c r="O355" s="7">
        <v>1</v>
      </c>
      <c r="P355" s="7">
        <v>3</v>
      </c>
      <c r="Q355" s="7">
        <v>11.6</v>
      </c>
      <c r="R355" s="7">
        <v>1</v>
      </c>
      <c r="S355" s="7">
        <v>3</v>
      </c>
      <c r="T355" s="7">
        <f t="shared" si="30"/>
        <v>1.7320508075688772</v>
      </c>
      <c r="U355" s="7">
        <f t="shared" si="31"/>
        <v>1.7320508075688772</v>
      </c>
      <c r="V355" s="7">
        <f t="shared" si="26"/>
        <v>0.21029540883636075</v>
      </c>
      <c r="W355" s="7">
        <f t="shared" si="27"/>
        <v>1.8748967175143946E-2</v>
      </c>
      <c r="X355" t="s">
        <v>716</v>
      </c>
      <c r="Y355" t="s">
        <v>89</v>
      </c>
      <c r="Z355" t="s">
        <v>515</v>
      </c>
      <c r="AA355" t="s">
        <v>738</v>
      </c>
      <c r="AB355" t="s">
        <v>92</v>
      </c>
    </row>
    <row r="356" spans="1:28">
      <c r="A356" t="s">
        <v>713</v>
      </c>
      <c r="B356" t="s">
        <v>740</v>
      </c>
      <c r="C356" t="s">
        <v>183</v>
      </c>
      <c r="D356" t="s">
        <v>715</v>
      </c>
      <c r="E356" t="s">
        <v>94</v>
      </c>
      <c r="F356">
        <v>30</v>
      </c>
      <c r="G356" t="s">
        <v>185</v>
      </c>
      <c r="H356" t="s">
        <v>84</v>
      </c>
      <c r="I356" t="s">
        <v>85</v>
      </c>
      <c r="J356" t="s">
        <v>86</v>
      </c>
      <c r="K356" t="s">
        <v>29</v>
      </c>
      <c r="L356" t="s">
        <v>737</v>
      </c>
      <c r="M356" t="s">
        <v>188</v>
      </c>
      <c r="N356" s="7">
        <v>9.4</v>
      </c>
      <c r="O356" s="7">
        <v>1</v>
      </c>
      <c r="P356" s="7">
        <v>3</v>
      </c>
      <c r="Q356" s="7">
        <v>13.5</v>
      </c>
      <c r="R356" s="7">
        <v>1</v>
      </c>
      <c r="S356" s="7">
        <v>3</v>
      </c>
      <c r="T356" s="7">
        <f t="shared" si="30"/>
        <v>1.7320508075688772</v>
      </c>
      <c r="U356" s="7">
        <f t="shared" si="31"/>
        <v>1.7320508075688772</v>
      </c>
      <c r="V356" s="7">
        <f t="shared" si="26"/>
        <v>0.36197999616842558</v>
      </c>
      <c r="W356" s="7">
        <f t="shared" si="27"/>
        <v>1.6804306611995692E-2</v>
      </c>
      <c r="X356" t="s">
        <v>716</v>
      </c>
      <c r="Y356" t="s">
        <v>89</v>
      </c>
      <c r="Z356" t="s">
        <v>515</v>
      </c>
      <c r="AA356" t="s">
        <v>738</v>
      </c>
      <c r="AB356" t="s">
        <v>92</v>
      </c>
    </row>
    <row r="357" spans="1:28">
      <c r="A357" t="s">
        <v>713</v>
      </c>
      <c r="B357" t="s">
        <v>741</v>
      </c>
      <c r="C357" t="s">
        <v>183</v>
      </c>
      <c r="D357" t="s">
        <v>715</v>
      </c>
      <c r="E357" t="s">
        <v>94</v>
      </c>
      <c r="F357">
        <v>40</v>
      </c>
      <c r="G357" t="s">
        <v>185</v>
      </c>
      <c r="H357" t="s">
        <v>84</v>
      </c>
      <c r="I357" t="s">
        <v>85</v>
      </c>
      <c r="J357" t="s">
        <v>86</v>
      </c>
      <c r="K357" t="s">
        <v>29</v>
      </c>
      <c r="L357" t="s">
        <v>737</v>
      </c>
      <c r="M357" t="s">
        <v>188</v>
      </c>
      <c r="N357" s="7">
        <v>9.4</v>
      </c>
      <c r="O357" s="7">
        <v>1</v>
      </c>
      <c r="P357" s="7">
        <v>3</v>
      </c>
      <c r="Q357" s="7">
        <v>14.1</v>
      </c>
      <c r="R357" s="7">
        <v>1</v>
      </c>
      <c r="S357" s="7">
        <v>3</v>
      </c>
      <c r="T357" s="7">
        <f t="shared" si="30"/>
        <v>1.7320508075688772</v>
      </c>
      <c r="U357" s="7">
        <f t="shared" si="31"/>
        <v>1.7320508075688772</v>
      </c>
      <c r="V357" s="7">
        <f t="shared" si="26"/>
        <v>0.40546510810816438</v>
      </c>
      <c r="W357" s="7">
        <f t="shared" si="27"/>
        <v>1.6347266234092848E-2</v>
      </c>
      <c r="X357" t="s">
        <v>716</v>
      </c>
      <c r="Y357" t="s">
        <v>89</v>
      </c>
      <c r="Z357" t="s">
        <v>515</v>
      </c>
      <c r="AA357" t="s">
        <v>738</v>
      </c>
      <c r="AB357" t="s">
        <v>92</v>
      </c>
    </row>
    <row r="358" spans="1:28">
      <c r="A358" t="s">
        <v>713</v>
      </c>
      <c r="B358" t="s">
        <v>742</v>
      </c>
      <c r="C358" t="s">
        <v>183</v>
      </c>
      <c r="D358" t="s">
        <v>715</v>
      </c>
      <c r="E358" t="s">
        <v>94</v>
      </c>
      <c r="F358">
        <v>10</v>
      </c>
      <c r="G358" t="s">
        <v>185</v>
      </c>
      <c r="H358" t="s">
        <v>84</v>
      </c>
      <c r="I358" t="s">
        <v>85</v>
      </c>
      <c r="J358" t="s">
        <v>86</v>
      </c>
      <c r="K358" t="s">
        <v>41</v>
      </c>
      <c r="L358" t="s">
        <v>737</v>
      </c>
      <c r="M358" t="s">
        <v>188</v>
      </c>
      <c r="N358" s="7">
        <v>7.4</v>
      </c>
      <c r="O358" s="7">
        <v>0.9</v>
      </c>
      <c r="P358" s="7">
        <v>3</v>
      </c>
      <c r="Q358" s="7">
        <v>7.5</v>
      </c>
      <c r="R358" s="7">
        <v>0.9</v>
      </c>
      <c r="S358" s="7">
        <v>3</v>
      </c>
      <c r="T358" s="7">
        <f t="shared" si="30"/>
        <v>1.5588457268119895</v>
      </c>
      <c r="U358" s="7">
        <f t="shared" si="31"/>
        <v>1.5588457268119895</v>
      </c>
      <c r="V358" s="7">
        <f t="shared" si="26"/>
        <v>1.342302033214055E-2</v>
      </c>
      <c r="W358" s="7">
        <f t="shared" si="27"/>
        <v>2.9191818845872894E-2</v>
      </c>
      <c r="X358" t="s">
        <v>716</v>
      </c>
      <c r="Y358" t="s">
        <v>89</v>
      </c>
      <c r="Z358" t="s">
        <v>515</v>
      </c>
      <c r="AA358" t="s">
        <v>743</v>
      </c>
      <c r="AB358" t="s">
        <v>92</v>
      </c>
    </row>
    <row r="359" spans="1:28">
      <c r="A359" t="s">
        <v>713</v>
      </c>
      <c r="B359" t="s">
        <v>744</v>
      </c>
      <c r="C359" t="s">
        <v>183</v>
      </c>
      <c r="D359" t="s">
        <v>715</v>
      </c>
      <c r="E359" t="s">
        <v>94</v>
      </c>
      <c r="F359">
        <v>20</v>
      </c>
      <c r="G359" t="s">
        <v>185</v>
      </c>
      <c r="H359" t="s">
        <v>84</v>
      </c>
      <c r="I359" t="s">
        <v>85</v>
      </c>
      <c r="J359" t="s">
        <v>86</v>
      </c>
      <c r="K359" t="s">
        <v>41</v>
      </c>
      <c r="L359" t="s">
        <v>737</v>
      </c>
      <c r="M359" t="s">
        <v>188</v>
      </c>
      <c r="N359" s="7">
        <v>7.4</v>
      </c>
      <c r="O359" s="7">
        <v>0.9</v>
      </c>
      <c r="P359" s="7">
        <v>3</v>
      </c>
      <c r="Q359" s="7">
        <v>9.4</v>
      </c>
      <c r="R359" s="7">
        <v>0.9</v>
      </c>
      <c r="S359" s="7">
        <v>3</v>
      </c>
      <c r="T359" s="7">
        <f t="shared" si="30"/>
        <v>1.5588457268119895</v>
      </c>
      <c r="U359" s="7">
        <f t="shared" si="31"/>
        <v>1.5588457268119895</v>
      </c>
      <c r="V359" s="7">
        <f t="shared" si="26"/>
        <v>0.23922968906583406</v>
      </c>
      <c r="W359" s="7">
        <f t="shared" si="27"/>
        <v>2.3958862757144962E-2</v>
      </c>
      <c r="X359" t="s">
        <v>716</v>
      </c>
      <c r="Y359" t="s">
        <v>89</v>
      </c>
      <c r="Z359" t="s">
        <v>515</v>
      </c>
      <c r="AA359" t="s">
        <v>743</v>
      </c>
      <c r="AB359" t="s">
        <v>92</v>
      </c>
    </row>
    <row r="360" spans="1:28">
      <c r="A360" t="s">
        <v>713</v>
      </c>
      <c r="B360" t="s">
        <v>745</v>
      </c>
      <c r="C360" t="s">
        <v>183</v>
      </c>
      <c r="D360" t="s">
        <v>715</v>
      </c>
      <c r="E360" t="s">
        <v>94</v>
      </c>
      <c r="F360">
        <v>30</v>
      </c>
      <c r="G360" t="s">
        <v>185</v>
      </c>
      <c r="H360" t="s">
        <v>84</v>
      </c>
      <c r="I360" t="s">
        <v>85</v>
      </c>
      <c r="J360" t="s">
        <v>86</v>
      </c>
      <c r="K360" t="s">
        <v>41</v>
      </c>
      <c r="L360" t="s">
        <v>737</v>
      </c>
      <c r="M360" t="s">
        <v>188</v>
      </c>
      <c r="N360" s="7">
        <v>7.4</v>
      </c>
      <c r="O360" s="7">
        <v>0.9</v>
      </c>
      <c r="P360" s="7">
        <v>3</v>
      </c>
      <c r="Q360" s="7">
        <v>10.4</v>
      </c>
      <c r="R360" s="7">
        <v>0.9</v>
      </c>
      <c r="S360" s="7">
        <v>3</v>
      </c>
      <c r="T360" s="7">
        <f t="shared" si="30"/>
        <v>1.5588457268119895</v>
      </c>
      <c r="U360" s="7">
        <f t="shared" si="31"/>
        <v>1.5588457268119895</v>
      </c>
      <c r="V360" s="7">
        <f t="shared" si="26"/>
        <v>0.34032580593720296</v>
      </c>
      <c r="W360" s="7">
        <f t="shared" si="27"/>
        <v>2.2280724171316681E-2</v>
      </c>
      <c r="X360" t="s">
        <v>716</v>
      </c>
      <c r="Y360" t="s">
        <v>89</v>
      </c>
      <c r="Z360" t="s">
        <v>515</v>
      </c>
      <c r="AA360" t="s">
        <v>743</v>
      </c>
      <c r="AB360" t="s">
        <v>92</v>
      </c>
    </row>
    <row r="361" spans="1:28">
      <c r="A361" t="s">
        <v>713</v>
      </c>
      <c r="B361" t="s">
        <v>746</v>
      </c>
      <c r="C361" t="s">
        <v>183</v>
      </c>
      <c r="D361" t="s">
        <v>715</v>
      </c>
      <c r="E361" t="s">
        <v>94</v>
      </c>
      <c r="F361">
        <v>40</v>
      </c>
      <c r="G361" t="s">
        <v>185</v>
      </c>
      <c r="H361" t="s">
        <v>84</v>
      </c>
      <c r="I361" t="s">
        <v>85</v>
      </c>
      <c r="J361" t="s">
        <v>86</v>
      </c>
      <c r="K361" t="s">
        <v>41</v>
      </c>
      <c r="L361" t="s">
        <v>737</v>
      </c>
      <c r="M361" t="s">
        <v>188</v>
      </c>
      <c r="N361" s="7">
        <v>7.4</v>
      </c>
      <c r="O361" s="7">
        <v>0.9</v>
      </c>
      <c r="P361" s="7">
        <v>3</v>
      </c>
      <c r="Q361" s="7">
        <v>12.3</v>
      </c>
      <c r="R361" s="7">
        <v>0.9</v>
      </c>
      <c r="S361" s="7">
        <v>3</v>
      </c>
      <c r="T361" s="7">
        <f t="shared" si="30"/>
        <v>1.5588457268119895</v>
      </c>
      <c r="U361" s="7">
        <f t="shared" si="31"/>
        <v>1.5588457268119895</v>
      </c>
      <c r="V361" s="7">
        <f t="shared" si="26"/>
        <v>0.50811926216824777</v>
      </c>
      <c r="W361" s="7">
        <f t="shared" si="27"/>
        <v>2.014577482445707E-2</v>
      </c>
      <c r="X361" t="s">
        <v>716</v>
      </c>
      <c r="Y361" t="s">
        <v>89</v>
      </c>
      <c r="Z361" t="s">
        <v>515</v>
      </c>
      <c r="AA361" t="s">
        <v>743</v>
      </c>
      <c r="AB361" t="s">
        <v>92</v>
      </c>
    </row>
    <row r="362" spans="1:28">
      <c r="A362" t="s">
        <v>747</v>
      </c>
      <c r="B362" t="s">
        <v>748</v>
      </c>
      <c r="C362" t="s">
        <v>81</v>
      </c>
      <c r="D362" t="s">
        <v>749</v>
      </c>
      <c r="E362" t="s">
        <v>750</v>
      </c>
      <c r="F362">
        <v>2.4</v>
      </c>
      <c r="G362" t="s">
        <v>185</v>
      </c>
      <c r="H362" t="s">
        <v>84</v>
      </c>
      <c r="I362" t="s">
        <v>85</v>
      </c>
      <c r="J362" t="s">
        <v>751</v>
      </c>
      <c r="K362" t="s">
        <v>149</v>
      </c>
      <c r="L362" t="s">
        <v>337</v>
      </c>
      <c r="M362" t="s">
        <v>482</v>
      </c>
      <c r="N362" s="7">
        <v>4826.4271499750876</v>
      </c>
      <c r="O362" s="7">
        <v>839.37863477827614</v>
      </c>
      <c r="P362" s="7">
        <v>3</v>
      </c>
      <c r="Q362" s="7">
        <v>4826.4271499750876</v>
      </c>
      <c r="R362" s="7">
        <v>839.37863477827614</v>
      </c>
      <c r="S362" s="7">
        <v>3</v>
      </c>
      <c r="T362" s="7">
        <f t="shared" si="30"/>
        <v>1453.8464422237748</v>
      </c>
      <c r="U362" s="7">
        <f t="shared" si="31"/>
        <v>1453.8464422237748</v>
      </c>
      <c r="V362" s="7">
        <f t="shared" si="26"/>
        <v>0</v>
      </c>
      <c r="W362" s="7">
        <f t="shared" si="27"/>
        <v>6.0491493383742906E-2</v>
      </c>
      <c r="X362" t="s">
        <v>752</v>
      </c>
      <c r="Y362" t="s">
        <v>753</v>
      </c>
      <c r="Z362" t="s">
        <v>515</v>
      </c>
      <c r="AA362" t="s">
        <v>754</v>
      </c>
      <c r="AB362" t="s">
        <v>92</v>
      </c>
    </row>
    <row r="363" spans="1:28">
      <c r="A363" t="s">
        <v>747</v>
      </c>
      <c r="B363" t="s">
        <v>755</v>
      </c>
      <c r="C363" t="s">
        <v>81</v>
      </c>
      <c r="D363" t="s">
        <v>749</v>
      </c>
      <c r="E363" t="s">
        <v>94</v>
      </c>
      <c r="F363">
        <v>4.5999999999999996</v>
      </c>
      <c r="G363" t="s">
        <v>185</v>
      </c>
      <c r="H363" t="s">
        <v>84</v>
      </c>
      <c r="I363" t="s">
        <v>85</v>
      </c>
      <c r="J363" t="s">
        <v>751</v>
      </c>
      <c r="K363" t="s">
        <v>149</v>
      </c>
      <c r="L363" t="s">
        <v>337</v>
      </c>
      <c r="M363" t="s">
        <v>482</v>
      </c>
      <c r="N363" s="7">
        <v>4826.4271499750876</v>
      </c>
      <c r="O363" s="7">
        <v>839.37863477827614</v>
      </c>
      <c r="P363" s="7">
        <v>3</v>
      </c>
      <c r="Q363" s="7">
        <v>6295.3397608370706</v>
      </c>
      <c r="R363" s="7">
        <v>839.37863477827614</v>
      </c>
      <c r="S363" s="7">
        <v>3</v>
      </c>
      <c r="T363" s="7">
        <f t="shared" si="30"/>
        <v>1453.8464422237748</v>
      </c>
      <c r="U363" s="7">
        <f t="shared" si="31"/>
        <v>1453.8464422237748</v>
      </c>
      <c r="V363" s="7">
        <f t="shared" si="26"/>
        <v>0.26570316573300568</v>
      </c>
      <c r="W363" s="7">
        <f t="shared" si="27"/>
        <v>4.8023524469649234E-2</v>
      </c>
      <c r="X363" t="s">
        <v>752</v>
      </c>
      <c r="Y363" t="s">
        <v>753</v>
      </c>
      <c r="Z363" t="s">
        <v>515</v>
      </c>
      <c r="AA363" t="s">
        <v>754</v>
      </c>
      <c r="AB363" t="s">
        <v>92</v>
      </c>
    </row>
    <row r="364" spans="1:28">
      <c r="A364" t="s">
        <v>747</v>
      </c>
      <c r="B364" t="s">
        <v>756</v>
      </c>
      <c r="C364" t="s">
        <v>81</v>
      </c>
      <c r="D364" t="s">
        <v>749</v>
      </c>
      <c r="E364" t="s">
        <v>560</v>
      </c>
      <c r="F364">
        <v>3.6</v>
      </c>
      <c r="G364" t="s">
        <v>185</v>
      </c>
      <c r="H364" t="s">
        <v>84</v>
      </c>
      <c r="I364" t="s">
        <v>85</v>
      </c>
      <c r="J364" t="s">
        <v>751</v>
      </c>
      <c r="K364" t="s">
        <v>149</v>
      </c>
      <c r="L364" t="s">
        <v>337</v>
      </c>
      <c r="M364" t="s">
        <v>482</v>
      </c>
      <c r="N364" s="7">
        <v>4826.4271499750876</v>
      </c>
      <c r="O364" s="7">
        <v>839.37863477827614</v>
      </c>
      <c r="P364" s="7">
        <v>3</v>
      </c>
      <c r="Q364" s="7">
        <v>43227.999691081219</v>
      </c>
      <c r="R364" s="7">
        <v>839.37863477827614</v>
      </c>
      <c r="S364" s="7">
        <v>3</v>
      </c>
      <c r="T364" s="7">
        <f t="shared" si="30"/>
        <v>1453.8464422237748</v>
      </c>
      <c r="U364" s="7">
        <f t="shared" si="31"/>
        <v>1453.8464422237748</v>
      </c>
      <c r="V364" s="7">
        <f t="shared" si="26"/>
        <v>2.1923819528604316</v>
      </c>
      <c r="W364" s="7">
        <f t="shared" si="27"/>
        <v>3.0622785055524956E-2</v>
      </c>
      <c r="X364" t="s">
        <v>752</v>
      </c>
      <c r="Y364" t="s">
        <v>753</v>
      </c>
      <c r="Z364" t="s">
        <v>515</v>
      </c>
      <c r="AA364" t="s">
        <v>754</v>
      </c>
      <c r="AB364" t="s">
        <v>92</v>
      </c>
    </row>
    <row r="365" spans="1:28">
      <c r="A365" t="s">
        <v>747</v>
      </c>
      <c r="B365" t="s">
        <v>757</v>
      </c>
      <c r="C365" t="s">
        <v>81</v>
      </c>
      <c r="D365" t="s">
        <v>749</v>
      </c>
      <c r="E365" t="s">
        <v>750</v>
      </c>
      <c r="F365">
        <v>2.4</v>
      </c>
      <c r="G365" t="s">
        <v>185</v>
      </c>
      <c r="H365" t="s">
        <v>84</v>
      </c>
      <c r="I365" t="s">
        <v>85</v>
      </c>
      <c r="J365" t="s">
        <v>751</v>
      </c>
      <c r="K365" t="s">
        <v>452</v>
      </c>
      <c r="L365" t="s">
        <v>337</v>
      </c>
      <c r="M365" t="s">
        <v>482</v>
      </c>
      <c r="N365" s="7">
        <v>3357.5145391131045</v>
      </c>
      <c r="O365" s="7">
        <v>839.37863477827614</v>
      </c>
      <c r="P365" s="7">
        <v>3</v>
      </c>
      <c r="Q365" s="7">
        <v>3147.6698804185353</v>
      </c>
      <c r="R365" s="7">
        <v>839.37863477827614</v>
      </c>
      <c r="S365" s="7">
        <v>3</v>
      </c>
      <c r="T365" s="7">
        <f t="shared" si="30"/>
        <v>1453.8464422237748</v>
      </c>
      <c r="U365" s="7">
        <f t="shared" si="31"/>
        <v>1453.8464422237748</v>
      </c>
      <c r="V365" s="7">
        <f t="shared" si="26"/>
        <v>-6.4538521137571289E-2</v>
      </c>
      <c r="W365" s="7">
        <f t="shared" si="27"/>
        <v>0.1336111111111111</v>
      </c>
      <c r="X365" t="s">
        <v>752</v>
      </c>
      <c r="Y365" t="s">
        <v>753</v>
      </c>
      <c r="Z365" t="s">
        <v>515</v>
      </c>
      <c r="AA365" t="s">
        <v>758</v>
      </c>
      <c r="AB365" t="s">
        <v>92</v>
      </c>
    </row>
    <row r="366" spans="1:28">
      <c r="A366" t="s">
        <v>747</v>
      </c>
      <c r="B366" t="s">
        <v>759</v>
      </c>
      <c r="C366" t="s">
        <v>81</v>
      </c>
      <c r="D366" t="s">
        <v>749</v>
      </c>
      <c r="E366" t="s">
        <v>94</v>
      </c>
      <c r="F366">
        <v>4.5999999999999996</v>
      </c>
      <c r="G366" t="s">
        <v>185</v>
      </c>
      <c r="H366" t="s">
        <v>84</v>
      </c>
      <c r="I366" t="s">
        <v>85</v>
      </c>
      <c r="J366" t="s">
        <v>751</v>
      </c>
      <c r="K366" t="s">
        <v>452</v>
      </c>
      <c r="L366" t="s">
        <v>337</v>
      </c>
      <c r="M366" t="s">
        <v>482</v>
      </c>
      <c r="N366" s="7">
        <v>3357.5145391131045</v>
      </c>
      <c r="O366" s="7">
        <v>839.37863477827614</v>
      </c>
      <c r="P366" s="7">
        <v>3</v>
      </c>
      <c r="Q366" s="7">
        <v>2937.8252217239665</v>
      </c>
      <c r="R366" s="7">
        <v>839.37863477827614</v>
      </c>
      <c r="S366" s="7">
        <v>3</v>
      </c>
      <c r="T366" s="7">
        <f t="shared" si="30"/>
        <v>1453.8464422237748</v>
      </c>
      <c r="U366" s="7">
        <f t="shared" si="31"/>
        <v>1453.8464422237748</v>
      </c>
      <c r="V366" s="7">
        <f t="shared" si="26"/>
        <v>-0.13353139262452263</v>
      </c>
      <c r="W366" s="7">
        <f t="shared" si="27"/>
        <v>0.14413265306122447</v>
      </c>
      <c r="X366" t="s">
        <v>752</v>
      </c>
      <c r="Y366" t="s">
        <v>753</v>
      </c>
      <c r="Z366" t="s">
        <v>515</v>
      </c>
      <c r="AA366" t="s">
        <v>758</v>
      </c>
      <c r="AB366" t="s">
        <v>92</v>
      </c>
    </row>
    <row r="367" spans="1:28">
      <c r="A367" t="s">
        <v>747</v>
      </c>
      <c r="B367" t="s">
        <v>760</v>
      </c>
      <c r="C367" t="s">
        <v>81</v>
      </c>
      <c r="D367" t="s">
        <v>749</v>
      </c>
      <c r="E367" t="s">
        <v>560</v>
      </c>
      <c r="F367">
        <v>3.6</v>
      </c>
      <c r="G367" t="s">
        <v>185</v>
      </c>
      <c r="H367" t="s">
        <v>84</v>
      </c>
      <c r="I367" t="s">
        <v>85</v>
      </c>
      <c r="J367" t="s">
        <v>751</v>
      </c>
      <c r="K367" t="s">
        <v>452</v>
      </c>
      <c r="L367" t="s">
        <v>337</v>
      </c>
      <c r="M367" t="s">
        <v>482</v>
      </c>
      <c r="N367" s="7">
        <v>3357.5145391131045</v>
      </c>
      <c r="O367" s="7">
        <v>839.37863477827614</v>
      </c>
      <c r="P367" s="7">
        <v>3</v>
      </c>
      <c r="Q367" s="7">
        <v>39660.640493273546</v>
      </c>
      <c r="R367" s="7">
        <v>839.37863477827614</v>
      </c>
      <c r="S367" s="7">
        <v>3</v>
      </c>
      <c r="T367" s="7">
        <f t="shared" ref="T367:T398" si="32">O367*SQRT(P367)</f>
        <v>1453.8464422237748</v>
      </c>
      <c r="U367" s="7">
        <f t="shared" ref="U367:U398" si="33">R367*SQRT(S367)</f>
        <v>1453.8464422237748</v>
      </c>
      <c r="V367" s="7">
        <f t="shared" si="26"/>
        <v>2.469158292819861</v>
      </c>
      <c r="W367" s="7">
        <f t="shared" si="27"/>
        <v>6.2947915791831122E-2</v>
      </c>
      <c r="X367" t="s">
        <v>752</v>
      </c>
      <c r="Y367" t="s">
        <v>753</v>
      </c>
      <c r="Z367" t="s">
        <v>515</v>
      </c>
      <c r="AA367" t="s">
        <v>758</v>
      </c>
      <c r="AB367" t="s">
        <v>92</v>
      </c>
    </row>
    <row r="368" spans="1:28">
      <c r="A368" t="s">
        <v>747</v>
      </c>
      <c r="B368" t="s">
        <v>761</v>
      </c>
      <c r="C368" t="s">
        <v>81</v>
      </c>
      <c r="D368" t="s">
        <v>749</v>
      </c>
      <c r="E368" t="s">
        <v>750</v>
      </c>
      <c r="F368">
        <v>2.4</v>
      </c>
      <c r="G368" t="s">
        <v>185</v>
      </c>
      <c r="H368" t="s">
        <v>84</v>
      </c>
      <c r="I368" t="s">
        <v>85</v>
      </c>
      <c r="J368" t="s">
        <v>751</v>
      </c>
      <c r="K368" t="s">
        <v>29</v>
      </c>
      <c r="L368" t="s">
        <v>337</v>
      </c>
      <c r="M368" t="s">
        <v>482</v>
      </c>
      <c r="N368" s="7">
        <v>2937.8252217239665</v>
      </c>
      <c r="O368" s="7">
        <v>839.37863477827614</v>
      </c>
      <c r="P368" s="7">
        <v>3</v>
      </c>
      <c r="Q368" s="7">
        <v>3147.6698804185353</v>
      </c>
      <c r="R368" s="7">
        <v>839.37863477827614</v>
      </c>
      <c r="S368" s="7">
        <v>3</v>
      </c>
      <c r="T368" s="7">
        <f t="shared" si="32"/>
        <v>1453.8464422237748</v>
      </c>
      <c r="U368" s="7">
        <f t="shared" si="33"/>
        <v>1453.8464422237748</v>
      </c>
      <c r="V368" s="7">
        <f t="shared" si="26"/>
        <v>6.8992871486951421E-2</v>
      </c>
      <c r="W368" s="7">
        <f t="shared" si="27"/>
        <v>0.15274376417233559</v>
      </c>
      <c r="X368" t="s">
        <v>752</v>
      </c>
      <c r="Y368" t="s">
        <v>753</v>
      </c>
      <c r="Z368" t="s">
        <v>515</v>
      </c>
      <c r="AA368" t="s">
        <v>762</v>
      </c>
      <c r="AB368" t="s">
        <v>92</v>
      </c>
    </row>
    <row r="369" spans="1:28">
      <c r="A369" t="s">
        <v>747</v>
      </c>
      <c r="B369" t="s">
        <v>763</v>
      </c>
      <c r="C369" t="s">
        <v>81</v>
      </c>
      <c r="D369" t="s">
        <v>749</v>
      </c>
      <c r="E369" t="s">
        <v>94</v>
      </c>
      <c r="F369">
        <v>4.5999999999999996</v>
      </c>
      <c r="G369" t="s">
        <v>185</v>
      </c>
      <c r="H369" t="s">
        <v>84</v>
      </c>
      <c r="I369" t="s">
        <v>85</v>
      </c>
      <c r="J369" t="s">
        <v>751</v>
      </c>
      <c r="K369" t="s">
        <v>29</v>
      </c>
      <c r="L369" t="s">
        <v>337</v>
      </c>
      <c r="M369" t="s">
        <v>482</v>
      </c>
      <c r="N369" s="7">
        <v>2937.8252217239665</v>
      </c>
      <c r="O369" s="7">
        <v>839.37863477827614</v>
      </c>
      <c r="P369" s="7">
        <v>3</v>
      </c>
      <c r="Q369" s="7">
        <v>2937.8252217239665</v>
      </c>
      <c r="R369" s="7">
        <v>839.37863477827614</v>
      </c>
      <c r="S369" s="7">
        <v>3</v>
      </c>
      <c r="T369" s="7">
        <f t="shared" si="32"/>
        <v>1453.8464422237748</v>
      </c>
      <c r="U369" s="7">
        <f t="shared" si="33"/>
        <v>1453.8464422237748</v>
      </c>
      <c r="V369" s="7">
        <f t="shared" si="26"/>
        <v>0</v>
      </c>
      <c r="W369" s="7">
        <f t="shared" si="27"/>
        <v>0.16326530612244897</v>
      </c>
      <c r="X369" t="s">
        <v>752</v>
      </c>
      <c r="Y369" t="s">
        <v>753</v>
      </c>
      <c r="Z369" t="s">
        <v>515</v>
      </c>
      <c r="AA369" t="s">
        <v>762</v>
      </c>
      <c r="AB369" t="s">
        <v>92</v>
      </c>
    </row>
    <row r="370" spans="1:28">
      <c r="A370" t="s">
        <v>747</v>
      </c>
      <c r="B370" t="s">
        <v>764</v>
      </c>
      <c r="C370" t="s">
        <v>81</v>
      </c>
      <c r="D370" t="s">
        <v>749</v>
      </c>
      <c r="E370" t="s">
        <v>560</v>
      </c>
      <c r="F370">
        <v>3.6</v>
      </c>
      <c r="G370" t="s">
        <v>185</v>
      </c>
      <c r="H370" t="s">
        <v>84</v>
      </c>
      <c r="I370" t="s">
        <v>85</v>
      </c>
      <c r="J370" t="s">
        <v>751</v>
      </c>
      <c r="K370" t="s">
        <v>29</v>
      </c>
      <c r="L370" t="s">
        <v>337</v>
      </c>
      <c r="M370" t="s">
        <v>482</v>
      </c>
      <c r="N370" s="7">
        <v>2937.8252217239665</v>
      </c>
      <c r="O370" s="7">
        <v>839.37863477827614</v>
      </c>
      <c r="P370" s="7">
        <v>3</v>
      </c>
      <c r="Q370" s="7">
        <v>39240.951175884409</v>
      </c>
      <c r="R370" s="7">
        <v>839.37863477827614</v>
      </c>
      <c r="S370" s="7">
        <v>3</v>
      </c>
      <c r="T370" s="7">
        <f t="shared" si="32"/>
        <v>1453.8464422237748</v>
      </c>
      <c r="U370" s="7">
        <f t="shared" si="33"/>
        <v>1453.8464422237748</v>
      </c>
      <c r="V370" s="7">
        <f t="shared" si="26"/>
        <v>2.592051287239328</v>
      </c>
      <c r="W370" s="7">
        <f t="shared" si="27"/>
        <v>8.2090201175268357E-2</v>
      </c>
      <c r="X370" t="s">
        <v>752</v>
      </c>
      <c r="Y370" t="s">
        <v>753</v>
      </c>
      <c r="Z370" t="s">
        <v>515</v>
      </c>
      <c r="AA370" t="s">
        <v>762</v>
      </c>
      <c r="AB370" t="s">
        <v>92</v>
      </c>
    </row>
    <row r="371" spans="1:28">
      <c r="A371" t="s">
        <v>747</v>
      </c>
      <c r="B371" t="s">
        <v>765</v>
      </c>
      <c r="C371" t="s">
        <v>81</v>
      </c>
      <c r="D371" t="s">
        <v>749</v>
      </c>
      <c r="E371" t="s">
        <v>750</v>
      </c>
      <c r="F371">
        <v>2.4</v>
      </c>
      <c r="G371" t="s">
        <v>185</v>
      </c>
      <c r="H371" t="s">
        <v>84</v>
      </c>
      <c r="I371" t="s">
        <v>85</v>
      </c>
      <c r="J371" t="s">
        <v>751</v>
      </c>
      <c r="K371" t="s">
        <v>149</v>
      </c>
      <c r="L371" t="s">
        <v>30</v>
      </c>
      <c r="M371" t="s">
        <v>482</v>
      </c>
      <c r="N371" s="7">
        <v>3762.3873239872883</v>
      </c>
      <c r="O371" s="7">
        <v>752.47746479745774</v>
      </c>
      <c r="P371" s="7">
        <v>3</v>
      </c>
      <c r="Q371" s="7">
        <v>5768.9938967805092</v>
      </c>
      <c r="R371" s="7">
        <v>752.47746479745774</v>
      </c>
      <c r="S371" s="7">
        <v>3</v>
      </c>
      <c r="T371" s="7">
        <f t="shared" si="32"/>
        <v>1303.329200579818</v>
      </c>
      <c r="U371" s="7">
        <f t="shared" si="33"/>
        <v>1303.329200579818</v>
      </c>
      <c r="V371" s="7">
        <f t="shared" si="26"/>
        <v>0.42744401482693967</v>
      </c>
      <c r="W371" s="7">
        <f t="shared" si="27"/>
        <v>5.7013232514177697E-2</v>
      </c>
      <c r="X371" t="s">
        <v>752</v>
      </c>
      <c r="Y371" t="s">
        <v>753</v>
      </c>
      <c r="Z371" t="s">
        <v>515</v>
      </c>
      <c r="AA371" t="s">
        <v>766</v>
      </c>
      <c r="AB371" t="s">
        <v>92</v>
      </c>
    </row>
    <row r="372" spans="1:28">
      <c r="A372" t="s">
        <v>747</v>
      </c>
      <c r="B372" t="s">
        <v>767</v>
      </c>
      <c r="C372" t="s">
        <v>81</v>
      </c>
      <c r="D372" t="s">
        <v>749</v>
      </c>
      <c r="E372" t="s">
        <v>94</v>
      </c>
      <c r="F372">
        <v>4.5999999999999996</v>
      </c>
      <c r="G372" t="s">
        <v>185</v>
      </c>
      <c r="H372" t="s">
        <v>84</v>
      </c>
      <c r="I372" t="s">
        <v>85</v>
      </c>
      <c r="J372" t="s">
        <v>751</v>
      </c>
      <c r="K372" t="s">
        <v>149</v>
      </c>
      <c r="L372" t="s">
        <v>30</v>
      </c>
      <c r="M372" t="s">
        <v>482</v>
      </c>
      <c r="N372" s="7">
        <v>3762.3873239872883</v>
      </c>
      <c r="O372" s="7">
        <v>752.47746479745774</v>
      </c>
      <c r="P372" s="7">
        <v>3</v>
      </c>
      <c r="Q372" s="7">
        <v>8026.426291172882</v>
      </c>
      <c r="R372" s="7">
        <v>752.47746479745774</v>
      </c>
      <c r="S372" s="7">
        <v>3</v>
      </c>
      <c r="T372" s="7">
        <f t="shared" si="32"/>
        <v>1303.329200579818</v>
      </c>
      <c r="U372" s="7">
        <f t="shared" si="33"/>
        <v>1303.329200579818</v>
      </c>
      <c r="V372" s="7">
        <f t="shared" si="26"/>
        <v>0.75768570169751648</v>
      </c>
      <c r="W372" s="7">
        <f t="shared" si="27"/>
        <v>4.8789062500000008E-2</v>
      </c>
      <c r="X372" t="s">
        <v>752</v>
      </c>
      <c r="Y372" t="s">
        <v>753</v>
      </c>
      <c r="Z372" t="s">
        <v>515</v>
      </c>
      <c r="AA372" t="s">
        <v>766</v>
      </c>
      <c r="AB372" t="s">
        <v>92</v>
      </c>
    </row>
    <row r="373" spans="1:28">
      <c r="A373" t="s">
        <v>747</v>
      </c>
      <c r="B373" t="s">
        <v>768</v>
      </c>
      <c r="C373" t="s">
        <v>81</v>
      </c>
      <c r="D373" t="s">
        <v>749</v>
      </c>
      <c r="E373" t="s">
        <v>560</v>
      </c>
      <c r="F373">
        <v>3.6</v>
      </c>
      <c r="G373" t="s">
        <v>185</v>
      </c>
      <c r="H373" t="s">
        <v>84</v>
      </c>
      <c r="I373" t="s">
        <v>85</v>
      </c>
      <c r="J373" t="s">
        <v>751</v>
      </c>
      <c r="K373" t="s">
        <v>149</v>
      </c>
      <c r="L373" t="s">
        <v>30</v>
      </c>
      <c r="M373" t="s">
        <v>482</v>
      </c>
      <c r="N373" s="7">
        <v>3762.3873239872883</v>
      </c>
      <c r="O373" s="7">
        <v>752.47746479745774</v>
      </c>
      <c r="P373" s="7">
        <v>3</v>
      </c>
      <c r="Q373" s="7">
        <v>52924.248357421187</v>
      </c>
      <c r="R373" s="7">
        <v>752.47746479745774</v>
      </c>
      <c r="S373" s="7">
        <v>3</v>
      </c>
      <c r="T373" s="7">
        <f t="shared" si="32"/>
        <v>1303.329200579818</v>
      </c>
      <c r="U373" s="7">
        <f t="shared" si="33"/>
        <v>1303.329200579818</v>
      </c>
      <c r="V373" s="7">
        <f t="shared" si="26"/>
        <v>2.6438079323738566</v>
      </c>
      <c r="W373" s="7">
        <f t="shared" si="27"/>
        <v>4.0202151793535645E-2</v>
      </c>
      <c r="X373" t="s">
        <v>752</v>
      </c>
      <c r="Y373" t="s">
        <v>753</v>
      </c>
      <c r="Z373" t="s">
        <v>515</v>
      </c>
      <c r="AA373" t="s">
        <v>766</v>
      </c>
      <c r="AB373" t="s">
        <v>92</v>
      </c>
    </row>
    <row r="374" spans="1:28">
      <c r="A374" t="s">
        <v>747</v>
      </c>
      <c r="B374" t="s">
        <v>769</v>
      </c>
      <c r="C374" t="s">
        <v>81</v>
      </c>
      <c r="D374" t="s">
        <v>749</v>
      </c>
      <c r="E374" t="s">
        <v>750</v>
      </c>
      <c r="F374">
        <v>2.4</v>
      </c>
      <c r="G374" t="s">
        <v>185</v>
      </c>
      <c r="H374" t="s">
        <v>84</v>
      </c>
      <c r="I374" t="s">
        <v>85</v>
      </c>
      <c r="J374" t="s">
        <v>751</v>
      </c>
      <c r="K374" t="s">
        <v>452</v>
      </c>
      <c r="L374" t="s">
        <v>30</v>
      </c>
      <c r="M374" t="s">
        <v>482</v>
      </c>
      <c r="N374" s="7">
        <v>3260.7356807889832</v>
      </c>
      <c r="O374" s="7">
        <v>752.47746479745774</v>
      </c>
      <c r="P374" s="7">
        <v>3</v>
      </c>
      <c r="Q374" s="7">
        <v>7775.6004695737292</v>
      </c>
      <c r="R374" s="7">
        <v>752.47746479745774</v>
      </c>
      <c r="S374" s="7">
        <v>3</v>
      </c>
      <c r="T374" s="7">
        <f t="shared" si="32"/>
        <v>1303.329200579818</v>
      </c>
      <c r="U374" s="7">
        <f t="shared" si="33"/>
        <v>1303.329200579818</v>
      </c>
      <c r="V374" s="7">
        <f t="shared" si="26"/>
        <v>0.86903784702360953</v>
      </c>
      <c r="W374" s="7">
        <f t="shared" si="27"/>
        <v>6.2619682406763175E-2</v>
      </c>
      <c r="X374" t="s">
        <v>752</v>
      </c>
      <c r="Y374" t="s">
        <v>753</v>
      </c>
      <c r="Z374" t="s">
        <v>515</v>
      </c>
      <c r="AA374" t="s">
        <v>770</v>
      </c>
      <c r="AB374" t="s">
        <v>92</v>
      </c>
    </row>
    <row r="375" spans="1:28">
      <c r="A375" t="s">
        <v>747</v>
      </c>
      <c r="B375" t="s">
        <v>771</v>
      </c>
      <c r="C375" t="s">
        <v>81</v>
      </c>
      <c r="D375" t="s">
        <v>749</v>
      </c>
      <c r="E375" t="s">
        <v>94</v>
      </c>
      <c r="F375">
        <v>4.5999999999999996</v>
      </c>
      <c r="G375" t="s">
        <v>185</v>
      </c>
      <c r="H375" t="s">
        <v>84</v>
      </c>
      <c r="I375" t="s">
        <v>85</v>
      </c>
      <c r="J375" t="s">
        <v>751</v>
      </c>
      <c r="K375" t="s">
        <v>452</v>
      </c>
      <c r="L375" t="s">
        <v>30</v>
      </c>
      <c r="M375" t="s">
        <v>482</v>
      </c>
      <c r="N375" s="7">
        <v>3260.7356807889832</v>
      </c>
      <c r="O375" s="7">
        <v>752.47746479745774</v>
      </c>
      <c r="P375" s="7">
        <v>3</v>
      </c>
      <c r="Q375" s="7">
        <v>5267.3422535822037</v>
      </c>
      <c r="R375" s="7">
        <v>752.47746479745774</v>
      </c>
      <c r="S375" s="7">
        <v>3</v>
      </c>
      <c r="T375" s="7">
        <f t="shared" si="32"/>
        <v>1303.329200579818</v>
      </c>
      <c r="U375" s="7">
        <f t="shared" si="33"/>
        <v>1303.329200579818</v>
      </c>
      <c r="V375" s="7">
        <f t="shared" si="26"/>
        <v>0.47957308026188628</v>
      </c>
      <c r="W375" s="7">
        <f t="shared" si="27"/>
        <v>7.3662601135128611E-2</v>
      </c>
      <c r="X375" t="s">
        <v>752</v>
      </c>
      <c r="Y375" t="s">
        <v>753</v>
      </c>
      <c r="Z375" t="s">
        <v>515</v>
      </c>
      <c r="AA375" t="s">
        <v>770</v>
      </c>
      <c r="AB375" t="s">
        <v>92</v>
      </c>
    </row>
    <row r="376" spans="1:28">
      <c r="A376" t="s">
        <v>747</v>
      </c>
      <c r="B376" t="s">
        <v>772</v>
      </c>
      <c r="C376" t="s">
        <v>81</v>
      </c>
      <c r="D376" t="s">
        <v>749</v>
      </c>
      <c r="E376" t="s">
        <v>560</v>
      </c>
      <c r="F376">
        <v>3.6</v>
      </c>
      <c r="G376" t="s">
        <v>185</v>
      </c>
      <c r="H376" t="s">
        <v>84</v>
      </c>
      <c r="I376" t="s">
        <v>85</v>
      </c>
      <c r="J376" t="s">
        <v>751</v>
      </c>
      <c r="K376" t="s">
        <v>452</v>
      </c>
      <c r="L376" t="s">
        <v>30</v>
      </c>
      <c r="M376" t="s">
        <v>482</v>
      </c>
      <c r="N376" s="7">
        <v>3260.7356807889832</v>
      </c>
      <c r="O376" s="7">
        <v>752.47746479745774</v>
      </c>
      <c r="P376" s="7">
        <v>3</v>
      </c>
      <c r="Q376" s="7">
        <v>37874.699061472034</v>
      </c>
      <c r="R376" s="7">
        <v>752.47746479745774</v>
      </c>
      <c r="S376" s="7">
        <v>3</v>
      </c>
      <c r="T376" s="7">
        <f t="shared" si="32"/>
        <v>1303.329200579818</v>
      </c>
      <c r="U376" s="7">
        <f t="shared" si="33"/>
        <v>1303.329200579818</v>
      </c>
      <c r="V376" s="7">
        <f t="shared" si="26"/>
        <v>2.4523304793533875</v>
      </c>
      <c r="W376" s="7">
        <f t="shared" si="27"/>
        <v>5.364915739966767E-2</v>
      </c>
      <c r="X376" t="s">
        <v>752</v>
      </c>
      <c r="Y376" t="s">
        <v>753</v>
      </c>
      <c r="Z376" t="s">
        <v>515</v>
      </c>
      <c r="AA376" t="s">
        <v>770</v>
      </c>
      <c r="AB376" t="s">
        <v>92</v>
      </c>
    </row>
    <row r="377" spans="1:28">
      <c r="A377" t="s">
        <v>747</v>
      </c>
      <c r="B377" t="s">
        <v>773</v>
      </c>
      <c r="C377" t="s">
        <v>81</v>
      </c>
      <c r="D377" t="s">
        <v>749</v>
      </c>
      <c r="E377" t="s">
        <v>750</v>
      </c>
      <c r="F377">
        <v>2.4</v>
      </c>
      <c r="G377" t="s">
        <v>185</v>
      </c>
      <c r="H377" t="s">
        <v>84</v>
      </c>
      <c r="I377" t="s">
        <v>85</v>
      </c>
      <c r="J377" t="s">
        <v>751</v>
      </c>
      <c r="K377" t="s">
        <v>29</v>
      </c>
      <c r="L377" t="s">
        <v>30</v>
      </c>
      <c r="M377" t="s">
        <v>482</v>
      </c>
      <c r="N377" s="7">
        <v>3260.7356807889832</v>
      </c>
      <c r="O377" s="7">
        <v>752.47746479745774</v>
      </c>
      <c r="P377" s="7">
        <v>3</v>
      </c>
      <c r="Q377" s="7">
        <v>7023.123004776272</v>
      </c>
      <c r="R377" s="7">
        <v>752.47746479745774</v>
      </c>
      <c r="S377" s="7">
        <v>3</v>
      </c>
      <c r="T377" s="7">
        <f t="shared" si="32"/>
        <v>1303.329200579818</v>
      </c>
      <c r="U377" s="7">
        <f t="shared" si="33"/>
        <v>1303.329200579818</v>
      </c>
      <c r="V377" s="7">
        <f t="shared" si="26"/>
        <v>0.76725515271366718</v>
      </c>
      <c r="W377" s="7">
        <f t="shared" si="27"/>
        <v>6.4734029706557172E-2</v>
      </c>
      <c r="X377" t="s">
        <v>752</v>
      </c>
      <c r="Y377" t="s">
        <v>753</v>
      </c>
      <c r="Z377" t="s">
        <v>515</v>
      </c>
      <c r="AA377" t="s">
        <v>774</v>
      </c>
      <c r="AB377" t="s">
        <v>92</v>
      </c>
    </row>
    <row r="378" spans="1:28">
      <c r="A378" t="s">
        <v>747</v>
      </c>
      <c r="B378" t="s">
        <v>775</v>
      </c>
      <c r="C378" t="s">
        <v>81</v>
      </c>
      <c r="D378" t="s">
        <v>749</v>
      </c>
      <c r="E378" t="s">
        <v>94</v>
      </c>
      <c r="F378">
        <v>4.5999999999999996</v>
      </c>
      <c r="G378" t="s">
        <v>185</v>
      </c>
      <c r="H378" t="s">
        <v>84</v>
      </c>
      <c r="I378" t="s">
        <v>85</v>
      </c>
      <c r="J378" t="s">
        <v>751</v>
      </c>
      <c r="K378" t="s">
        <v>29</v>
      </c>
      <c r="L378" t="s">
        <v>30</v>
      </c>
      <c r="M378" t="s">
        <v>482</v>
      </c>
      <c r="N378" s="7">
        <v>3260.7356807889832</v>
      </c>
      <c r="O378" s="7">
        <v>752.47746479745774</v>
      </c>
      <c r="P378" s="7">
        <v>3</v>
      </c>
      <c r="Q378" s="7">
        <v>6019.8197183796619</v>
      </c>
      <c r="R378" s="7">
        <v>752.47746479745774</v>
      </c>
      <c r="S378" s="7">
        <v>3</v>
      </c>
      <c r="T378" s="7">
        <f t="shared" si="32"/>
        <v>1303.329200579818</v>
      </c>
      <c r="U378" s="7">
        <f t="shared" si="33"/>
        <v>1303.329200579818</v>
      </c>
      <c r="V378" s="7">
        <f t="shared" si="26"/>
        <v>0.6131044728864089</v>
      </c>
      <c r="W378" s="7">
        <f t="shared" si="27"/>
        <v>6.887943786982248E-2</v>
      </c>
      <c r="X378" t="s">
        <v>752</v>
      </c>
      <c r="Y378" t="s">
        <v>753</v>
      </c>
      <c r="Z378" t="s">
        <v>515</v>
      </c>
      <c r="AA378" t="s">
        <v>774</v>
      </c>
      <c r="AB378" t="s">
        <v>92</v>
      </c>
    </row>
    <row r="379" spans="1:28">
      <c r="A379" t="s">
        <v>747</v>
      </c>
      <c r="B379" t="s">
        <v>776</v>
      </c>
      <c r="C379" t="s">
        <v>81</v>
      </c>
      <c r="D379" t="s">
        <v>749</v>
      </c>
      <c r="E379" t="s">
        <v>560</v>
      </c>
      <c r="F379">
        <v>3.6</v>
      </c>
      <c r="G379" t="s">
        <v>185</v>
      </c>
      <c r="H379" t="s">
        <v>84</v>
      </c>
      <c r="I379" t="s">
        <v>85</v>
      </c>
      <c r="J379" t="s">
        <v>751</v>
      </c>
      <c r="K379" t="s">
        <v>29</v>
      </c>
      <c r="L379" t="s">
        <v>30</v>
      </c>
      <c r="M379" t="s">
        <v>482</v>
      </c>
      <c r="N379" s="7">
        <v>3260.7356807889832</v>
      </c>
      <c r="O379" s="7">
        <v>752.47746479745774</v>
      </c>
      <c r="P379" s="7">
        <v>3</v>
      </c>
      <c r="Q379" s="7">
        <v>44897.822066248307</v>
      </c>
      <c r="R379" s="7">
        <v>752.47746479745774</v>
      </c>
      <c r="S379" s="7">
        <v>3</v>
      </c>
      <c r="T379" s="7">
        <f t="shared" si="32"/>
        <v>1303.329200579818</v>
      </c>
      <c r="U379" s="7">
        <f t="shared" si="33"/>
        <v>1303.329200579818</v>
      </c>
      <c r="V379" s="7">
        <f t="shared" si="26"/>
        <v>2.6224364483792182</v>
      </c>
      <c r="W379" s="7">
        <f t="shared" si="27"/>
        <v>5.3535327979369628E-2</v>
      </c>
      <c r="X379" t="s">
        <v>752</v>
      </c>
      <c r="Y379" t="s">
        <v>753</v>
      </c>
      <c r="Z379" t="s">
        <v>515</v>
      </c>
      <c r="AA379" t="s">
        <v>774</v>
      </c>
      <c r="AB379" t="s">
        <v>92</v>
      </c>
    </row>
    <row r="380" spans="1:28">
      <c r="A380" t="s">
        <v>747</v>
      </c>
      <c r="B380" t="s">
        <v>777</v>
      </c>
      <c r="C380" t="s">
        <v>81</v>
      </c>
      <c r="D380" t="s">
        <v>749</v>
      </c>
      <c r="E380" t="s">
        <v>750</v>
      </c>
      <c r="F380">
        <v>2.4</v>
      </c>
      <c r="G380" t="s">
        <v>185</v>
      </c>
      <c r="H380" t="s">
        <v>84</v>
      </c>
      <c r="I380" t="s">
        <v>85</v>
      </c>
      <c r="J380" t="s">
        <v>751</v>
      </c>
      <c r="K380" t="s">
        <v>149</v>
      </c>
      <c r="L380" t="s">
        <v>40</v>
      </c>
      <c r="M380" t="s">
        <v>482</v>
      </c>
      <c r="N380" s="7">
        <v>32075.549894500029</v>
      </c>
      <c r="O380" s="7">
        <v>886.064914212708</v>
      </c>
      <c r="P380" s="7">
        <v>3</v>
      </c>
      <c r="Q380" s="7">
        <v>20379.493026892284</v>
      </c>
      <c r="R380" s="7">
        <v>886.064914212708</v>
      </c>
      <c r="S380" s="7">
        <v>3</v>
      </c>
      <c r="T380" s="7">
        <f t="shared" si="32"/>
        <v>1534.7094502205689</v>
      </c>
      <c r="U380" s="7">
        <f t="shared" si="33"/>
        <v>1534.7094502205689</v>
      </c>
      <c r="V380" s="7">
        <f t="shared" si="26"/>
        <v>-0.45356490290257562</v>
      </c>
      <c r="W380" s="7">
        <f t="shared" si="27"/>
        <v>2.6534616376415569E-3</v>
      </c>
      <c r="X380" t="s">
        <v>752</v>
      </c>
      <c r="Y380" t="s">
        <v>753</v>
      </c>
      <c r="Z380" t="s">
        <v>515</v>
      </c>
      <c r="AA380" t="s">
        <v>778</v>
      </c>
      <c r="AB380" t="s">
        <v>92</v>
      </c>
    </row>
    <row r="381" spans="1:28">
      <c r="A381" t="s">
        <v>747</v>
      </c>
      <c r="B381" t="s">
        <v>779</v>
      </c>
      <c r="C381" t="s">
        <v>81</v>
      </c>
      <c r="D381" t="s">
        <v>749</v>
      </c>
      <c r="E381" t="s">
        <v>94</v>
      </c>
      <c r="F381">
        <v>4.5999999999999996</v>
      </c>
      <c r="G381" t="s">
        <v>185</v>
      </c>
      <c r="H381" t="s">
        <v>84</v>
      </c>
      <c r="I381" t="s">
        <v>85</v>
      </c>
      <c r="J381" t="s">
        <v>751</v>
      </c>
      <c r="K381" t="s">
        <v>149</v>
      </c>
      <c r="L381" t="s">
        <v>40</v>
      </c>
      <c r="M381" t="s">
        <v>482</v>
      </c>
      <c r="N381" s="7">
        <v>32075.549894500029</v>
      </c>
      <c r="O381" s="7">
        <v>886.064914212708</v>
      </c>
      <c r="P381" s="7">
        <v>3</v>
      </c>
      <c r="Q381" s="7">
        <v>29062.929186176825</v>
      </c>
      <c r="R381" s="7">
        <v>886.064914212708</v>
      </c>
      <c r="S381" s="7">
        <v>3</v>
      </c>
      <c r="T381" s="7">
        <f t="shared" si="32"/>
        <v>1534.7094502205689</v>
      </c>
      <c r="U381" s="7">
        <f t="shared" si="33"/>
        <v>1534.7094502205689</v>
      </c>
      <c r="V381" s="7">
        <f t="shared" si="26"/>
        <v>-9.8630603441627177E-2</v>
      </c>
      <c r="W381" s="7">
        <f t="shared" si="27"/>
        <v>1.6926087156815656E-3</v>
      </c>
      <c r="X381" t="s">
        <v>752</v>
      </c>
      <c r="Y381" t="s">
        <v>753</v>
      </c>
      <c r="Z381" t="s">
        <v>515</v>
      </c>
      <c r="AA381" t="s">
        <v>778</v>
      </c>
      <c r="AB381" t="s">
        <v>92</v>
      </c>
    </row>
    <row r="382" spans="1:28">
      <c r="A382" t="s">
        <v>747</v>
      </c>
      <c r="B382" t="s">
        <v>780</v>
      </c>
      <c r="C382" t="s">
        <v>81</v>
      </c>
      <c r="D382" t="s">
        <v>749</v>
      </c>
      <c r="E382" t="s">
        <v>560</v>
      </c>
      <c r="F382">
        <v>3.6</v>
      </c>
      <c r="G382" t="s">
        <v>185</v>
      </c>
      <c r="H382" t="s">
        <v>84</v>
      </c>
      <c r="I382" t="s">
        <v>85</v>
      </c>
      <c r="J382" t="s">
        <v>751</v>
      </c>
      <c r="K382" t="s">
        <v>149</v>
      </c>
      <c r="L382" t="s">
        <v>40</v>
      </c>
      <c r="M382" t="s">
        <v>482</v>
      </c>
      <c r="N382" s="7">
        <v>32075.549894500029</v>
      </c>
      <c r="O382" s="7">
        <v>886.064914212708</v>
      </c>
      <c r="P382" s="7">
        <v>3</v>
      </c>
      <c r="Q382" s="7">
        <v>23037.68776953041</v>
      </c>
      <c r="R382" s="7">
        <v>886.064914212708</v>
      </c>
      <c r="S382" s="7">
        <v>3</v>
      </c>
      <c r="T382" s="7">
        <f t="shared" si="32"/>
        <v>1534.7094502205689</v>
      </c>
      <c r="U382" s="7">
        <f t="shared" si="33"/>
        <v>1534.7094502205689</v>
      </c>
      <c r="V382" s="7">
        <f t="shared" si="26"/>
        <v>-0.33096258081024327</v>
      </c>
      <c r="W382" s="7">
        <f t="shared" si="27"/>
        <v>2.2423924102279928E-3</v>
      </c>
      <c r="X382" t="s">
        <v>752</v>
      </c>
      <c r="Y382" t="s">
        <v>753</v>
      </c>
      <c r="Z382" t="s">
        <v>515</v>
      </c>
      <c r="AA382" t="s">
        <v>778</v>
      </c>
      <c r="AB382" t="s">
        <v>92</v>
      </c>
    </row>
    <row r="383" spans="1:28">
      <c r="A383" t="s">
        <v>747</v>
      </c>
      <c r="B383" t="s">
        <v>781</v>
      </c>
      <c r="C383" t="s">
        <v>81</v>
      </c>
      <c r="D383" t="s">
        <v>749</v>
      </c>
      <c r="E383" t="s">
        <v>750</v>
      </c>
      <c r="F383">
        <v>2.4</v>
      </c>
      <c r="G383" t="s">
        <v>185</v>
      </c>
      <c r="H383" t="s">
        <v>84</v>
      </c>
      <c r="I383" t="s">
        <v>85</v>
      </c>
      <c r="J383" t="s">
        <v>751</v>
      </c>
      <c r="K383" t="s">
        <v>452</v>
      </c>
      <c r="L383" t="s">
        <v>40</v>
      </c>
      <c r="M383" t="s">
        <v>482</v>
      </c>
      <c r="N383" s="7">
        <v>35265.383585665782</v>
      </c>
      <c r="O383" s="7">
        <v>886.064914212708</v>
      </c>
      <c r="P383" s="7">
        <v>3</v>
      </c>
      <c r="Q383" s="7">
        <v>18784.57618130941</v>
      </c>
      <c r="R383" s="7">
        <v>886.064914212708</v>
      </c>
      <c r="S383" s="7">
        <v>3</v>
      </c>
      <c r="T383" s="7">
        <f t="shared" si="32"/>
        <v>1534.7094502205689</v>
      </c>
      <c r="U383" s="7">
        <f t="shared" si="33"/>
        <v>1534.7094502205689</v>
      </c>
      <c r="V383" s="7">
        <f t="shared" si="26"/>
        <v>-0.62986573061242535</v>
      </c>
      <c r="W383" s="7">
        <f t="shared" si="27"/>
        <v>2.8562882895005123E-3</v>
      </c>
      <c r="X383" t="s">
        <v>752</v>
      </c>
      <c r="Y383" t="s">
        <v>753</v>
      </c>
      <c r="Z383" t="s">
        <v>515</v>
      </c>
      <c r="AA383" t="s">
        <v>782</v>
      </c>
      <c r="AB383" t="s">
        <v>92</v>
      </c>
    </row>
    <row r="384" spans="1:28">
      <c r="A384" t="s">
        <v>747</v>
      </c>
      <c r="B384" t="s">
        <v>783</v>
      </c>
      <c r="C384" t="s">
        <v>81</v>
      </c>
      <c r="D384" t="s">
        <v>749</v>
      </c>
      <c r="E384" t="s">
        <v>94</v>
      </c>
      <c r="F384">
        <v>4.5999999999999996</v>
      </c>
      <c r="G384" t="s">
        <v>185</v>
      </c>
      <c r="H384" t="s">
        <v>84</v>
      </c>
      <c r="I384" t="s">
        <v>85</v>
      </c>
      <c r="J384" t="s">
        <v>751</v>
      </c>
      <c r="K384" t="s">
        <v>452</v>
      </c>
      <c r="L384" t="s">
        <v>40</v>
      </c>
      <c r="M384" t="s">
        <v>482</v>
      </c>
      <c r="N384" s="7">
        <v>35265.383585665782</v>
      </c>
      <c r="O384" s="7">
        <v>886.064914212708</v>
      </c>
      <c r="P384" s="7">
        <v>3</v>
      </c>
      <c r="Q384" s="7">
        <v>24809.817597955825</v>
      </c>
      <c r="R384" s="7">
        <v>886.064914212708</v>
      </c>
      <c r="S384" s="7">
        <v>3</v>
      </c>
      <c r="T384" s="7">
        <f t="shared" si="32"/>
        <v>1534.7094502205689</v>
      </c>
      <c r="U384" s="7">
        <f t="shared" si="33"/>
        <v>1534.7094502205689</v>
      </c>
      <c r="V384" s="7">
        <f t="shared" si="26"/>
        <v>-0.35166240211518818</v>
      </c>
      <c r="W384" s="7">
        <f t="shared" si="27"/>
        <v>1.9068073935465447E-3</v>
      </c>
      <c r="X384" t="s">
        <v>752</v>
      </c>
      <c r="Y384" t="s">
        <v>753</v>
      </c>
      <c r="Z384" t="s">
        <v>515</v>
      </c>
      <c r="AA384" t="s">
        <v>782</v>
      </c>
      <c r="AB384" t="s">
        <v>92</v>
      </c>
    </row>
    <row r="385" spans="1:28">
      <c r="A385" t="s">
        <v>747</v>
      </c>
      <c r="B385" t="s">
        <v>784</v>
      </c>
      <c r="C385" t="s">
        <v>81</v>
      </c>
      <c r="D385" t="s">
        <v>749</v>
      </c>
      <c r="E385" t="s">
        <v>560</v>
      </c>
      <c r="F385">
        <v>3.6</v>
      </c>
      <c r="G385" t="s">
        <v>185</v>
      </c>
      <c r="H385" t="s">
        <v>84</v>
      </c>
      <c r="I385" t="s">
        <v>85</v>
      </c>
      <c r="J385" t="s">
        <v>751</v>
      </c>
      <c r="K385" t="s">
        <v>452</v>
      </c>
      <c r="L385" t="s">
        <v>40</v>
      </c>
      <c r="M385" t="s">
        <v>482</v>
      </c>
      <c r="N385" s="7">
        <v>35265.383585665782</v>
      </c>
      <c r="O385" s="7">
        <v>886.064914212708</v>
      </c>
      <c r="P385" s="7">
        <v>3</v>
      </c>
      <c r="Q385" s="7">
        <v>15417.52950730112</v>
      </c>
      <c r="R385" s="7">
        <v>886.064914212708</v>
      </c>
      <c r="S385" s="7">
        <v>3</v>
      </c>
      <c r="T385" s="7">
        <f t="shared" si="32"/>
        <v>1534.7094502205689</v>
      </c>
      <c r="U385" s="7">
        <f t="shared" si="33"/>
        <v>1534.7094502205689</v>
      </c>
      <c r="V385" s="7">
        <f t="shared" si="26"/>
        <v>-0.82739670606990867</v>
      </c>
      <c r="W385" s="7">
        <f t="shared" si="27"/>
        <v>3.9342434175003195E-3</v>
      </c>
      <c r="X385" t="s">
        <v>752</v>
      </c>
      <c r="Y385" t="s">
        <v>753</v>
      </c>
      <c r="Z385" t="s">
        <v>515</v>
      </c>
      <c r="AA385" t="s">
        <v>782</v>
      </c>
      <c r="AB385" t="s">
        <v>92</v>
      </c>
    </row>
    <row r="386" spans="1:28">
      <c r="A386" t="s">
        <v>747</v>
      </c>
      <c r="B386" t="s">
        <v>785</v>
      </c>
      <c r="C386" t="s">
        <v>81</v>
      </c>
      <c r="D386" t="s">
        <v>749</v>
      </c>
      <c r="E386" t="s">
        <v>750</v>
      </c>
      <c r="F386">
        <v>2.4</v>
      </c>
      <c r="G386" t="s">
        <v>185</v>
      </c>
      <c r="H386" t="s">
        <v>84</v>
      </c>
      <c r="I386" t="s">
        <v>85</v>
      </c>
      <c r="J386" t="s">
        <v>751</v>
      </c>
      <c r="K386" t="s">
        <v>29</v>
      </c>
      <c r="L386" t="s">
        <v>40</v>
      </c>
      <c r="M386" t="s">
        <v>482</v>
      </c>
      <c r="N386" s="7">
        <v>28708.503220491741</v>
      </c>
      <c r="O386" s="7">
        <v>886.064914212708</v>
      </c>
      <c r="P386" s="7">
        <v>3</v>
      </c>
      <c r="Q386" s="7">
        <v>18252.937232781784</v>
      </c>
      <c r="R386" s="7">
        <v>886.064914212708</v>
      </c>
      <c r="S386" s="7">
        <v>3</v>
      </c>
      <c r="T386" s="7">
        <f t="shared" si="32"/>
        <v>1534.7094502205689</v>
      </c>
      <c r="U386" s="7">
        <f t="shared" si="33"/>
        <v>1534.7094502205689</v>
      </c>
      <c r="V386" s="7">
        <f t="shared" ref="V386:V449" si="34">LN(Q386/N386)</f>
        <v>-0.45286734700274839</v>
      </c>
      <c r="W386" s="7">
        <f t="shared" ref="W386:W449" si="35">(U386^2/(S386*Q386^2))+(T386^2/(P386*N386^2))</f>
        <v>3.3090884620585897E-3</v>
      </c>
      <c r="X386" t="s">
        <v>752</v>
      </c>
      <c r="Y386" t="s">
        <v>753</v>
      </c>
      <c r="Z386" t="s">
        <v>515</v>
      </c>
      <c r="AA386" t="s">
        <v>786</v>
      </c>
      <c r="AB386" t="s">
        <v>92</v>
      </c>
    </row>
    <row r="387" spans="1:28">
      <c r="A387" t="s">
        <v>747</v>
      </c>
      <c r="B387" t="s">
        <v>787</v>
      </c>
      <c r="C387" t="s">
        <v>81</v>
      </c>
      <c r="D387" t="s">
        <v>749</v>
      </c>
      <c r="E387" t="s">
        <v>94</v>
      </c>
      <c r="F387">
        <v>4.5999999999999996</v>
      </c>
      <c r="G387" t="s">
        <v>185</v>
      </c>
      <c r="H387" t="s">
        <v>84</v>
      </c>
      <c r="I387" t="s">
        <v>85</v>
      </c>
      <c r="J387" t="s">
        <v>751</v>
      </c>
      <c r="K387" t="s">
        <v>29</v>
      </c>
      <c r="L387" t="s">
        <v>40</v>
      </c>
      <c r="M387" t="s">
        <v>482</v>
      </c>
      <c r="N387" s="7">
        <v>28708.503220491741</v>
      </c>
      <c r="O387" s="7">
        <v>886.064914212708</v>
      </c>
      <c r="P387" s="7">
        <v>3</v>
      </c>
      <c r="Q387" s="7">
        <v>16480.807404356368</v>
      </c>
      <c r="R387" s="7">
        <v>886.064914212708</v>
      </c>
      <c r="S387" s="7">
        <v>3</v>
      </c>
      <c r="T387" s="7">
        <f t="shared" si="32"/>
        <v>1534.7094502205689</v>
      </c>
      <c r="U387" s="7">
        <f t="shared" si="33"/>
        <v>1534.7094502205689</v>
      </c>
      <c r="V387" s="7">
        <f t="shared" si="34"/>
        <v>-0.55499684207912814</v>
      </c>
      <c r="W387" s="7">
        <f t="shared" si="35"/>
        <v>3.8431062623540454E-3</v>
      </c>
      <c r="X387" t="s">
        <v>752</v>
      </c>
      <c r="Y387" t="s">
        <v>753</v>
      </c>
      <c r="Z387" t="s">
        <v>515</v>
      </c>
      <c r="AA387" t="s">
        <v>786</v>
      </c>
      <c r="AB387" t="s">
        <v>92</v>
      </c>
    </row>
    <row r="388" spans="1:28">
      <c r="A388" t="s">
        <v>747</v>
      </c>
      <c r="B388" t="s">
        <v>788</v>
      </c>
      <c r="C388" t="s">
        <v>81</v>
      </c>
      <c r="D388" t="s">
        <v>749</v>
      </c>
      <c r="E388" t="s">
        <v>560</v>
      </c>
      <c r="F388">
        <v>3.6</v>
      </c>
      <c r="G388" t="s">
        <v>185</v>
      </c>
      <c r="H388" t="s">
        <v>84</v>
      </c>
      <c r="I388" t="s">
        <v>85</v>
      </c>
      <c r="J388" t="s">
        <v>751</v>
      </c>
      <c r="K388" t="s">
        <v>29</v>
      </c>
      <c r="L388" t="s">
        <v>40</v>
      </c>
      <c r="M388" t="s">
        <v>482</v>
      </c>
      <c r="N388" s="7">
        <v>28708.503220491741</v>
      </c>
      <c r="O388" s="7">
        <v>886.064914212708</v>
      </c>
      <c r="P388" s="7">
        <v>3</v>
      </c>
      <c r="Q388" s="7">
        <v>17721.298284254161</v>
      </c>
      <c r="R388" s="7">
        <v>886.064914212708</v>
      </c>
      <c r="S388" s="7">
        <v>3</v>
      </c>
      <c r="T388" s="7">
        <f t="shared" si="32"/>
        <v>1534.7094502205689</v>
      </c>
      <c r="U388" s="7">
        <f t="shared" si="33"/>
        <v>1534.7094502205689</v>
      </c>
      <c r="V388" s="7">
        <f t="shared" si="34"/>
        <v>-0.48242614924429278</v>
      </c>
      <c r="W388" s="7">
        <f t="shared" si="35"/>
        <v>3.4525986892242032E-3</v>
      </c>
      <c r="X388" t="s">
        <v>752</v>
      </c>
      <c r="Y388" t="s">
        <v>753</v>
      </c>
      <c r="Z388" t="s">
        <v>515</v>
      </c>
      <c r="AA388" t="s">
        <v>786</v>
      </c>
      <c r="AB388" t="s">
        <v>92</v>
      </c>
    </row>
    <row r="389" spans="1:28">
      <c r="A389" t="s">
        <v>747</v>
      </c>
      <c r="B389" t="s">
        <v>789</v>
      </c>
      <c r="C389" t="s">
        <v>81</v>
      </c>
      <c r="D389" t="s">
        <v>749</v>
      </c>
      <c r="E389" t="s">
        <v>750</v>
      </c>
      <c r="F389">
        <v>2.4</v>
      </c>
      <c r="G389" t="s">
        <v>185</v>
      </c>
      <c r="H389" t="s">
        <v>84</v>
      </c>
      <c r="I389" t="s">
        <v>85</v>
      </c>
      <c r="J389" t="s">
        <v>751</v>
      </c>
      <c r="K389" t="s">
        <v>149</v>
      </c>
      <c r="L389" t="s">
        <v>53</v>
      </c>
      <c r="M389" t="s">
        <v>482</v>
      </c>
      <c r="N389" s="7">
        <v>1477.3338269921924</v>
      </c>
      <c r="O389" s="7">
        <v>369.33345674804809</v>
      </c>
      <c r="P389" s="7">
        <v>3</v>
      </c>
      <c r="Q389" s="7">
        <v>1015.6670060571323</v>
      </c>
      <c r="R389" s="7">
        <v>369.33345674804809</v>
      </c>
      <c r="S389" s="7">
        <v>3</v>
      </c>
      <c r="T389" s="7">
        <f t="shared" si="32"/>
        <v>639.70431202266172</v>
      </c>
      <c r="U389" s="7">
        <f t="shared" si="33"/>
        <v>639.70431202266172</v>
      </c>
      <c r="V389" s="7">
        <f t="shared" si="34"/>
        <v>-0.3746934494414107</v>
      </c>
      <c r="W389" s="7">
        <f t="shared" si="35"/>
        <v>0.19473140495867769</v>
      </c>
      <c r="X389" t="s">
        <v>752</v>
      </c>
      <c r="Y389" t="s">
        <v>753</v>
      </c>
      <c r="Z389" t="s">
        <v>515</v>
      </c>
      <c r="AA389" t="s">
        <v>790</v>
      </c>
      <c r="AB389" t="s">
        <v>92</v>
      </c>
    </row>
    <row r="390" spans="1:28">
      <c r="A390" t="s">
        <v>747</v>
      </c>
      <c r="B390" t="s">
        <v>791</v>
      </c>
      <c r="C390" t="s">
        <v>81</v>
      </c>
      <c r="D390" t="s">
        <v>749</v>
      </c>
      <c r="E390" t="s">
        <v>94</v>
      </c>
      <c r="F390">
        <v>4.5999999999999996</v>
      </c>
      <c r="G390" t="s">
        <v>185</v>
      </c>
      <c r="H390" t="s">
        <v>84</v>
      </c>
      <c r="I390" t="s">
        <v>85</v>
      </c>
      <c r="J390" t="s">
        <v>751</v>
      </c>
      <c r="K390" t="s">
        <v>149</v>
      </c>
      <c r="L390" t="s">
        <v>53</v>
      </c>
      <c r="M390" t="s">
        <v>482</v>
      </c>
      <c r="N390" s="7">
        <v>1477.3338269921924</v>
      </c>
      <c r="O390" s="7">
        <v>369.33345674804809</v>
      </c>
      <c r="P390" s="7">
        <v>3</v>
      </c>
      <c r="Q390" s="7">
        <v>1846.6672837402405</v>
      </c>
      <c r="R390" s="7">
        <v>369.33345674804809</v>
      </c>
      <c r="S390" s="7">
        <v>3</v>
      </c>
      <c r="T390" s="7">
        <f t="shared" si="32"/>
        <v>639.70431202266172</v>
      </c>
      <c r="U390" s="7">
        <f t="shared" si="33"/>
        <v>639.70431202266172</v>
      </c>
      <c r="V390" s="7">
        <f t="shared" si="34"/>
        <v>0.22314355131420976</v>
      </c>
      <c r="W390" s="7">
        <f t="shared" si="35"/>
        <v>0.10250000000000001</v>
      </c>
      <c r="X390" t="s">
        <v>752</v>
      </c>
      <c r="Y390" t="s">
        <v>753</v>
      </c>
      <c r="Z390" t="s">
        <v>515</v>
      </c>
      <c r="AA390" t="s">
        <v>790</v>
      </c>
      <c r="AB390" t="s">
        <v>92</v>
      </c>
    </row>
    <row r="391" spans="1:28">
      <c r="A391" t="s">
        <v>747</v>
      </c>
      <c r="B391" t="s">
        <v>792</v>
      </c>
      <c r="C391" t="s">
        <v>81</v>
      </c>
      <c r="D391" t="s">
        <v>749</v>
      </c>
      <c r="E391" t="s">
        <v>560</v>
      </c>
      <c r="F391">
        <v>3.6</v>
      </c>
      <c r="G391" t="s">
        <v>185</v>
      </c>
      <c r="H391" t="s">
        <v>84</v>
      </c>
      <c r="I391" t="s">
        <v>85</v>
      </c>
      <c r="J391" t="s">
        <v>751</v>
      </c>
      <c r="K391" t="s">
        <v>149</v>
      </c>
      <c r="L391" t="s">
        <v>53</v>
      </c>
      <c r="M391" t="s">
        <v>482</v>
      </c>
      <c r="N391" s="7">
        <v>1477.3338269921924</v>
      </c>
      <c r="O391" s="7">
        <v>369.33345674804809</v>
      </c>
      <c r="P391" s="7">
        <v>3</v>
      </c>
      <c r="Q391" s="7">
        <v>17543.339195532284</v>
      </c>
      <c r="R391" s="7">
        <v>369.33345674804809</v>
      </c>
      <c r="S391" s="7">
        <v>3</v>
      </c>
      <c r="T391" s="7">
        <f t="shared" si="32"/>
        <v>639.70431202266172</v>
      </c>
      <c r="U391" s="7">
        <f t="shared" si="33"/>
        <v>639.70431202266172</v>
      </c>
      <c r="V391" s="7">
        <f t="shared" si="34"/>
        <v>2.474435349920705</v>
      </c>
      <c r="W391" s="7">
        <f t="shared" si="35"/>
        <v>6.2943213296398889E-2</v>
      </c>
      <c r="X391" t="s">
        <v>752</v>
      </c>
      <c r="Y391" t="s">
        <v>753</v>
      </c>
      <c r="Z391" t="s">
        <v>515</v>
      </c>
      <c r="AA391" t="s">
        <v>790</v>
      </c>
      <c r="AB391" t="s">
        <v>92</v>
      </c>
    </row>
    <row r="392" spans="1:28">
      <c r="A392" t="s">
        <v>747</v>
      </c>
      <c r="B392" t="s">
        <v>793</v>
      </c>
      <c r="C392" t="s">
        <v>81</v>
      </c>
      <c r="D392" t="s">
        <v>749</v>
      </c>
      <c r="E392" t="s">
        <v>750</v>
      </c>
      <c r="F392">
        <v>2.4</v>
      </c>
      <c r="G392" t="s">
        <v>185</v>
      </c>
      <c r="H392" t="s">
        <v>84</v>
      </c>
      <c r="I392" t="s">
        <v>85</v>
      </c>
      <c r="J392" t="s">
        <v>751</v>
      </c>
      <c r="K392" t="s">
        <v>452</v>
      </c>
      <c r="L392" t="s">
        <v>53</v>
      </c>
      <c r="M392" t="s">
        <v>482</v>
      </c>
      <c r="N392" s="7">
        <v>1754.3339195532285</v>
      </c>
      <c r="O392" s="7">
        <v>369.33345674804809</v>
      </c>
      <c r="P392" s="7">
        <v>3</v>
      </c>
      <c r="Q392" s="7">
        <v>1015.6670060571323</v>
      </c>
      <c r="R392" s="7">
        <v>369.33345674804809</v>
      </c>
      <c r="S392" s="7">
        <v>3</v>
      </c>
      <c r="T392" s="7">
        <f t="shared" si="32"/>
        <v>639.70431202266172</v>
      </c>
      <c r="U392" s="7">
        <f t="shared" si="33"/>
        <v>639.70431202266172</v>
      </c>
      <c r="V392" s="7">
        <f t="shared" si="34"/>
        <v>-0.54654370636806993</v>
      </c>
      <c r="W392" s="7">
        <f t="shared" si="35"/>
        <v>0.17655273459856688</v>
      </c>
      <c r="X392" t="s">
        <v>752</v>
      </c>
      <c r="Y392" t="s">
        <v>753</v>
      </c>
      <c r="Z392" t="s">
        <v>515</v>
      </c>
      <c r="AA392" t="s">
        <v>794</v>
      </c>
      <c r="AB392" t="s">
        <v>92</v>
      </c>
    </row>
    <row r="393" spans="1:28">
      <c r="A393" t="s">
        <v>747</v>
      </c>
      <c r="B393" t="s">
        <v>795</v>
      </c>
      <c r="C393" t="s">
        <v>81</v>
      </c>
      <c r="D393" t="s">
        <v>749</v>
      </c>
      <c r="E393" t="s">
        <v>94</v>
      </c>
      <c r="F393">
        <v>4.5999999999999996</v>
      </c>
      <c r="G393" t="s">
        <v>185</v>
      </c>
      <c r="H393" t="s">
        <v>84</v>
      </c>
      <c r="I393" t="s">
        <v>85</v>
      </c>
      <c r="J393" t="s">
        <v>751</v>
      </c>
      <c r="K393" t="s">
        <v>452</v>
      </c>
      <c r="L393" t="s">
        <v>53</v>
      </c>
      <c r="M393" t="s">
        <v>482</v>
      </c>
      <c r="N393" s="7">
        <v>1754.3339195532285</v>
      </c>
      <c r="O393" s="7">
        <v>369.33345674804809</v>
      </c>
      <c r="P393" s="7">
        <v>3</v>
      </c>
      <c r="Q393" s="7">
        <v>1108.0003702441443</v>
      </c>
      <c r="R393" s="7">
        <v>369.33345674804809</v>
      </c>
      <c r="S393" s="7">
        <v>3</v>
      </c>
      <c r="T393" s="7">
        <f t="shared" si="32"/>
        <v>639.70431202266172</v>
      </c>
      <c r="U393" s="7">
        <f t="shared" si="33"/>
        <v>639.70431202266172</v>
      </c>
      <c r="V393" s="7">
        <f t="shared" si="34"/>
        <v>-0.45953232937844019</v>
      </c>
      <c r="W393" s="7">
        <f t="shared" si="35"/>
        <v>0.15543244075100032</v>
      </c>
      <c r="X393" t="s">
        <v>752</v>
      </c>
      <c r="Y393" t="s">
        <v>753</v>
      </c>
      <c r="Z393" t="s">
        <v>515</v>
      </c>
      <c r="AA393" t="s">
        <v>794</v>
      </c>
      <c r="AB393" t="s">
        <v>92</v>
      </c>
    </row>
    <row r="394" spans="1:28">
      <c r="A394" t="s">
        <v>747</v>
      </c>
      <c r="B394" t="s">
        <v>796</v>
      </c>
      <c r="C394" t="s">
        <v>81</v>
      </c>
      <c r="D394" t="s">
        <v>749</v>
      </c>
      <c r="E394" t="s">
        <v>560</v>
      </c>
      <c r="F394">
        <v>3.6</v>
      </c>
      <c r="G394" t="s">
        <v>185</v>
      </c>
      <c r="H394" t="s">
        <v>84</v>
      </c>
      <c r="I394" t="s">
        <v>85</v>
      </c>
      <c r="J394" t="s">
        <v>751</v>
      </c>
      <c r="K394" t="s">
        <v>452</v>
      </c>
      <c r="L394" t="s">
        <v>53</v>
      </c>
      <c r="M394" t="s">
        <v>482</v>
      </c>
      <c r="N394" s="7">
        <v>1754.3339195532285</v>
      </c>
      <c r="O394" s="7">
        <v>369.33345674804809</v>
      </c>
      <c r="P394" s="7">
        <v>3</v>
      </c>
      <c r="Q394" s="7">
        <v>12003.337344311563</v>
      </c>
      <c r="R394" s="7">
        <v>369.33345674804809</v>
      </c>
      <c r="S394" s="7">
        <v>3</v>
      </c>
      <c r="T394" s="7">
        <f t="shared" si="32"/>
        <v>639.70431202266172</v>
      </c>
      <c r="U394" s="7">
        <f t="shared" si="33"/>
        <v>639.70431202266172</v>
      </c>
      <c r="V394" s="7">
        <f t="shared" si="34"/>
        <v>1.9230954712891419</v>
      </c>
      <c r="W394" s="7">
        <f t="shared" si="35"/>
        <v>4.5268075202019364E-2</v>
      </c>
      <c r="X394" t="s">
        <v>752</v>
      </c>
      <c r="Y394" t="s">
        <v>753</v>
      </c>
      <c r="Z394" t="s">
        <v>515</v>
      </c>
      <c r="AA394" t="s">
        <v>794</v>
      </c>
      <c r="AB394" t="s">
        <v>92</v>
      </c>
    </row>
    <row r="395" spans="1:28">
      <c r="A395" t="s">
        <v>747</v>
      </c>
      <c r="B395" t="s">
        <v>797</v>
      </c>
      <c r="C395" t="s">
        <v>81</v>
      </c>
      <c r="D395" t="s">
        <v>749</v>
      </c>
      <c r="E395" t="s">
        <v>750</v>
      </c>
      <c r="F395">
        <v>2.4</v>
      </c>
      <c r="G395" t="s">
        <v>185</v>
      </c>
      <c r="H395" t="s">
        <v>84</v>
      </c>
      <c r="I395" t="s">
        <v>85</v>
      </c>
      <c r="J395" t="s">
        <v>751</v>
      </c>
      <c r="K395" t="s">
        <v>29</v>
      </c>
      <c r="L395" t="s">
        <v>53</v>
      </c>
      <c r="M395" t="s">
        <v>482</v>
      </c>
      <c r="N395" s="7">
        <v>1477.3338269921924</v>
      </c>
      <c r="O395" s="7">
        <v>369.33345674804809</v>
      </c>
      <c r="P395" s="7">
        <v>3</v>
      </c>
      <c r="Q395" s="7">
        <v>1292.6670986181684</v>
      </c>
      <c r="R395" s="7">
        <v>369.33345674804809</v>
      </c>
      <c r="S395" s="7">
        <v>3</v>
      </c>
      <c r="T395" s="7">
        <f t="shared" si="32"/>
        <v>639.70431202266172</v>
      </c>
      <c r="U395" s="7">
        <f t="shared" si="33"/>
        <v>639.70431202266172</v>
      </c>
      <c r="V395" s="7">
        <f t="shared" si="34"/>
        <v>-0.13353139262452249</v>
      </c>
      <c r="W395" s="7">
        <f t="shared" si="35"/>
        <v>0.14413265306122447</v>
      </c>
      <c r="X395" t="s">
        <v>752</v>
      </c>
      <c r="Y395" t="s">
        <v>753</v>
      </c>
      <c r="Z395" t="s">
        <v>515</v>
      </c>
      <c r="AA395" t="s">
        <v>798</v>
      </c>
      <c r="AB395" t="s">
        <v>92</v>
      </c>
    </row>
    <row r="396" spans="1:28">
      <c r="A396" t="s">
        <v>747</v>
      </c>
      <c r="B396" t="s">
        <v>799</v>
      </c>
      <c r="C396" t="s">
        <v>81</v>
      </c>
      <c r="D396" t="s">
        <v>749</v>
      </c>
      <c r="E396" t="s">
        <v>94</v>
      </c>
      <c r="F396">
        <v>4.5999999999999996</v>
      </c>
      <c r="G396" t="s">
        <v>185</v>
      </c>
      <c r="H396" t="s">
        <v>84</v>
      </c>
      <c r="I396" t="s">
        <v>85</v>
      </c>
      <c r="J396" t="s">
        <v>751</v>
      </c>
      <c r="K396" t="s">
        <v>29</v>
      </c>
      <c r="L396" t="s">
        <v>53</v>
      </c>
      <c r="M396" t="s">
        <v>482</v>
      </c>
      <c r="N396" s="7">
        <v>1477.3338269921924</v>
      </c>
      <c r="O396" s="7">
        <v>369.33345674804809</v>
      </c>
      <c r="P396" s="7">
        <v>3</v>
      </c>
      <c r="Q396" s="7">
        <v>1292.6670986181684</v>
      </c>
      <c r="R396" s="7">
        <v>369.33345674804809</v>
      </c>
      <c r="S396" s="7">
        <v>3</v>
      </c>
      <c r="T396" s="7">
        <f t="shared" si="32"/>
        <v>639.70431202266172</v>
      </c>
      <c r="U396" s="7">
        <f t="shared" si="33"/>
        <v>639.70431202266172</v>
      </c>
      <c r="V396" s="7">
        <f t="shared" si="34"/>
        <v>-0.13353139262452249</v>
      </c>
      <c r="W396" s="7">
        <f t="shared" si="35"/>
        <v>0.14413265306122447</v>
      </c>
      <c r="X396" t="s">
        <v>752</v>
      </c>
      <c r="Y396" t="s">
        <v>753</v>
      </c>
      <c r="Z396" t="s">
        <v>515</v>
      </c>
      <c r="AA396" t="s">
        <v>798</v>
      </c>
      <c r="AB396" t="s">
        <v>92</v>
      </c>
    </row>
    <row r="397" spans="1:28">
      <c r="A397" t="s">
        <v>747</v>
      </c>
      <c r="B397" t="s">
        <v>800</v>
      </c>
      <c r="C397" t="s">
        <v>81</v>
      </c>
      <c r="D397" t="s">
        <v>749</v>
      </c>
      <c r="E397" t="s">
        <v>560</v>
      </c>
      <c r="F397">
        <v>3.6</v>
      </c>
      <c r="G397" t="s">
        <v>185</v>
      </c>
      <c r="H397" t="s">
        <v>84</v>
      </c>
      <c r="I397" t="s">
        <v>85</v>
      </c>
      <c r="J397" t="s">
        <v>751</v>
      </c>
      <c r="K397" t="s">
        <v>29</v>
      </c>
      <c r="L397" t="s">
        <v>53</v>
      </c>
      <c r="M397" t="s">
        <v>482</v>
      </c>
      <c r="N397" s="7">
        <v>1477.3338269921924</v>
      </c>
      <c r="O397" s="7">
        <v>369.33345674804809</v>
      </c>
      <c r="P397" s="7">
        <v>3</v>
      </c>
      <c r="Q397" s="7">
        <v>16158.338732727105</v>
      </c>
      <c r="R397" s="7">
        <v>369.33345674804809</v>
      </c>
      <c r="S397" s="7">
        <v>3</v>
      </c>
      <c r="T397" s="7">
        <f t="shared" si="32"/>
        <v>639.70431202266172</v>
      </c>
      <c r="U397" s="7">
        <f t="shared" si="33"/>
        <v>639.70431202266172</v>
      </c>
      <c r="V397" s="7">
        <f t="shared" si="34"/>
        <v>2.3921972516837329</v>
      </c>
      <c r="W397" s="7">
        <f t="shared" si="35"/>
        <v>6.3022448979591833E-2</v>
      </c>
      <c r="X397" t="s">
        <v>752</v>
      </c>
      <c r="Y397" t="s">
        <v>753</v>
      </c>
      <c r="Z397" t="s">
        <v>515</v>
      </c>
      <c r="AA397" t="s">
        <v>798</v>
      </c>
      <c r="AB397" t="s">
        <v>92</v>
      </c>
    </row>
    <row r="398" spans="1:28">
      <c r="A398" t="s">
        <v>747</v>
      </c>
      <c r="B398" t="s">
        <v>801</v>
      </c>
      <c r="C398" t="s">
        <v>81</v>
      </c>
      <c r="D398" t="s">
        <v>749</v>
      </c>
      <c r="E398" t="s">
        <v>750</v>
      </c>
      <c r="F398">
        <v>2.4</v>
      </c>
      <c r="G398" t="s">
        <v>185</v>
      </c>
      <c r="H398" t="s">
        <v>84</v>
      </c>
      <c r="I398" t="s">
        <v>85</v>
      </c>
      <c r="J398" t="s">
        <v>751</v>
      </c>
      <c r="K398" t="s">
        <v>149</v>
      </c>
      <c r="L398" t="s">
        <v>34</v>
      </c>
      <c r="M398" t="s">
        <v>482</v>
      </c>
      <c r="N398" s="7">
        <v>717.83637352601261</v>
      </c>
      <c r="O398" s="7">
        <v>69.022728223655065</v>
      </c>
      <c r="P398" s="7">
        <v>3</v>
      </c>
      <c r="Q398" s="7">
        <v>980.12274077590189</v>
      </c>
      <c r="R398" s="7">
        <v>69.022728223655065</v>
      </c>
      <c r="S398" s="7">
        <v>3</v>
      </c>
      <c r="T398" s="7">
        <f t="shared" si="32"/>
        <v>119.55087216038889</v>
      </c>
      <c r="U398" s="7">
        <f t="shared" si="33"/>
        <v>119.55087216038889</v>
      </c>
      <c r="V398" s="7">
        <f t="shared" si="34"/>
        <v>0.31143615845988809</v>
      </c>
      <c r="W398" s="7">
        <f t="shared" si="35"/>
        <v>1.4204895595759742E-2</v>
      </c>
      <c r="X398" t="s">
        <v>752</v>
      </c>
      <c r="Y398" t="s">
        <v>753</v>
      </c>
      <c r="Z398" t="s">
        <v>515</v>
      </c>
      <c r="AA398" t="s">
        <v>802</v>
      </c>
      <c r="AB398" t="s">
        <v>92</v>
      </c>
    </row>
    <row r="399" spans="1:28">
      <c r="A399" t="s">
        <v>747</v>
      </c>
      <c r="B399" t="s">
        <v>803</v>
      </c>
      <c r="C399" t="s">
        <v>81</v>
      </c>
      <c r="D399" t="s">
        <v>749</v>
      </c>
      <c r="E399" t="s">
        <v>94</v>
      </c>
      <c r="F399">
        <v>4.5999999999999996</v>
      </c>
      <c r="G399" t="s">
        <v>185</v>
      </c>
      <c r="H399" t="s">
        <v>84</v>
      </c>
      <c r="I399" t="s">
        <v>85</v>
      </c>
      <c r="J399" t="s">
        <v>751</v>
      </c>
      <c r="K399" t="s">
        <v>149</v>
      </c>
      <c r="L399" t="s">
        <v>34</v>
      </c>
      <c r="M399" t="s">
        <v>482</v>
      </c>
      <c r="N399" s="7">
        <v>717.83637352601261</v>
      </c>
      <c r="O399" s="7">
        <v>69.022728223655065</v>
      </c>
      <c r="P399" s="7">
        <v>3</v>
      </c>
      <c r="Q399" s="7">
        <v>1442.5750198743908</v>
      </c>
      <c r="R399" s="7">
        <v>69.022728223655065</v>
      </c>
      <c r="S399" s="7">
        <v>3</v>
      </c>
      <c r="T399" s="7">
        <f t="shared" ref="T399:T406" si="36">O399*SQRT(P399)</f>
        <v>119.55087216038889</v>
      </c>
      <c r="U399" s="7">
        <f t="shared" ref="U399:U406" si="37">R399*SQRT(S399)</f>
        <v>119.55087216038889</v>
      </c>
      <c r="V399" s="7">
        <f t="shared" si="34"/>
        <v>0.69794335282343833</v>
      </c>
      <c r="W399" s="7">
        <f t="shared" si="35"/>
        <v>1.1534887008270964E-2</v>
      </c>
      <c r="X399" t="s">
        <v>752</v>
      </c>
      <c r="Y399" t="s">
        <v>753</v>
      </c>
      <c r="Z399" t="s">
        <v>515</v>
      </c>
      <c r="AA399" t="s">
        <v>802</v>
      </c>
      <c r="AB399" t="s">
        <v>92</v>
      </c>
    </row>
    <row r="400" spans="1:28">
      <c r="A400" t="s">
        <v>747</v>
      </c>
      <c r="B400" t="s">
        <v>804</v>
      </c>
      <c r="C400" t="s">
        <v>81</v>
      </c>
      <c r="D400" t="s">
        <v>749</v>
      </c>
      <c r="E400" t="s">
        <v>560</v>
      </c>
      <c r="F400">
        <v>3.6</v>
      </c>
      <c r="G400" t="s">
        <v>185</v>
      </c>
      <c r="H400" t="s">
        <v>84</v>
      </c>
      <c r="I400" t="s">
        <v>85</v>
      </c>
      <c r="J400" t="s">
        <v>751</v>
      </c>
      <c r="K400" t="s">
        <v>149</v>
      </c>
      <c r="L400" t="s">
        <v>34</v>
      </c>
      <c r="M400" t="s">
        <v>482</v>
      </c>
      <c r="N400" s="7">
        <v>717.83637352601261</v>
      </c>
      <c r="O400" s="7">
        <v>69.022728223655065</v>
      </c>
      <c r="P400" s="7">
        <v>3</v>
      </c>
      <c r="Q400" s="7">
        <v>738.54319199310919</v>
      </c>
      <c r="R400" s="7">
        <v>69.022728223655065</v>
      </c>
      <c r="S400" s="7">
        <v>3</v>
      </c>
      <c r="T400" s="7">
        <f t="shared" si="36"/>
        <v>119.55087216038889</v>
      </c>
      <c r="U400" s="7">
        <f t="shared" si="37"/>
        <v>119.55087216038889</v>
      </c>
      <c r="V400" s="7">
        <f t="shared" si="34"/>
        <v>2.8437935320533625E-2</v>
      </c>
      <c r="W400" s="7">
        <f t="shared" si="35"/>
        <v>1.7979949412909632E-2</v>
      </c>
      <c r="X400" t="s">
        <v>752</v>
      </c>
      <c r="Y400" t="s">
        <v>753</v>
      </c>
      <c r="Z400" t="s">
        <v>515</v>
      </c>
      <c r="AA400" t="s">
        <v>802</v>
      </c>
      <c r="AB400" t="s">
        <v>92</v>
      </c>
    </row>
    <row r="401" spans="1:28">
      <c r="A401" t="s">
        <v>747</v>
      </c>
      <c r="B401" t="s">
        <v>805</v>
      </c>
      <c r="C401" t="s">
        <v>81</v>
      </c>
      <c r="D401" t="s">
        <v>749</v>
      </c>
      <c r="E401" t="s">
        <v>750</v>
      </c>
      <c r="F401">
        <v>2.4</v>
      </c>
      <c r="G401" t="s">
        <v>185</v>
      </c>
      <c r="H401" t="s">
        <v>84</v>
      </c>
      <c r="I401" t="s">
        <v>85</v>
      </c>
      <c r="J401" t="s">
        <v>751</v>
      </c>
      <c r="K401" t="s">
        <v>452</v>
      </c>
      <c r="L401" t="s">
        <v>34</v>
      </c>
      <c r="M401" t="s">
        <v>482</v>
      </c>
      <c r="N401" s="7">
        <v>738.54319199310919</v>
      </c>
      <c r="O401" s="7">
        <v>69.022728223655065</v>
      </c>
      <c r="P401" s="7">
        <v>3</v>
      </c>
      <c r="Q401" s="7">
        <v>524.57273449977845</v>
      </c>
      <c r="R401" s="7">
        <v>69.022728223655065</v>
      </c>
      <c r="S401" s="7">
        <v>3</v>
      </c>
      <c r="T401" s="7">
        <f t="shared" si="36"/>
        <v>119.55087216038889</v>
      </c>
      <c r="U401" s="7">
        <f t="shared" si="37"/>
        <v>119.55087216038889</v>
      </c>
      <c r="V401" s="7">
        <f t="shared" si="34"/>
        <v>-0.34209549417557517</v>
      </c>
      <c r="W401" s="7">
        <f t="shared" si="35"/>
        <v>2.6047406673313837E-2</v>
      </c>
      <c r="X401" t="s">
        <v>752</v>
      </c>
      <c r="Y401" t="s">
        <v>753</v>
      </c>
      <c r="Z401" t="s">
        <v>515</v>
      </c>
      <c r="AA401" t="s">
        <v>806</v>
      </c>
      <c r="AB401" t="s">
        <v>92</v>
      </c>
    </row>
    <row r="402" spans="1:28">
      <c r="A402" t="s">
        <v>747</v>
      </c>
      <c r="B402" t="s">
        <v>807</v>
      </c>
      <c r="C402" t="s">
        <v>81</v>
      </c>
      <c r="D402" t="s">
        <v>749</v>
      </c>
      <c r="E402" t="s">
        <v>94</v>
      </c>
      <c r="F402">
        <v>4.5999999999999996</v>
      </c>
      <c r="G402" t="s">
        <v>185</v>
      </c>
      <c r="H402" t="s">
        <v>84</v>
      </c>
      <c r="I402" t="s">
        <v>85</v>
      </c>
      <c r="J402" t="s">
        <v>751</v>
      </c>
      <c r="K402" t="s">
        <v>452</v>
      </c>
      <c r="L402" t="s">
        <v>34</v>
      </c>
      <c r="M402" t="s">
        <v>482</v>
      </c>
      <c r="N402" s="7">
        <v>738.54319199310919</v>
      </c>
      <c r="O402" s="7">
        <v>69.022728223655065</v>
      </c>
      <c r="P402" s="7">
        <v>3</v>
      </c>
      <c r="Q402" s="7">
        <v>524.57273449977845</v>
      </c>
      <c r="R402" s="7">
        <v>69.022728223655065</v>
      </c>
      <c r="S402" s="7">
        <v>3</v>
      </c>
      <c r="T402" s="7">
        <f t="shared" si="36"/>
        <v>119.55087216038889</v>
      </c>
      <c r="U402" s="7">
        <f t="shared" si="37"/>
        <v>119.55087216038889</v>
      </c>
      <c r="V402" s="7">
        <f t="shared" si="34"/>
        <v>-0.34209549417557517</v>
      </c>
      <c r="W402" s="7">
        <f t="shared" si="35"/>
        <v>2.6047406673313837E-2</v>
      </c>
      <c r="X402" t="s">
        <v>752</v>
      </c>
      <c r="Y402" t="s">
        <v>753</v>
      </c>
      <c r="Z402" t="s">
        <v>515</v>
      </c>
      <c r="AA402" t="s">
        <v>806</v>
      </c>
      <c r="AB402" t="s">
        <v>92</v>
      </c>
    </row>
    <row r="403" spans="1:28">
      <c r="A403" t="s">
        <v>747</v>
      </c>
      <c r="B403" t="s">
        <v>808</v>
      </c>
      <c r="C403" t="s">
        <v>81</v>
      </c>
      <c r="D403" t="s">
        <v>749</v>
      </c>
      <c r="E403" t="s">
        <v>560</v>
      </c>
      <c r="F403">
        <v>3.6</v>
      </c>
      <c r="G403" t="s">
        <v>185</v>
      </c>
      <c r="H403" t="s">
        <v>84</v>
      </c>
      <c r="I403" t="s">
        <v>85</v>
      </c>
      <c r="J403" t="s">
        <v>751</v>
      </c>
      <c r="K403" t="s">
        <v>452</v>
      </c>
      <c r="L403" t="s">
        <v>34</v>
      </c>
      <c r="M403" t="s">
        <v>482</v>
      </c>
      <c r="N403" s="7">
        <v>738.54319199310919</v>
      </c>
      <c r="O403" s="7">
        <v>69.022728223655065</v>
      </c>
      <c r="P403" s="7">
        <v>3</v>
      </c>
      <c r="Q403" s="7">
        <v>524.57273449977845</v>
      </c>
      <c r="R403" s="7">
        <v>69.022728223655065</v>
      </c>
      <c r="S403" s="7">
        <v>3</v>
      </c>
      <c r="T403" s="7">
        <f t="shared" si="36"/>
        <v>119.55087216038889</v>
      </c>
      <c r="U403" s="7">
        <f t="shared" si="37"/>
        <v>119.55087216038889</v>
      </c>
      <c r="V403" s="7">
        <f t="shared" si="34"/>
        <v>-0.34209549417557517</v>
      </c>
      <c r="W403" s="7">
        <f t="shared" si="35"/>
        <v>2.6047406673313837E-2</v>
      </c>
      <c r="X403" t="s">
        <v>752</v>
      </c>
      <c r="Y403" t="s">
        <v>753</v>
      </c>
      <c r="Z403" t="s">
        <v>515</v>
      </c>
      <c r="AA403" t="s">
        <v>806</v>
      </c>
      <c r="AB403" t="s">
        <v>92</v>
      </c>
    </row>
    <row r="404" spans="1:28">
      <c r="A404" t="s">
        <v>747</v>
      </c>
      <c r="B404" t="s">
        <v>809</v>
      </c>
      <c r="C404" t="s">
        <v>81</v>
      </c>
      <c r="D404" t="s">
        <v>749</v>
      </c>
      <c r="E404" t="s">
        <v>750</v>
      </c>
      <c r="F404">
        <v>2.4</v>
      </c>
      <c r="G404" t="s">
        <v>185</v>
      </c>
      <c r="H404" t="s">
        <v>84</v>
      </c>
      <c r="I404" t="s">
        <v>85</v>
      </c>
      <c r="J404" t="s">
        <v>751</v>
      </c>
      <c r="K404" t="s">
        <v>29</v>
      </c>
      <c r="L404" t="s">
        <v>34</v>
      </c>
      <c r="M404" t="s">
        <v>482</v>
      </c>
      <c r="N404" s="7">
        <v>565.9863714339715</v>
      </c>
      <c r="O404" s="7">
        <v>69.022728223655065</v>
      </c>
      <c r="P404" s="7">
        <v>3</v>
      </c>
      <c r="Q404" s="7">
        <v>448.64773345375789</v>
      </c>
      <c r="R404" s="7">
        <v>69.022728223655065</v>
      </c>
      <c r="S404" s="7">
        <v>3</v>
      </c>
      <c r="T404" s="7">
        <f t="shared" si="36"/>
        <v>119.55087216038889</v>
      </c>
      <c r="U404" s="7">
        <f t="shared" si="37"/>
        <v>119.55087216038889</v>
      </c>
      <c r="V404" s="7">
        <f t="shared" si="34"/>
        <v>-0.23233197736861597</v>
      </c>
      <c r="W404" s="7">
        <f t="shared" si="35"/>
        <v>3.8540738993766033E-2</v>
      </c>
      <c r="X404" t="s">
        <v>752</v>
      </c>
      <c r="Y404" t="s">
        <v>753</v>
      </c>
      <c r="Z404" t="s">
        <v>515</v>
      </c>
      <c r="AA404" t="s">
        <v>810</v>
      </c>
      <c r="AB404" t="s">
        <v>92</v>
      </c>
    </row>
    <row r="405" spans="1:28">
      <c r="A405" t="s">
        <v>747</v>
      </c>
      <c r="B405" t="s">
        <v>811</v>
      </c>
      <c r="C405" t="s">
        <v>81</v>
      </c>
      <c r="D405" t="s">
        <v>749</v>
      </c>
      <c r="E405" t="s">
        <v>94</v>
      </c>
      <c r="F405">
        <v>4.5999999999999996</v>
      </c>
      <c r="G405" t="s">
        <v>185</v>
      </c>
      <c r="H405" t="s">
        <v>84</v>
      </c>
      <c r="I405" t="s">
        <v>85</v>
      </c>
      <c r="J405" t="s">
        <v>751</v>
      </c>
      <c r="K405" t="s">
        <v>29</v>
      </c>
      <c r="L405" t="s">
        <v>34</v>
      </c>
      <c r="M405" t="s">
        <v>482</v>
      </c>
      <c r="N405" s="7">
        <v>565.9863714339715</v>
      </c>
      <c r="O405" s="7">
        <v>69.022728223655065</v>
      </c>
      <c r="P405" s="7">
        <v>3</v>
      </c>
      <c r="Q405" s="7">
        <v>476.25682474321991</v>
      </c>
      <c r="R405" s="7">
        <v>69.022728223655065</v>
      </c>
      <c r="S405" s="7">
        <v>3</v>
      </c>
      <c r="T405" s="7">
        <f t="shared" si="36"/>
        <v>119.55087216038889</v>
      </c>
      <c r="U405" s="7">
        <f t="shared" si="37"/>
        <v>119.55087216038889</v>
      </c>
      <c r="V405" s="7">
        <f t="shared" si="34"/>
        <v>-0.17261274266699378</v>
      </c>
      <c r="W405" s="7">
        <f t="shared" si="35"/>
        <v>3.5876090698755664E-2</v>
      </c>
      <c r="X405" t="s">
        <v>752</v>
      </c>
      <c r="Y405" t="s">
        <v>753</v>
      </c>
      <c r="Z405" t="s">
        <v>515</v>
      </c>
      <c r="AA405" t="s">
        <v>810</v>
      </c>
      <c r="AB405" t="s">
        <v>92</v>
      </c>
    </row>
    <row r="406" spans="1:28">
      <c r="A406" t="s">
        <v>747</v>
      </c>
      <c r="B406" t="s">
        <v>812</v>
      </c>
      <c r="C406" t="s">
        <v>81</v>
      </c>
      <c r="D406" t="s">
        <v>749</v>
      </c>
      <c r="E406" t="s">
        <v>560</v>
      </c>
      <c r="F406">
        <v>3.6</v>
      </c>
      <c r="G406" t="s">
        <v>185</v>
      </c>
      <c r="H406" t="s">
        <v>84</v>
      </c>
      <c r="I406" t="s">
        <v>85</v>
      </c>
      <c r="J406" t="s">
        <v>751</v>
      </c>
      <c r="K406" t="s">
        <v>29</v>
      </c>
      <c r="L406" t="s">
        <v>34</v>
      </c>
      <c r="M406" t="s">
        <v>482</v>
      </c>
      <c r="N406" s="7">
        <v>565.9863714339715</v>
      </c>
      <c r="O406" s="7">
        <v>69.022728223655065</v>
      </c>
      <c r="P406" s="7">
        <v>3</v>
      </c>
      <c r="Q406" s="7">
        <v>448.64773345375789</v>
      </c>
      <c r="R406" s="7">
        <v>69.022728223655065</v>
      </c>
      <c r="S406" s="7">
        <v>3</v>
      </c>
      <c r="T406" s="7">
        <f t="shared" si="36"/>
        <v>119.55087216038889</v>
      </c>
      <c r="U406" s="7">
        <f t="shared" si="37"/>
        <v>119.55087216038889</v>
      </c>
      <c r="V406" s="7">
        <f t="shared" si="34"/>
        <v>-0.23233197736861597</v>
      </c>
      <c r="W406" s="7">
        <f t="shared" si="35"/>
        <v>3.8540738993766033E-2</v>
      </c>
      <c r="X406" t="s">
        <v>752</v>
      </c>
      <c r="Y406" t="s">
        <v>753</v>
      </c>
      <c r="Z406" t="s">
        <v>515</v>
      </c>
      <c r="AA406" t="s">
        <v>810</v>
      </c>
      <c r="AB406" t="s">
        <v>92</v>
      </c>
    </row>
    <row r="407" spans="1:28">
      <c r="A407" t="s">
        <v>813</v>
      </c>
      <c r="B407" t="s">
        <v>814</v>
      </c>
      <c r="C407" t="s">
        <v>815</v>
      </c>
      <c r="E407" t="s">
        <v>96</v>
      </c>
      <c r="F407">
        <v>10</v>
      </c>
      <c r="G407" t="s">
        <v>185</v>
      </c>
      <c r="H407" t="s">
        <v>816</v>
      </c>
      <c r="I407" t="s">
        <v>377</v>
      </c>
      <c r="J407" t="s">
        <v>817</v>
      </c>
      <c r="K407" t="s">
        <v>29</v>
      </c>
      <c r="L407" t="s">
        <v>489</v>
      </c>
      <c r="M407" t="s">
        <v>818</v>
      </c>
      <c r="N407" s="7">
        <v>1159.58</v>
      </c>
      <c r="O407" s="7"/>
      <c r="P407" s="7">
        <v>3</v>
      </c>
      <c r="Q407" s="7">
        <v>446.78</v>
      </c>
      <c r="R407" s="7"/>
      <c r="S407" s="7">
        <v>3</v>
      </c>
      <c r="T407" s="7">
        <v>4.12</v>
      </c>
      <c r="U407" s="7">
        <v>7.01</v>
      </c>
      <c r="V407" s="7">
        <f t="shared" si="34"/>
        <v>-0.95374684613632155</v>
      </c>
      <c r="W407" s="7">
        <f t="shared" si="35"/>
        <v>8.6267171758536097E-5</v>
      </c>
      <c r="X407" t="s">
        <v>819</v>
      </c>
      <c r="Y407" t="s">
        <v>380</v>
      </c>
      <c r="Z407" t="s">
        <v>381</v>
      </c>
      <c r="AA407" t="s">
        <v>820</v>
      </c>
      <c r="AB407" t="s">
        <v>92</v>
      </c>
    </row>
    <row r="408" spans="1:28">
      <c r="A408" t="s">
        <v>813</v>
      </c>
      <c r="B408" t="s">
        <v>821</v>
      </c>
      <c r="C408" t="s">
        <v>815</v>
      </c>
      <c r="E408" t="s">
        <v>96</v>
      </c>
      <c r="F408">
        <v>20</v>
      </c>
      <c r="G408" t="s">
        <v>185</v>
      </c>
      <c r="H408" t="s">
        <v>816</v>
      </c>
      <c r="I408" t="s">
        <v>377</v>
      </c>
      <c r="J408" t="s">
        <v>817</v>
      </c>
      <c r="K408" t="s">
        <v>29</v>
      </c>
      <c r="L408" t="s">
        <v>489</v>
      </c>
      <c r="M408" t="s">
        <v>818</v>
      </c>
      <c r="N408" s="7">
        <v>1159.58</v>
      </c>
      <c r="O408" s="7"/>
      <c r="P408" s="7">
        <v>3</v>
      </c>
      <c r="Q408" s="7">
        <v>807.46</v>
      </c>
      <c r="R408" s="7"/>
      <c r="S408" s="7">
        <v>3</v>
      </c>
      <c r="T408" s="7">
        <v>4.12</v>
      </c>
      <c r="U408" s="7">
        <v>15.24</v>
      </c>
      <c r="V408" s="7">
        <f t="shared" si="34"/>
        <v>-0.36191963130593124</v>
      </c>
      <c r="W408" s="7">
        <f t="shared" si="35"/>
        <v>1.2295058608680681E-4</v>
      </c>
      <c r="X408" t="s">
        <v>819</v>
      </c>
      <c r="Y408" t="s">
        <v>380</v>
      </c>
      <c r="Z408" t="s">
        <v>381</v>
      </c>
      <c r="AA408" t="s">
        <v>820</v>
      </c>
      <c r="AB408" t="s">
        <v>92</v>
      </c>
    </row>
    <row r="409" spans="1:28">
      <c r="A409" t="s">
        <v>813</v>
      </c>
      <c r="B409" t="s">
        <v>822</v>
      </c>
      <c r="C409" t="s">
        <v>815</v>
      </c>
      <c r="E409" t="s">
        <v>96</v>
      </c>
      <c r="F409">
        <v>10</v>
      </c>
      <c r="G409" t="s">
        <v>185</v>
      </c>
      <c r="H409" t="s">
        <v>816</v>
      </c>
      <c r="I409" t="s">
        <v>377</v>
      </c>
      <c r="J409" t="s">
        <v>817</v>
      </c>
      <c r="K409" t="s">
        <v>41</v>
      </c>
      <c r="L409" t="s">
        <v>489</v>
      </c>
      <c r="M409" t="s">
        <v>818</v>
      </c>
      <c r="N409" s="7">
        <v>54.58</v>
      </c>
      <c r="O409" s="7"/>
      <c r="P409" s="7">
        <v>3</v>
      </c>
      <c r="Q409" s="7">
        <v>110.82</v>
      </c>
      <c r="R409" s="7"/>
      <c r="S409" s="7">
        <v>3</v>
      </c>
      <c r="T409" s="7">
        <v>0.63</v>
      </c>
      <c r="U409" s="7">
        <v>0.06</v>
      </c>
      <c r="V409" s="7">
        <f t="shared" si="34"/>
        <v>0.70823974815901114</v>
      </c>
      <c r="W409" s="7">
        <f t="shared" si="35"/>
        <v>4.4508939300749656E-5</v>
      </c>
      <c r="X409" t="s">
        <v>819</v>
      </c>
      <c r="Y409" t="s">
        <v>380</v>
      </c>
      <c r="Z409" t="s">
        <v>381</v>
      </c>
      <c r="AA409" t="s">
        <v>823</v>
      </c>
      <c r="AB409" t="s">
        <v>92</v>
      </c>
    </row>
    <row r="410" spans="1:28">
      <c r="A410" t="s">
        <v>813</v>
      </c>
      <c r="B410" t="s">
        <v>824</v>
      </c>
      <c r="C410" t="s">
        <v>815</v>
      </c>
      <c r="E410" t="s">
        <v>96</v>
      </c>
      <c r="F410">
        <v>20</v>
      </c>
      <c r="G410" t="s">
        <v>185</v>
      </c>
      <c r="H410" t="s">
        <v>816</v>
      </c>
      <c r="I410" t="s">
        <v>377</v>
      </c>
      <c r="J410" t="s">
        <v>817</v>
      </c>
      <c r="K410" t="s">
        <v>41</v>
      </c>
      <c r="L410" t="s">
        <v>489</v>
      </c>
      <c r="M410" t="s">
        <v>818</v>
      </c>
      <c r="N410" s="7">
        <v>54.58</v>
      </c>
      <c r="O410" s="7"/>
      <c r="P410" s="7">
        <v>3</v>
      </c>
      <c r="Q410" s="7">
        <v>95.86</v>
      </c>
      <c r="R410" s="7"/>
      <c r="S410" s="7">
        <v>3</v>
      </c>
      <c r="T410" s="7">
        <v>0.63</v>
      </c>
      <c r="U410" s="7">
        <v>1.1499999999999999</v>
      </c>
      <c r="V410" s="7">
        <f t="shared" si="34"/>
        <v>0.56322127845129288</v>
      </c>
      <c r="W410" s="7">
        <f t="shared" si="35"/>
        <v>9.2384526066253671E-5</v>
      </c>
      <c r="X410" t="s">
        <v>819</v>
      </c>
      <c r="Y410" t="s">
        <v>380</v>
      </c>
      <c r="Z410" t="s">
        <v>381</v>
      </c>
      <c r="AA410" t="s">
        <v>823</v>
      </c>
      <c r="AB410" t="s">
        <v>92</v>
      </c>
    </row>
    <row r="411" spans="1:28">
      <c r="A411" t="s">
        <v>813</v>
      </c>
      <c r="B411" t="s">
        <v>825</v>
      </c>
      <c r="C411" t="s">
        <v>815</v>
      </c>
      <c r="E411" t="s">
        <v>96</v>
      </c>
      <c r="F411">
        <v>10</v>
      </c>
      <c r="G411" t="s">
        <v>185</v>
      </c>
      <c r="H411" t="s">
        <v>816</v>
      </c>
      <c r="I411" t="s">
        <v>377</v>
      </c>
      <c r="J411" t="s">
        <v>817</v>
      </c>
      <c r="K411" t="s">
        <v>29</v>
      </c>
      <c r="L411" t="s">
        <v>503</v>
      </c>
      <c r="M411" t="s">
        <v>818</v>
      </c>
      <c r="N411" s="7">
        <v>135.85</v>
      </c>
      <c r="O411" s="7"/>
      <c r="P411" s="7">
        <v>3</v>
      </c>
      <c r="Q411" s="7">
        <v>87.46</v>
      </c>
      <c r="R411" s="7"/>
      <c r="S411" s="7">
        <v>3</v>
      </c>
      <c r="T411" s="7">
        <v>0.44</v>
      </c>
      <c r="U411" s="7">
        <v>5.12</v>
      </c>
      <c r="V411" s="7">
        <f t="shared" si="34"/>
        <v>-0.44036978988758224</v>
      </c>
      <c r="W411" s="7">
        <f t="shared" si="35"/>
        <v>1.1458481595743601E-3</v>
      </c>
      <c r="X411" t="s">
        <v>819</v>
      </c>
      <c r="Y411" t="s">
        <v>380</v>
      </c>
      <c r="Z411" t="s">
        <v>381</v>
      </c>
      <c r="AA411" t="s">
        <v>826</v>
      </c>
      <c r="AB411" t="s">
        <v>92</v>
      </c>
    </row>
    <row r="412" spans="1:28">
      <c r="A412" t="s">
        <v>813</v>
      </c>
      <c r="B412" t="s">
        <v>827</v>
      </c>
      <c r="C412" t="s">
        <v>815</v>
      </c>
      <c r="E412" t="s">
        <v>96</v>
      </c>
      <c r="F412">
        <v>20</v>
      </c>
      <c r="G412" t="s">
        <v>185</v>
      </c>
      <c r="H412" t="s">
        <v>816</v>
      </c>
      <c r="I412" t="s">
        <v>377</v>
      </c>
      <c r="J412" t="s">
        <v>817</v>
      </c>
      <c r="K412" t="s">
        <v>29</v>
      </c>
      <c r="L412" t="s">
        <v>503</v>
      </c>
      <c r="M412" t="s">
        <v>818</v>
      </c>
      <c r="N412" s="7">
        <v>135.85</v>
      </c>
      <c r="O412" s="7"/>
      <c r="P412" s="7">
        <v>3</v>
      </c>
      <c r="Q412" s="7">
        <v>129.35</v>
      </c>
      <c r="R412" s="7"/>
      <c r="S412" s="7">
        <v>3</v>
      </c>
      <c r="T412" s="7">
        <v>0.44</v>
      </c>
      <c r="U412" s="7">
        <v>0.54</v>
      </c>
      <c r="V412" s="7">
        <f t="shared" si="34"/>
        <v>-4.902942724031864E-2</v>
      </c>
      <c r="W412" s="7">
        <f t="shared" si="35"/>
        <v>9.3061801829646251E-6</v>
      </c>
      <c r="X412" t="s">
        <v>819</v>
      </c>
      <c r="Y412" t="s">
        <v>380</v>
      </c>
      <c r="Z412" t="s">
        <v>381</v>
      </c>
      <c r="AA412" t="s">
        <v>826</v>
      </c>
      <c r="AB412" t="s">
        <v>92</v>
      </c>
    </row>
    <row r="413" spans="1:28">
      <c r="A413" t="s">
        <v>813</v>
      </c>
      <c r="B413" t="s">
        <v>828</v>
      </c>
      <c r="C413" t="s">
        <v>815</v>
      </c>
      <c r="E413" t="s">
        <v>96</v>
      </c>
      <c r="F413">
        <v>10</v>
      </c>
      <c r="G413" t="s">
        <v>185</v>
      </c>
      <c r="H413" t="s">
        <v>816</v>
      </c>
      <c r="I413" t="s">
        <v>377</v>
      </c>
      <c r="J413" t="s">
        <v>817</v>
      </c>
      <c r="K413" t="s">
        <v>41</v>
      </c>
      <c r="L413" t="s">
        <v>503</v>
      </c>
      <c r="M413" t="s">
        <v>818</v>
      </c>
      <c r="N413" s="7">
        <v>147.91</v>
      </c>
      <c r="O413" s="7"/>
      <c r="P413" s="7">
        <v>3</v>
      </c>
      <c r="Q413" s="7">
        <v>202.33</v>
      </c>
      <c r="R413" s="7"/>
      <c r="S413" s="7">
        <v>3</v>
      </c>
      <c r="T413" s="7">
        <v>0.09</v>
      </c>
      <c r="U413" s="7">
        <v>3.99</v>
      </c>
      <c r="V413" s="7">
        <f t="shared" si="34"/>
        <v>0.31329604710782472</v>
      </c>
      <c r="W413" s="7">
        <f t="shared" si="35"/>
        <v>1.297529533278809E-4</v>
      </c>
      <c r="X413" t="s">
        <v>819</v>
      </c>
      <c r="Y413" t="s">
        <v>380</v>
      </c>
      <c r="Z413" t="s">
        <v>381</v>
      </c>
      <c r="AA413" t="s">
        <v>829</v>
      </c>
      <c r="AB413" t="s">
        <v>92</v>
      </c>
    </row>
    <row r="414" spans="1:28">
      <c r="A414" t="s">
        <v>813</v>
      </c>
      <c r="B414" t="s">
        <v>830</v>
      </c>
      <c r="C414" t="s">
        <v>815</v>
      </c>
      <c r="E414" t="s">
        <v>96</v>
      </c>
      <c r="F414">
        <v>20</v>
      </c>
      <c r="G414" t="s">
        <v>185</v>
      </c>
      <c r="H414" t="s">
        <v>816</v>
      </c>
      <c r="I414" t="s">
        <v>377</v>
      </c>
      <c r="J414" t="s">
        <v>817</v>
      </c>
      <c r="K414" t="s">
        <v>41</v>
      </c>
      <c r="L414" t="s">
        <v>503</v>
      </c>
      <c r="M414" t="s">
        <v>818</v>
      </c>
      <c r="N414" s="7">
        <v>147.91</v>
      </c>
      <c r="O414" s="7"/>
      <c r="P414" s="7">
        <v>3</v>
      </c>
      <c r="Q414" s="7">
        <v>202.19</v>
      </c>
      <c r="R414" s="7"/>
      <c r="S414" s="7">
        <v>3</v>
      </c>
      <c r="T414" s="7">
        <v>0.09</v>
      </c>
      <c r="U414" s="7">
        <v>0.23</v>
      </c>
      <c r="V414" s="7">
        <f t="shared" si="34"/>
        <v>0.31260386869593082</v>
      </c>
      <c r="W414" s="7">
        <f t="shared" si="35"/>
        <v>5.5475058152096333E-7</v>
      </c>
      <c r="X414" t="s">
        <v>819</v>
      </c>
      <c r="Y414" t="s">
        <v>380</v>
      </c>
      <c r="Z414" t="s">
        <v>381</v>
      </c>
      <c r="AA414" t="s">
        <v>829</v>
      </c>
      <c r="AB414" t="s">
        <v>92</v>
      </c>
    </row>
    <row r="415" spans="1:28">
      <c r="A415" t="s">
        <v>831</v>
      </c>
      <c r="B415" t="s">
        <v>832</v>
      </c>
      <c r="C415" t="s">
        <v>655</v>
      </c>
      <c r="D415" t="s">
        <v>833</v>
      </c>
      <c r="E415" t="s">
        <v>96</v>
      </c>
      <c r="F415">
        <v>80</v>
      </c>
      <c r="G415" t="s">
        <v>185</v>
      </c>
      <c r="H415" t="s">
        <v>84</v>
      </c>
      <c r="I415" t="s">
        <v>377</v>
      </c>
      <c r="J415" t="s">
        <v>834</v>
      </c>
      <c r="K415" t="s">
        <v>41</v>
      </c>
      <c r="L415" t="s">
        <v>30</v>
      </c>
      <c r="M415" t="s">
        <v>188</v>
      </c>
      <c r="N415" s="7">
        <v>3</v>
      </c>
      <c r="O415" s="7"/>
      <c r="P415" s="7">
        <v>4</v>
      </c>
      <c r="Q415" s="7">
        <v>4.7</v>
      </c>
      <c r="R415" s="7"/>
      <c r="S415" s="7">
        <v>4</v>
      </c>
      <c r="T415" s="7">
        <v>8.3677397301471182E-2</v>
      </c>
      <c r="U415" s="7">
        <v>8.3677397301471182E-2</v>
      </c>
      <c r="V415" s="7">
        <f t="shared" si="34"/>
        <v>0.44895022004790319</v>
      </c>
      <c r="W415" s="7">
        <f t="shared" si="35"/>
        <v>2.7374035889457179E-4</v>
      </c>
      <c r="X415" t="s">
        <v>835</v>
      </c>
      <c r="Y415" t="s">
        <v>836</v>
      </c>
      <c r="Z415" t="s">
        <v>837</v>
      </c>
      <c r="AA415" t="s">
        <v>838</v>
      </c>
      <c r="AB415" t="s">
        <v>92</v>
      </c>
    </row>
    <row r="416" spans="1:28">
      <c r="A416" t="s">
        <v>831</v>
      </c>
      <c r="B416" t="s">
        <v>839</v>
      </c>
      <c r="C416" t="s">
        <v>655</v>
      </c>
      <c r="D416" t="s">
        <v>840</v>
      </c>
      <c r="E416" t="s">
        <v>96</v>
      </c>
      <c r="F416">
        <v>80</v>
      </c>
      <c r="G416" t="s">
        <v>185</v>
      </c>
      <c r="H416" t="s">
        <v>84</v>
      </c>
      <c r="I416" t="s">
        <v>377</v>
      </c>
      <c r="J416" t="s">
        <v>834</v>
      </c>
      <c r="K416" t="s">
        <v>41</v>
      </c>
      <c r="L416" t="s">
        <v>30</v>
      </c>
      <c r="M416" t="s">
        <v>188</v>
      </c>
      <c r="N416" s="7">
        <v>2.2999999999999998</v>
      </c>
      <c r="O416" s="7"/>
      <c r="P416" s="7">
        <v>4</v>
      </c>
      <c r="Q416" s="7">
        <v>4</v>
      </c>
      <c r="R416" s="7"/>
      <c r="S416" s="7">
        <v>4</v>
      </c>
      <c r="T416" s="7">
        <v>8.3677397301471182E-2</v>
      </c>
      <c r="U416" s="7">
        <v>8.3677397301471182E-2</v>
      </c>
      <c r="V416" s="7">
        <f t="shared" si="34"/>
        <v>0.55338523818478669</v>
      </c>
      <c r="W416" s="7">
        <f t="shared" si="35"/>
        <v>4.4030776281801277E-4</v>
      </c>
      <c r="X416" t="s">
        <v>835</v>
      </c>
      <c r="Y416" t="s">
        <v>836</v>
      </c>
      <c r="Z416" t="s">
        <v>837</v>
      </c>
      <c r="AA416" t="s">
        <v>841</v>
      </c>
      <c r="AB416" t="s">
        <v>92</v>
      </c>
    </row>
    <row r="417" spans="1:28">
      <c r="A417" t="s">
        <v>831</v>
      </c>
      <c r="B417" t="s">
        <v>842</v>
      </c>
      <c r="C417" t="s">
        <v>655</v>
      </c>
      <c r="D417" t="s">
        <v>843</v>
      </c>
      <c r="E417" t="s">
        <v>96</v>
      </c>
      <c r="F417">
        <v>80</v>
      </c>
      <c r="G417" t="s">
        <v>185</v>
      </c>
      <c r="H417" t="s">
        <v>84</v>
      </c>
      <c r="I417" t="s">
        <v>377</v>
      </c>
      <c r="J417" t="s">
        <v>834</v>
      </c>
      <c r="K417" t="s">
        <v>41</v>
      </c>
      <c r="L417" t="s">
        <v>30</v>
      </c>
      <c r="M417" t="s">
        <v>188</v>
      </c>
      <c r="N417" s="7">
        <v>2.7</v>
      </c>
      <c r="O417" s="7"/>
      <c r="P417" s="7">
        <v>4</v>
      </c>
      <c r="Q417" s="7">
        <v>3.3</v>
      </c>
      <c r="R417" s="7"/>
      <c r="S417" s="7">
        <v>4</v>
      </c>
      <c r="T417" s="7">
        <v>8.3677397301471182E-2</v>
      </c>
      <c r="U417" s="7">
        <v>8.3677397301471182E-2</v>
      </c>
      <c r="V417" s="7">
        <f t="shared" si="34"/>
        <v>0.20067069546215105</v>
      </c>
      <c r="W417" s="7">
        <f t="shared" si="35"/>
        <v>4.0086192380254501E-4</v>
      </c>
      <c r="X417" t="s">
        <v>835</v>
      </c>
      <c r="Y417" t="s">
        <v>836</v>
      </c>
      <c r="Z417" t="s">
        <v>837</v>
      </c>
      <c r="AA417" t="s">
        <v>844</v>
      </c>
      <c r="AB417" t="s">
        <v>92</v>
      </c>
    </row>
    <row r="418" spans="1:28">
      <c r="A418" t="s">
        <v>831</v>
      </c>
      <c r="B418" t="s">
        <v>845</v>
      </c>
      <c r="C418" t="s">
        <v>655</v>
      </c>
      <c r="D418" t="s">
        <v>833</v>
      </c>
      <c r="E418" t="s">
        <v>96</v>
      </c>
      <c r="F418">
        <v>80</v>
      </c>
      <c r="G418" t="s">
        <v>185</v>
      </c>
      <c r="H418" t="s">
        <v>84</v>
      </c>
      <c r="I418" t="s">
        <v>377</v>
      </c>
      <c r="J418" t="s">
        <v>834</v>
      </c>
      <c r="K418" t="s">
        <v>41</v>
      </c>
      <c r="L418" t="s">
        <v>337</v>
      </c>
      <c r="M418" t="s">
        <v>188</v>
      </c>
      <c r="N418" s="7">
        <v>6.7</v>
      </c>
      <c r="O418" s="7"/>
      <c r="P418" s="7">
        <v>4</v>
      </c>
      <c r="Q418" s="7">
        <v>7.2</v>
      </c>
      <c r="R418" s="7"/>
      <c r="S418" s="7">
        <v>4</v>
      </c>
      <c r="T418" s="7">
        <v>0.10459674662683896</v>
      </c>
      <c r="U418" s="7">
        <v>0.10459674662683896</v>
      </c>
      <c r="V418" s="7">
        <f t="shared" si="34"/>
        <v>7.1973499625089241E-2</v>
      </c>
      <c r="W418" s="7">
        <f t="shared" si="35"/>
        <v>1.1369017922130008E-4</v>
      </c>
      <c r="X418" t="s">
        <v>835</v>
      </c>
      <c r="Y418" t="s">
        <v>836</v>
      </c>
      <c r="Z418" t="s">
        <v>837</v>
      </c>
      <c r="AA418" t="s">
        <v>846</v>
      </c>
      <c r="AB418" t="s">
        <v>92</v>
      </c>
    </row>
    <row r="419" spans="1:28">
      <c r="A419" t="s">
        <v>831</v>
      </c>
      <c r="B419" t="s">
        <v>847</v>
      </c>
      <c r="C419" t="s">
        <v>655</v>
      </c>
      <c r="D419" t="s">
        <v>840</v>
      </c>
      <c r="E419" t="s">
        <v>96</v>
      </c>
      <c r="F419">
        <v>80</v>
      </c>
      <c r="G419" t="s">
        <v>185</v>
      </c>
      <c r="H419" t="s">
        <v>84</v>
      </c>
      <c r="I419" t="s">
        <v>377</v>
      </c>
      <c r="J419" t="s">
        <v>834</v>
      </c>
      <c r="K419" t="s">
        <v>41</v>
      </c>
      <c r="L419" t="s">
        <v>337</v>
      </c>
      <c r="M419" t="s">
        <v>188</v>
      </c>
      <c r="N419" s="7">
        <v>6.7</v>
      </c>
      <c r="O419" s="7"/>
      <c r="P419" s="7">
        <v>4</v>
      </c>
      <c r="Q419" s="7">
        <v>6.9</v>
      </c>
      <c r="R419" s="7"/>
      <c r="S419" s="7">
        <v>4</v>
      </c>
      <c r="T419" s="7">
        <v>0.10459674662683896</v>
      </c>
      <c r="U419" s="7">
        <v>0.10459674662683896</v>
      </c>
      <c r="V419" s="7">
        <f t="shared" si="34"/>
        <v>2.9413885206293407E-2</v>
      </c>
      <c r="W419" s="7">
        <f t="shared" si="35"/>
        <v>1.1837781169988039E-4</v>
      </c>
      <c r="X419" t="s">
        <v>835</v>
      </c>
      <c r="Y419" t="s">
        <v>836</v>
      </c>
      <c r="Z419" t="s">
        <v>837</v>
      </c>
      <c r="AA419" t="s">
        <v>848</v>
      </c>
      <c r="AB419" t="s">
        <v>92</v>
      </c>
    </row>
    <row r="420" spans="1:28">
      <c r="A420" t="s">
        <v>831</v>
      </c>
      <c r="B420" t="s">
        <v>849</v>
      </c>
      <c r="C420" t="s">
        <v>655</v>
      </c>
      <c r="D420" t="s">
        <v>843</v>
      </c>
      <c r="E420" t="s">
        <v>96</v>
      </c>
      <c r="F420">
        <v>80</v>
      </c>
      <c r="G420" t="s">
        <v>185</v>
      </c>
      <c r="H420" t="s">
        <v>84</v>
      </c>
      <c r="I420" t="s">
        <v>377</v>
      </c>
      <c r="J420" t="s">
        <v>834</v>
      </c>
      <c r="K420" t="s">
        <v>41</v>
      </c>
      <c r="L420" t="s">
        <v>337</v>
      </c>
      <c r="M420" t="s">
        <v>188</v>
      </c>
      <c r="N420" s="7">
        <v>6.8</v>
      </c>
      <c r="O420" s="7"/>
      <c r="P420" s="7">
        <v>4</v>
      </c>
      <c r="Q420" s="7">
        <v>6.7</v>
      </c>
      <c r="R420" s="7"/>
      <c r="S420" s="7">
        <v>4</v>
      </c>
      <c r="T420" s="7">
        <v>0.10459674662683896</v>
      </c>
      <c r="U420" s="7">
        <v>0.10459674662683896</v>
      </c>
      <c r="V420" s="7">
        <f t="shared" si="34"/>
        <v>-1.4815085785140587E-2</v>
      </c>
      <c r="W420" s="7">
        <f t="shared" si="35"/>
        <v>1.2007989543575304E-4</v>
      </c>
      <c r="X420" t="s">
        <v>835</v>
      </c>
      <c r="Y420" t="s">
        <v>836</v>
      </c>
      <c r="Z420" t="s">
        <v>837</v>
      </c>
      <c r="AA420" t="s">
        <v>850</v>
      </c>
      <c r="AB420" t="s">
        <v>92</v>
      </c>
    </row>
    <row r="421" spans="1:28">
      <c r="A421" t="s">
        <v>831</v>
      </c>
      <c r="B421" t="s">
        <v>851</v>
      </c>
      <c r="C421" t="s">
        <v>655</v>
      </c>
      <c r="D421" t="s">
        <v>833</v>
      </c>
      <c r="E421" t="s">
        <v>96</v>
      </c>
      <c r="F421">
        <v>80</v>
      </c>
      <c r="G421" t="s">
        <v>185</v>
      </c>
      <c r="H421" t="s">
        <v>84</v>
      </c>
      <c r="I421" t="s">
        <v>377</v>
      </c>
      <c r="J421" t="s">
        <v>834</v>
      </c>
      <c r="K421" t="s">
        <v>41</v>
      </c>
      <c r="L421" t="s">
        <v>40</v>
      </c>
      <c r="M421" t="s">
        <v>188</v>
      </c>
      <c r="N421" s="7">
        <v>58</v>
      </c>
      <c r="O421" s="7"/>
      <c r="P421" s="7">
        <v>4</v>
      </c>
      <c r="Q421" s="7">
        <v>61</v>
      </c>
      <c r="R421" s="7"/>
      <c r="S421" s="7">
        <v>4</v>
      </c>
      <c r="T421" s="7">
        <v>9.0650513743260455E-2</v>
      </c>
      <c r="U421" s="7">
        <v>9.0650513743260455E-2</v>
      </c>
      <c r="V421" s="7">
        <f t="shared" si="34"/>
        <v>5.0430853626891904E-2</v>
      </c>
      <c r="W421" s="7">
        <f t="shared" si="35"/>
        <v>1.1627992568407399E-6</v>
      </c>
      <c r="X421" t="s">
        <v>835</v>
      </c>
      <c r="Y421" t="s">
        <v>836</v>
      </c>
      <c r="Z421" t="s">
        <v>837</v>
      </c>
      <c r="AA421" t="s">
        <v>852</v>
      </c>
      <c r="AB421" t="s">
        <v>92</v>
      </c>
    </row>
    <row r="422" spans="1:28">
      <c r="A422" t="s">
        <v>831</v>
      </c>
      <c r="B422" t="s">
        <v>853</v>
      </c>
      <c r="C422" t="s">
        <v>655</v>
      </c>
      <c r="D422" t="s">
        <v>840</v>
      </c>
      <c r="E422" t="s">
        <v>96</v>
      </c>
      <c r="F422">
        <v>80</v>
      </c>
      <c r="G422" t="s">
        <v>185</v>
      </c>
      <c r="H422" t="s">
        <v>84</v>
      </c>
      <c r="I422" t="s">
        <v>377</v>
      </c>
      <c r="J422" t="s">
        <v>834</v>
      </c>
      <c r="K422" t="s">
        <v>41</v>
      </c>
      <c r="L422" t="s">
        <v>40</v>
      </c>
      <c r="M422" t="s">
        <v>188</v>
      </c>
      <c r="N422" s="7">
        <v>48</v>
      </c>
      <c r="O422" s="7"/>
      <c r="P422" s="7">
        <v>4</v>
      </c>
      <c r="Q422" s="7">
        <v>58</v>
      </c>
      <c r="R422" s="7"/>
      <c r="S422" s="7">
        <v>4</v>
      </c>
      <c r="T422" s="7">
        <v>9.0650513743260455E-2</v>
      </c>
      <c r="U422" s="7">
        <v>9.0650513743260455E-2</v>
      </c>
      <c r="V422" s="7">
        <f t="shared" si="34"/>
        <v>0.18924199963852834</v>
      </c>
      <c r="W422" s="7">
        <f t="shared" si="35"/>
        <v>1.5023527898279143E-6</v>
      </c>
      <c r="X422" t="s">
        <v>835</v>
      </c>
      <c r="Y422" t="s">
        <v>836</v>
      </c>
      <c r="Z422" t="s">
        <v>837</v>
      </c>
      <c r="AA422" t="s">
        <v>854</v>
      </c>
      <c r="AB422" t="s">
        <v>92</v>
      </c>
    </row>
    <row r="423" spans="1:28">
      <c r="A423" t="s">
        <v>831</v>
      </c>
      <c r="B423" t="s">
        <v>855</v>
      </c>
      <c r="C423" t="s">
        <v>655</v>
      </c>
      <c r="D423" t="s">
        <v>843</v>
      </c>
      <c r="E423" t="s">
        <v>96</v>
      </c>
      <c r="F423">
        <v>80</v>
      </c>
      <c r="G423" t="s">
        <v>185</v>
      </c>
      <c r="H423" t="s">
        <v>84</v>
      </c>
      <c r="I423" t="s">
        <v>377</v>
      </c>
      <c r="J423" t="s">
        <v>834</v>
      </c>
      <c r="K423" t="s">
        <v>41</v>
      </c>
      <c r="L423" t="s">
        <v>40</v>
      </c>
      <c r="M423" t="s">
        <v>188</v>
      </c>
      <c r="N423" s="7">
        <v>50.7</v>
      </c>
      <c r="O423" s="7"/>
      <c r="P423" s="7">
        <v>4</v>
      </c>
      <c r="Q423" s="7">
        <v>55</v>
      </c>
      <c r="R423" s="7"/>
      <c r="S423" s="7">
        <v>4</v>
      </c>
      <c r="T423" s="7">
        <v>9.0650513743260455E-2</v>
      </c>
      <c r="U423" s="7">
        <v>9.0650513743260455E-2</v>
      </c>
      <c r="V423" s="7">
        <f t="shared" si="34"/>
        <v>8.1407274635333426E-2</v>
      </c>
      <c r="W423" s="7">
        <f t="shared" si="35"/>
        <v>1.4783503701272136E-6</v>
      </c>
      <c r="X423" t="s">
        <v>835</v>
      </c>
      <c r="Y423" t="s">
        <v>836</v>
      </c>
      <c r="Z423" t="s">
        <v>837</v>
      </c>
      <c r="AA423" t="s">
        <v>856</v>
      </c>
      <c r="AB423" t="s">
        <v>92</v>
      </c>
    </row>
    <row r="424" spans="1:28">
      <c r="A424" t="s">
        <v>831</v>
      </c>
      <c r="B424" t="s">
        <v>857</v>
      </c>
      <c r="C424" t="s">
        <v>655</v>
      </c>
      <c r="D424" t="s">
        <v>833</v>
      </c>
      <c r="E424" t="s">
        <v>96</v>
      </c>
      <c r="F424">
        <v>80</v>
      </c>
      <c r="G424" t="s">
        <v>185</v>
      </c>
      <c r="H424" t="s">
        <v>84</v>
      </c>
      <c r="I424" t="s">
        <v>377</v>
      </c>
      <c r="J424" t="s">
        <v>834</v>
      </c>
      <c r="K424" t="s">
        <v>29</v>
      </c>
      <c r="L424" t="s">
        <v>30</v>
      </c>
      <c r="M424" t="s">
        <v>188</v>
      </c>
      <c r="N424" s="7">
        <v>12</v>
      </c>
      <c r="O424" s="7"/>
      <c r="P424" s="7">
        <v>4</v>
      </c>
      <c r="Q424" s="7">
        <v>13</v>
      </c>
      <c r="R424" s="7"/>
      <c r="S424" s="7">
        <v>4</v>
      </c>
      <c r="T424" s="7">
        <v>0.11156986306862825</v>
      </c>
      <c r="U424" s="7">
        <v>0.11156986306862825</v>
      </c>
      <c r="V424" s="7">
        <f t="shared" si="34"/>
        <v>8.0042707673536356E-2</v>
      </c>
      <c r="W424" s="7">
        <f t="shared" si="35"/>
        <v>4.002477964777201E-5</v>
      </c>
      <c r="X424" t="s">
        <v>835</v>
      </c>
      <c r="Y424" t="s">
        <v>836</v>
      </c>
      <c r="Z424" t="s">
        <v>837</v>
      </c>
      <c r="AA424" t="s">
        <v>858</v>
      </c>
      <c r="AB424" t="s">
        <v>92</v>
      </c>
    </row>
    <row r="425" spans="1:28">
      <c r="A425" t="s">
        <v>831</v>
      </c>
      <c r="B425" t="s">
        <v>859</v>
      </c>
      <c r="C425" t="s">
        <v>655</v>
      </c>
      <c r="D425" t="s">
        <v>840</v>
      </c>
      <c r="E425" t="s">
        <v>96</v>
      </c>
      <c r="F425">
        <v>80</v>
      </c>
      <c r="G425" t="s">
        <v>185</v>
      </c>
      <c r="H425" t="s">
        <v>84</v>
      </c>
      <c r="I425" t="s">
        <v>377</v>
      </c>
      <c r="J425" t="s">
        <v>834</v>
      </c>
      <c r="K425" t="s">
        <v>29</v>
      </c>
      <c r="L425" t="s">
        <v>30</v>
      </c>
      <c r="M425" t="s">
        <v>188</v>
      </c>
      <c r="N425" s="7">
        <v>12.3</v>
      </c>
      <c r="O425" s="7"/>
      <c r="P425" s="7">
        <v>4</v>
      </c>
      <c r="Q425" s="7">
        <v>13.3</v>
      </c>
      <c r="R425" s="7"/>
      <c r="S425" s="7">
        <v>4</v>
      </c>
      <c r="T425" s="7">
        <v>0.11156986306862825</v>
      </c>
      <c r="U425" s="7">
        <v>0.11156986306862825</v>
      </c>
      <c r="V425" s="7">
        <f t="shared" si="34"/>
        <v>7.8164772849336261E-2</v>
      </c>
      <c r="W425" s="7">
        <f t="shared" si="35"/>
        <v>3.8162113130973724E-5</v>
      </c>
      <c r="X425" t="s">
        <v>835</v>
      </c>
      <c r="Y425" t="s">
        <v>836</v>
      </c>
      <c r="Z425" t="s">
        <v>837</v>
      </c>
      <c r="AA425" t="s">
        <v>860</v>
      </c>
      <c r="AB425" t="s">
        <v>92</v>
      </c>
    </row>
    <row r="426" spans="1:28">
      <c r="A426" t="s">
        <v>831</v>
      </c>
      <c r="B426" t="s">
        <v>861</v>
      </c>
      <c r="C426" t="s">
        <v>655</v>
      </c>
      <c r="D426" t="s">
        <v>843</v>
      </c>
      <c r="E426" t="s">
        <v>96</v>
      </c>
      <c r="F426">
        <v>80</v>
      </c>
      <c r="G426" t="s">
        <v>185</v>
      </c>
      <c r="H426" t="s">
        <v>84</v>
      </c>
      <c r="I426" t="s">
        <v>377</v>
      </c>
      <c r="J426" t="s">
        <v>834</v>
      </c>
      <c r="K426" t="s">
        <v>29</v>
      </c>
      <c r="L426" t="s">
        <v>30</v>
      </c>
      <c r="M426" t="s">
        <v>188</v>
      </c>
      <c r="N426" s="7">
        <v>12.3</v>
      </c>
      <c r="O426" s="7"/>
      <c r="P426" s="7">
        <v>4</v>
      </c>
      <c r="Q426" s="7">
        <v>14.3</v>
      </c>
      <c r="R426" s="7"/>
      <c r="S426" s="7">
        <v>4</v>
      </c>
      <c r="T426" s="7">
        <v>0.11156986306862825</v>
      </c>
      <c r="U426" s="7">
        <v>0.11156986306862825</v>
      </c>
      <c r="V426" s="7">
        <f t="shared" si="34"/>
        <v>0.15066027488748979</v>
      </c>
      <c r="W426" s="7">
        <f t="shared" si="35"/>
        <v>3.5787638499543569E-5</v>
      </c>
      <c r="X426" t="s">
        <v>835</v>
      </c>
      <c r="Y426" t="s">
        <v>836</v>
      </c>
      <c r="Z426" t="s">
        <v>837</v>
      </c>
      <c r="AA426" t="s">
        <v>862</v>
      </c>
      <c r="AB426" t="s">
        <v>92</v>
      </c>
    </row>
    <row r="427" spans="1:28">
      <c r="A427" t="s">
        <v>831</v>
      </c>
      <c r="B427" t="s">
        <v>863</v>
      </c>
      <c r="C427" t="s">
        <v>655</v>
      </c>
      <c r="D427" t="s">
        <v>833</v>
      </c>
      <c r="E427" t="s">
        <v>96</v>
      </c>
      <c r="F427">
        <v>80</v>
      </c>
      <c r="G427" t="s">
        <v>185</v>
      </c>
      <c r="H427" t="s">
        <v>84</v>
      </c>
      <c r="I427" t="s">
        <v>377</v>
      </c>
      <c r="J427" t="s">
        <v>834</v>
      </c>
      <c r="K427" t="s">
        <v>29</v>
      </c>
      <c r="L427" t="s">
        <v>337</v>
      </c>
      <c r="M427" t="s">
        <v>188</v>
      </c>
      <c r="N427" s="7">
        <v>4.5999999999999996</v>
      </c>
      <c r="O427" s="7"/>
      <c r="P427" s="7">
        <v>4</v>
      </c>
      <c r="Q427" s="7">
        <v>5</v>
      </c>
      <c r="R427" s="7"/>
      <c r="S427" s="7">
        <v>4</v>
      </c>
      <c r="T427" s="7">
        <v>8.3677397301471182E-2</v>
      </c>
      <c r="U427" s="7">
        <v>8.3677397301471182E-2</v>
      </c>
      <c r="V427" s="7">
        <f t="shared" si="34"/>
        <v>8.3381608939051208E-2</v>
      </c>
      <c r="W427" s="7">
        <f t="shared" si="35"/>
        <v>1.5274481038368788E-4</v>
      </c>
      <c r="X427" t="s">
        <v>835</v>
      </c>
      <c r="Y427" t="s">
        <v>836</v>
      </c>
      <c r="Z427" t="s">
        <v>837</v>
      </c>
      <c r="AA427" t="s">
        <v>864</v>
      </c>
      <c r="AB427" t="s">
        <v>92</v>
      </c>
    </row>
    <row r="428" spans="1:28">
      <c r="A428" t="s">
        <v>831</v>
      </c>
      <c r="B428" t="s">
        <v>865</v>
      </c>
      <c r="C428" t="s">
        <v>655</v>
      </c>
      <c r="D428" t="s">
        <v>840</v>
      </c>
      <c r="E428" t="s">
        <v>96</v>
      </c>
      <c r="F428">
        <v>80</v>
      </c>
      <c r="G428" t="s">
        <v>185</v>
      </c>
      <c r="H428" t="s">
        <v>84</v>
      </c>
      <c r="I428" t="s">
        <v>377</v>
      </c>
      <c r="J428" t="s">
        <v>834</v>
      </c>
      <c r="K428" t="s">
        <v>29</v>
      </c>
      <c r="L428" t="s">
        <v>337</v>
      </c>
      <c r="M428" t="s">
        <v>188</v>
      </c>
      <c r="N428" s="7">
        <v>4.8</v>
      </c>
      <c r="O428" s="7"/>
      <c r="P428" s="7">
        <v>4</v>
      </c>
      <c r="Q428" s="7">
        <v>5.9</v>
      </c>
      <c r="R428" s="7"/>
      <c r="S428" s="7">
        <v>4</v>
      </c>
      <c r="T428" s="7">
        <v>8.3677397301471182E-2</v>
      </c>
      <c r="U428" s="7">
        <v>8.3677397301471182E-2</v>
      </c>
      <c r="V428" s="7">
        <f t="shared" si="34"/>
        <v>0.20633643299782858</v>
      </c>
      <c r="W428" s="7">
        <f t="shared" si="35"/>
        <v>1.2626215598458555E-4</v>
      </c>
      <c r="X428" t="s">
        <v>835</v>
      </c>
      <c r="Y428" t="s">
        <v>836</v>
      </c>
      <c r="Z428" t="s">
        <v>837</v>
      </c>
      <c r="AA428" t="s">
        <v>866</v>
      </c>
      <c r="AB428" t="s">
        <v>92</v>
      </c>
    </row>
    <row r="429" spans="1:28">
      <c r="A429" t="s">
        <v>831</v>
      </c>
      <c r="B429" t="s">
        <v>867</v>
      </c>
      <c r="C429" t="s">
        <v>655</v>
      </c>
      <c r="D429" t="s">
        <v>843</v>
      </c>
      <c r="E429" t="s">
        <v>96</v>
      </c>
      <c r="F429">
        <v>80</v>
      </c>
      <c r="G429" t="s">
        <v>185</v>
      </c>
      <c r="H429" t="s">
        <v>84</v>
      </c>
      <c r="I429" t="s">
        <v>377</v>
      </c>
      <c r="J429" t="s">
        <v>834</v>
      </c>
      <c r="K429" t="s">
        <v>29</v>
      </c>
      <c r="L429" t="s">
        <v>337</v>
      </c>
      <c r="M429" t="s">
        <v>188</v>
      </c>
      <c r="N429" s="7">
        <v>5.0999999999999996</v>
      </c>
      <c r="O429" s="7"/>
      <c r="P429" s="7">
        <v>4</v>
      </c>
      <c r="Q429" s="7">
        <v>5.2</v>
      </c>
      <c r="R429" s="7"/>
      <c r="S429" s="7">
        <v>4</v>
      </c>
      <c r="T429" s="7">
        <v>8.3677397301471182E-2</v>
      </c>
      <c r="U429" s="7">
        <v>8.3677397301471182E-2</v>
      </c>
      <c r="V429" s="7">
        <f t="shared" si="34"/>
        <v>1.9418085857101731E-2</v>
      </c>
      <c r="W429" s="7">
        <f t="shared" si="35"/>
        <v>1.3203670696317551E-4</v>
      </c>
      <c r="X429" t="s">
        <v>835</v>
      </c>
      <c r="Y429" t="s">
        <v>836</v>
      </c>
      <c r="Z429" t="s">
        <v>837</v>
      </c>
      <c r="AA429" t="s">
        <v>868</v>
      </c>
      <c r="AB429" t="s">
        <v>92</v>
      </c>
    </row>
    <row r="430" spans="1:28">
      <c r="A430" t="s">
        <v>831</v>
      </c>
      <c r="B430" t="s">
        <v>869</v>
      </c>
      <c r="C430" t="s">
        <v>655</v>
      </c>
      <c r="D430" t="s">
        <v>833</v>
      </c>
      <c r="E430" t="s">
        <v>96</v>
      </c>
      <c r="F430">
        <v>80</v>
      </c>
      <c r="G430" t="s">
        <v>185</v>
      </c>
      <c r="H430" t="s">
        <v>84</v>
      </c>
      <c r="I430" t="s">
        <v>377</v>
      </c>
      <c r="J430" t="s">
        <v>834</v>
      </c>
      <c r="K430" t="s">
        <v>29</v>
      </c>
      <c r="L430" t="s">
        <v>40</v>
      </c>
      <c r="M430" t="s">
        <v>188</v>
      </c>
      <c r="N430" s="7">
        <v>10</v>
      </c>
      <c r="O430" s="7"/>
      <c r="P430" s="7">
        <v>4</v>
      </c>
      <c r="Q430" s="7">
        <v>11</v>
      </c>
      <c r="R430" s="7"/>
      <c r="S430" s="7">
        <v>4</v>
      </c>
      <c r="T430" s="7">
        <v>9.7623630185049715E-2</v>
      </c>
      <c r="U430" s="7">
        <v>9.7623630185049715E-2</v>
      </c>
      <c r="V430" s="7">
        <f t="shared" si="34"/>
        <v>9.5310179804324935E-2</v>
      </c>
      <c r="W430" s="7">
        <f t="shared" si="35"/>
        <v>4.3516786584341411E-5</v>
      </c>
      <c r="X430" t="s">
        <v>835</v>
      </c>
      <c r="Y430" t="s">
        <v>836</v>
      </c>
      <c r="Z430" t="s">
        <v>837</v>
      </c>
      <c r="AA430" t="s">
        <v>870</v>
      </c>
      <c r="AB430" t="s">
        <v>92</v>
      </c>
    </row>
    <row r="431" spans="1:28">
      <c r="A431" t="s">
        <v>831</v>
      </c>
      <c r="B431" t="s">
        <v>871</v>
      </c>
      <c r="C431" t="s">
        <v>655</v>
      </c>
      <c r="D431" t="s">
        <v>840</v>
      </c>
      <c r="E431" t="s">
        <v>96</v>
      </c>
      <c r="F431">
        <v>80</v>
      </c>
      <c r="G431" t="s">
        <v>185</v>
      </c>
      <c r="H431" t="s">
        <v>84</v>
      </c>
      <c r="I431" t="s">
        <v>377</v>
      </c>
      <c r="J431" t="s">
        <v>834</v>
      </c>
      <c r="K431" t="s">
        <v>29</v>
      </c>
      <c r="L431" t="s">
        <v>40</v>
      </c>
      <c r="M431" t="s">
        <v>188</v>
      </c>
      <c r="N431" s="7">
        <v>10</v>
      </c>
      <c r="O431" s="7"/>
      <c r="P431" s="7">
        <v>4</v>
      </c>
      <c r="Q431" s="7">
        <v>11</v>
      </c>
      <c r="R431" s="7"/>
      <c r="S431" s="7">
        <v>4</v>
      </c>
      <c r="T431" s="7">
        <v>9.7623630185049715E-2</v>
      </c>
      <c r="U431" s="7">
        <v>9.7623630185049715E-2</v>
      </c>
      <c r="V431" s="7">
        <f t="shared" si="34"/>
        <v>9.5310179804324935E-2</v>
      </c>
      <c r="W431" s="7">
        <f t="shared" si="35"/>
        <v>4.3516786584341411E-5</v>
      </c>
      <c r="X431" t="s">
        <v>835</v>
      </c>
      <c r="Y431" t="s">
        <v>836</v>
      </c>
      <c r="Z431" t="s">
        <v>837</v>
      </c>
      <c r="AA431" t="s">
        <v>872</v>
      </c>
      <c r="AB431" t="s">
        <v>92</v>
      </c>
    </row>
    <row r="432" spans="1:28">
      <c r="A432" t="s">
        <v>831</v>
      </c>
      <c r="B432" t="s">
        <v>873</v>
      </c>
      <c r="C432" t="s">
        <v>655</v>
      </c>
      <c r="D432" t="s">
        <v>843</v>
      </c>
      <c r="E432" t="s">
        <v>96</v>
      </c>
      <c r="F432">
        <v>80</v>
      </c>
      <c r="G432" t="s">
        <v>185</v>
      </c>
      <c r="H432" t="s">
        <v>84</v>
      </c>
      <c r="I432" t="s">
        <v>377</v>
      </c>
      <c r="J432" t="s">
        <v>834</v>
      </c>
      <c r="K432" t="s">
        <v>29</v>
      </c>
      <c r="L432" t="s">
        <v>40</v>
      </c>
      <c r="M432" t="s">
        <v>188</v>
      </c>
      <c r="N432" s="7">
        <v>10</v>
      </c>
      <c r="O432" s="7"/>
      <c r="P432" s="7">
        <v>4</v>
      </c>
      <c r="Q432" s="7">
        <v>11.3</v>
      </c>
      <c r="R432" s="7"/>
      <c r="S432" s="7">
        <v>4</v>
      </c>
      <c r="T432" s="7">
        <v>9.7623630185049715E-2</v>
      </c>
      <c r="U432" s="7">
        <v>9.7623630185049715E-2</v>
      </c>
      <c r="V432" s="7">
        <f t="shared" si="34"/>
        <v>0.12221763272424931</v>
      </c>
      <c r="W432" s="7">
        <f t="shared" si="35"/>
        <v>4.2485133275761965E-5</v>
      </c>
      <c r="X432" t="s">
        <v>835</v>
      </c>
      <c r="Y432" t="s">
        <v>836</v>
      </c>
      <c r="Z432" t="s">
        <v>837</v>
      </c>
      <c r="AA432" t="s">
        <v>874</v>
      </c>
      <c r="AB432" t="s">
        <v>92</v>
      </c>
    </row>
    <row r="433" spans="1:28">
      <c r="A433" t="s">
        <v>875</v>
      </c>
      <c r="B433" t="s">
        <v>876</v>
      </c>
      <c r="C433" t="s">
        <v>655</v>
      </c>
      <c r="D433" t="s">
        <v>877</v>
      </c>
      <c r="E433" t="s">
        <v>878</v>
      </c>
      <c r="F433">
        <v>5</v>
      </c>
      <c r="G433" t="s">
        <v>185</v>
      </c>
      <c r="H433" t="s">
        <v>879</v>
      </c>
      <c r="I433" t="s">
        <v>85</v>
      </c>
      <c r="J433" t="s">
        <v>880</v>
      </c>
      <c r="K433" t="s">
        <v>41</v>
      </c>
      <c r="L433" t="s">
        <v>30</v>
      </c>
      <c r="M433" t="s">
        <v>881</v>
      </c>
      <c r="N433" s="7">
        <v>1.55</v>
      </c>
      <c r="O433" s="7">
        <v>0.12</v>
      </c>
      <c r="P433" s="7">
        <v>6</v>
      </c>
      <c r="Q433" s="7">
        <v>1.68</v>
      </c>
      <c r="R433" s="7">
        <v>0.12</v>
      </c>
      <c r="S433" s="7">
        <v>6</v>
      </c>
      <c r="T433" s="7">
        <f t="shared" ref="T433:T455" si="38">O433*SQRT(P433)</f>
        <v>0.29393876913398131</v>
      </c>
      <c r="U433" s="7">
        <f t="shared" ref="U433:U455" si="39">R433*SQRT(S433)</f>
        <v>0.29393876913398131</v>
      </c>
      <c r="V433" s="7">
        <f t="shared" si="34"/>
        <v>8.0538862484012194E-2</v>
      </c>
      <c r="W433" s="7">
        <f t="shared" si="35"/>
        <v>1.1095797319968565E-2</v>
      </c>
      <c r="X433" t="s">
        <v>550</v>
      </c>
      <c r="Y433" t="s">
        <v>89</v>
      </c>
      <c r="Z433" t="s">
        <v>515</v>
      </c>
      <c r="AA433" t="s">
        <v>882</v>
      </c>
      <c r="AB433" t="s">
        <v>92</v>
      </c>
    </row>
    <row r="434" spans="1:28">
      <c r="A434" t="s">
        <v>875</v>
      </c>
      <c r="B434" t="s">
        <v>883</v>
      </c>
      <c r="C434" t="s">
        <v>655</v>
      </c>
      <c r="D434" t="s">
        <v>877</v>
      </c>
      <c r="E434" t="s">
        <v>878</v>
      </c>
      <c r="F434">
        <v>5</v>
      </c>
      <c r="G434" t="s">
        <v>185</v>
      </c>
      <c r="H434" t="s">
        <v>879</v>
      </c>
      <c r="I434" t="s">
        <v>85</v>
      </c>
      <c r="J434" t="s">
        <v>880</v>
      </c>
      <c r="K434" t="s">
        <v>41</v>
      </c>
      <c r="L434" t="s">
        <v>40</v>
      </c>
      <c r="M434" t="s">
        <v>881</v>
      </c>
      <c r="N434" s="7">
        <v>32</v>
      </c>
      <c r="O434" s="7">
        <v>1.2</v>
      </c>
      <c r="P434" s="7">
        <v>6</v>
      </c>
      <c r="Q434" s="7">
        <v>32.5</v>
      </c>
      <c r="R434" s="7">
        <v>1.1000000000000001</v>
      </c>
      <c r="S434" s="7">
        <v>6</v>
      </c>
      <c r="T434" s="7">
        <f t="shared" si="38"/>
        <v>2.9393876913398134</v>
      </c>
      <c r="U434" s="7">
        <f t="shared" si="39"/>
        <v>2.6944387170614958</v>
      </c>
      <c r="V434" s="7">
        <f t="shared" si="34"/>
        <v>1.5504186535965254E-2</v>
      </c>
      <c r="W434" s="7">
        <f t="shared" si="35"/>
        <v>2.5518121301775143E-3</v>
      </c>
      <c r="X434" t="s">
        <v>550</v>
      </c>
      <c r="Y434" t="s">
        <v>89</v>
      </c>
      <c r="Z434" t="s">
        <v>515</v>
      </c>
      <c r="AA434" t="s">
        <v>884</v>
      </c>
      <c r="AB434" t="s">
        <v>92</v>
      </c>
    </row>
    <row r="435" spans="1:28">
      <c r="A435" t="s">
        <v>875</v>
      </c>
      <c r="B435" t="s">
        <v>885</v>
      </c>
      <c r="C435" t="s">
        <v>655</v>
      </c>
      <c r="D435" t="s">
        <v>877</v>
      </c>
      <c r="E435" t="s">
        <v>878</v>
      </c>
      <c r="F435">
        <v>5</v>
      </c>
      <c r="G435" t="s">
        <v>185</v>
      </c>
      <c r="H435" t="s">
        <v>879</v>
      </c>
      <c r="I435" t="s">
        <v>85</v>
      </c>
      <c r="J435" t="s">
        <v>513</v>
      </c>
      <c r="K435" t="s">
        <v>41</v>
      </c>
      <c r="L435" t="s">
        <v>30</v>
      </c>
      <c r="M435" t="s">
        <v>881</v>
      </c>
      <c r="N435" s="7">
        <v>1.1599999999999999</v>
      </c>
      <c r="O435" s="7">
        <v>0.1</v>
      </c>
      <c r="P435" s="7">
        <v>6</v>
      </c>
      <c r="Q435" s="7">
        <v>1.3</v>
      </c>
      <c r="R435" s="7">
        <v>0.06</v>
      </c>
      <c r="S435" s="7">
        <v>6</v>
      </c>
      <c r="T435" s="7">
        <f t="shared" si="38"/>
        <v>0.2449489742783178</v>
      </c>
      <c r="U435" s="7">
        <f t="shared" si="39"/>
        <v>0.14696938456699066</v>
      </c>
      <c r="V435" s="7">
        <f t="shared" si="34"/>
        <v>0.1139442593492179</v>
      </c>
      <c r="W435" s="7">
        <f t="shared" si="35"/>
        <v>9.5618065278725659E-3</v>
      </c>
      <c r="X435" t="s">
        <v>550</v>
      </c>
      <c r="Y435" t="s">
        <v>89</v>
      </c>
      <c r="Z435" t="s">
        <v>515</v>
      </c>
      <c r="AA435" t="s">
        <v>886</v>
      </c>
      <c r="AB435" t="s">
        <v>92</v>
      </c>
    </row>
    <row r="436" spans="1:28">
      <c r="A436" t="s">
        <v>875</v>
      </c>
      <c r="B436" t="s">
        <v>887</v>
      </c>
      <c r="C436" t="s">
        <v>655</v>
      </c>
      <c r="D436" t="s">
        <v>877</v>
      </c>
      <c r="E436" t="s">
        <v>878</v>
      </c>
      <c r="F436">
        <v>5</v>
      </c>
      <c r="G436" t="s">
        <v>185</v>
      </c>
      <c r="H436" t="s">
        <v>879</v>
      </c>
      <c r="I436" t="s">
        <v>85</v>
      </c>
      <c r="J436" t="s">
        <v>513</v>
      </c>
      <c r="K436" t="s">
        <v>41</v>
      </c>
      <c r="L436" t="s">
        <v>40</v>
      </c>
      <c r="M436" t="s">
        <v>881</v>
      </c>
      <c r="N436" s="7">
        <v>26</v>
      </c>
      <c r="O436" s="7">
        <v>1.4</v>
      </c>
      <c r="P436" s="7">
        <v>6</v>
      </c>
      <c r="Q436" s="7">
        <v>30.7</v>
      </c>
      <c r="R436" s="7">
        <v>1.2</v>
      </c>
      <c r="S436" s="7">
        <v>6</v>
      </c>
      <c r="T436" s="7">
        <f t="shared" si="38"/>
        <v>3.4292856398964489</v>
      </c>
      <c r="U436" s="7">
        <f t="shared" si="39"/>
        <v>2.9393876913398134</v>
      </c>
      <c r="V436" s="7">
        <f t="shared" si="34"/>
        <v>0.16616611657166944</v>
      </c>
      <c r="W436" s="7">
        <f t="shared" si="35"/>
        <v>4.4272759537071658E-3</v>
      </c>
      <c r="X436" t="s">
        <v>550</v>
      </c>
      <c r="Y436" t="s">
        <v>89</v>
      </c>
      <c r="Z436" t="s">
        <v>515</v>
      </c>
      <c r="AA436" t="s">
        <v>888</v>
      </c>
      <c r="AB436" t="s">
        <v>92</v>
      </c>
    </row>
    <row r="437" spans="1:28">
      <c r="A437" t="s">
        <v>875</v>
      </c>
      <c r="B437" t="s">
        <v>889</v>
      </c>
      <c r="C437" t="s">
        <v>655</v>
      </c>
      <c r="D437" t="s">
        <v>877</v>
      </c>
      <c r="E437" t="s">
        <v>878</v>
      </c>
      <c r="F437">
        <v>5</v>
      </c>
      <c r="G437" t="s">
        <v>185</v>
      </c>
      <c r="H437" t="s">
        <v>879</v>
      </c>
      <c r="I437" t="s">
        <v>85</v>
      </c>
      <c r="J437" t="s">
        <v>890</v>
      </c>
      <c r="K437" t="s">
        <v>41</v>
      </c>
      <c r="L437" t="s">
        <v>30</v>
      </c>
      <c r="M437" t="s">
        <v>881</v>
      </c>
      <c r="N437" s="7">
        <v>0.94</v>
      </c>
      <c r="O437" s="7">
        <v>0.11</v>
      </c>
      <c r="P437" s="7">
        <v>6</v>
      </c>
      <c r="Q437" s="7">
        <v>1.03</v>
      </c>
      <c r="R437" s="7">
        <v>0.08</v>
      </c>
      <c r="S437" s="7">
        <v>6</v>
      </c>
      <c r="T437" s="7">
        <f t="shared" si="38"/>
        <v>0.26944387170614958</v>
      </c>
      <c r="U437" s="7">
        <f t="shared" si="39"/>
        <v>0.19595917942265423</v>
      </c>
      <c r="V437" s="7">
        <f t="shared" si="34"/>
        <v>9.1434205959632045E-2</v>
      </c>
      <c r="W437" s="7">
        <f t="shared" si="35"/>
        <v>1.9726592994553808E-2</v>
      </c>
      <c r="X437" t="s">
        <v>550</v>
      </c>
      <c r="Y437" t="s">
        <v>89</v>
      </c>
      <c r="Z437" t="s">
        <v>515</v>
      </c>
      <c r="AA437" t="s">
        <v>891</v>
      </c>
      <c r="AB437" t="s">
        <v>92</v>
      </c>
    </row>
    <row r="438" spans="1:28">
      <c r="A438" t="s">
        <v>875</v>
      </c>
      <c r="B438" t="s">
        <v>892</v>
      </c>
      <c r="C438" t="s">
        <v>655</v>
      </c>
      <c r="D438" t="s">
        <v>877</v>
      </c>
      <c r="E438" t="s">
        <v>878</v>
      </c>
      <c r="F438">
        <v>5</v>
      </c>
      <c r="G438" t="s">
        <v>185</v>
      </c>
      <c r="H438" t="s">
        <v>879</v>
      </c>
      <c r="I438" t="s">
        <v>85</v>
      </c>
      <c r="J438" t="s">
        <v>890</v>
      </c>
      <c r="K438" t="s">
        <v>41</v>
      </c>
      <c r="L438" t="s">
        <v>40</v>
      </c>
      <c r="M438" t="s">
        <v>881</v>
      </c>
      <c r="N438" s="7">
        <v>20.5</v>
      </c>
      <c r="O438" s="7">
        <v>1.3</v>
      </c>
      <c r="P438" s="7">
        <v>6</v>
      </c>
      <c r="Q438" s="7">
        <v>30</v>
      </c>
      <c r="R438" s="7">
        <v>1.2</v>
      </c>
      <c r="S438" s="7">
        <v>6</v>
      </c>
      <c r="T438" s="7">
        <f t="shared" si="38"/>
        <v>3.1843366656181313</v>
      </c>
      <c r="U438" s="7">
        <f t="shared" si="39"/>
        <v>2.9393876913398134</v>
      </c>
      <c r="V438" s="7">
        <f t="shared" si="34"/>
        <v>0.38077249551779285</v>
      </c>
      <c r="W438" s="7">
        <f t="shared" si="35"/>
        <v>5.6214158239143363E-3</v>
      </c>
      <c r="X438" t="s">
        <v>550</v>
      </c>
      <c r="Y438" t="s">
        <v>89</v>
      </c>
      <c r="Z438" t="s">
        <v>515</v>
      </c>
      <c r="AA438" t="s">
        <v>893</v>
      </c>
      <c r="AB438" t="s">
        <v>92</v>
      </c>
    </row>
    <row r="439" spans="1:28">
      <c r="A439" t="s">
        <v>894</v>
      </c>
      <c r="B439" t="s">
        <v>895</v>
      </c>
      <c r="C439" t="s">
        <v>896</v>
      </c>
      <c r="D439" t="s">
        <v>897</v>
      </c>
      <c r="E439" t="s">
        <v>96</v>
      </c>
      <c r="F439">
        <v>10</v>
      </c>
      <c r="G439" t="s">
        <v>185</v>
      </c>
      <c r="H439" t="s">
        <v>84</v>
      </c>
      <c r="I439" t="s">
        <v>85</v>
      </c>
      <c r="J439" t="s">
        <v>86</v>
      </c>
      <c r="K439" t="s">
        <v>149</v>
      </c>
      <c r="L439" t="s">
        <v>40</v>
      </c>
      <c r="M439" t="s">
        <v>188</v>
      </c>
      <c r="N439" s="7">
        <v>32.5</v>
      </c>
      <c r="O439" s="7">
        <v>1</v>
      </c>
      <c r="P439" s="7">
        <v>4</v>
      </c>
      <c r="Q439" s="7">
        <v>33.5</v>
      </c>
      <c r="R439" s="7">
        <v>0.6</v>
      </c>
      <c r="S439" s="7">
        <v>4</v>
      </c>
      <c r="T439" s="7">
        <f t="shared" si="38"/>
        <v>2</v>
      </c>
      <c r="U439" s="7">
        <f t="shared" si="39"/>
        <v>1.2</v>
      </c>
      <c r="V439" s="7">
        <f t="shared" si="34"/>
        <v>3.0305349495328843E-2</v>
      </c>
      <c r="W439" s="7">
        <f t="shared" si="35"/>
        <v>1.2675297011366378E-3</v>
      </c>
      <c r="X439" t="s">
        <v>898</v>
      </c>
      <c r="Y439" t="s">
        <v>89</v>
      </c>
      <c r="Z439" t="s">
        <v>696</v>
      </c>
      <c r="AA439" t="s">
        <v>899</v>
      </c>
      <c r="AB439" t="s">
        <v>92</v>
      </c>
    </row>
    <row r="440" spans="1:28">
      <c r="A440" t="s">
        <v>900</v>
      </c>
      <c r="B440" t="s">
        <v>901</v>
      </c>
      <c r="C440" t="s">
        <v>655</v>
      </c>
      <c r="D440" t="s">
        <v>902</v>
      </c>
      <c r="E440" t="s">
        <v>96</v>
      </c>
      <c r="F440">
        <v>30</v>
      </c>
      <c r="G440" t="s">
        <v>185</v>
      </c>
      <c r="H440" t="s">
        <v>903</v>
      </c>
      <c r="I440" t="s">
        <v>186</v>
      </c>
      <c r="J440" t="s">
        <v>904</v>
      </c>
      <c r="K440" t="s">
        <v>29</v>
      </c>
      <c r="L440" t="s">
        <v>53</v>
      </c>
      <c r="M440" t="s">
        <v>423</v>
      </c>
      <c r="N440" s="7">
        <v>0.16700000000000001</v>
      </c>
      <c r="O440" s="7">
        <v>8.9999999999999993E-3</v>
      </c>
      <c r="P440" s="7">
        <v>3</v>
      </c>
      <c r="Q440" s="7">
        <v>0.19800000000000001</v>
      </c>
      <c r="R440" s="7">
        <v>0.01</v>
      </c>
      <c r="S440" s="7">
        <v>3</v>
      </c>
      <c r="T440" s="7">
        <f t="shared" si="38"/>
        <v>1.5588457268119894E-2</v>
      </c>
      <c r="U440" s="7">
        <f t="shared" si="39"/>
        <v>1.7320508075688773E-2</v>
      </c>
      <c r="V440" s="7">
        <f t="shared" si="34"/>
        <v>0.17027321827778014</v>
      </c>
      <c r="W440" s="7">
        <f t="shared" si="35"/>
        <v>5.4551310254384224E-3</v>
      </c>
      <c r="X440" t="s">
        <v>905</v>
      </c>
      <c r="Y440" t="s">
        <v>89</v>
      </c>
      <c r="Z440" t="s">
        <v>515</v>
      </c>
      <c r="AA440" t="s">
        <v>906</v>
      </c>
      <c r="AB440" t="s">
        <v>92</v>
      </c>
    </row>
    <row r="441" spans="1:28">
      <c r="A441" t="s">
        <v>900</v>
      </c>
      <c r="B441" t="s">
        <v>907</v>
      </c>
      <c r="C441" t="s">
        <v>655</v>
      </c>
      <c r="D441" t="s">
        <v>902</v>
      </c>
      <c r="E441" t="s">
        <v>96</v>
      </c>
      <c r="F441">
        <v>30</v>
      </c>
      <c r="G441" t="s">
        <v>185</v>
      </c>
      <c r="H441" t="s">
        <v>84</v>
      </c>
      <c r="I441" t="s">
        <v>186</v>
      </c>
      <c r="J441" t="s">
        <v>904</v>
      </c>
      <c r="K441" t="s">
        <v>29</v>
      </c>
      <c r="L441" t="s">
        <v>53</v>
      </c>
      <c r="M441" t="s">
        <v>423</v>
      </c>
      <c r="N441" s="7">
        <v>0.16700000000000001</v>
      </c>
      <c r="O441" s="7">
        <v>8.9999999999999993E-3</v>
      </c>
      <c r="P441" s="7">
        <v>3</v>
      </c>
      <c r="Q441" s="7">
        <v>0.217</v>
      </c>
      <c r="R441" s="7">
        <v>8.9999999999999993E-3</v>
      </c>
      <c r="S441" s="7">
        <v>3</v>
      </c>
      <c r="T441" s="7">
        <f t="shared" si="38"/>
        <v>1.5588457268119894E-2</v>
      </c>
      <c r="U441" s="7">
        <f t="shared" si="39"/>
        <v>1.5588457268119894E-2</v>
      </c>
      <c r="V441" s="7">
        <f t="shared" si="34"/>
        <v>0.2619035411237044</v>
      </c>
      <c r="W441" s="7">
        <f t="shared" si="35"/>
        <v>4.6245178546853363E-3</v>
      </c>
      <c r="X441" t="s">
        <v>905</v>
      </c>
      <c r="Y441" t="s">
        <v>89</v>
      </c>
      <c r="Z441" t="s">
        <v>515</v>
      </c>
      <c r="AA441" t="s">
        <v>906</v>
      </c>
      <c r="AB441" t="s">
        <v>92</v>
      </c>
    </row>
    <row r="442" spans="1:28">
      <c r="A442" t="s">
        <v>900</v>
      </c>
      <c r="B442" t="s">
        <v>908</v>
      </c>
      <c r="C442" t="s">
        <v>655</v>
      </c>
      <c r="D442" t="s">
        <v>902</v>
      </c>
      <c r="E442" t="s">
        <v>96</v>
      </c>
      <c r="F442">
        <v>30</v>
      </c>
      <c r="G442" t="s">
        <v>185</v>
      </c>
      <c r="H442" t="s">
        <v>84</v>
      </c>
      <c r="I442" t="s">
        <v>186</v>
      </c>
      <c r="J442" t="s">
        <v>904</v>
      </c>
      <c r="K442" t="s">
        <v>29</v>
      </c>
      <c r="L442" t="s">
        <v>53</v>
      </c>
      <c r="M442" t="s">
        <v>423</v>
      </c>
      <c r="N442" s="7">
        <v>0.16700000000000001</v>
      </c>
      <c r="O442" s="7">
        <v>8.9999999999999993E-3</v>
      </c>
      <c r="P442" s="7">
        <v>3</v>
      </c>
      <c r="Q442" s="7">
        <v>0.20499999999999999</v>
      </c>
      <c r="R442" s="7">
        <v>8.9999999999999993E-3</v>
      </c>
      <c r="S442" s="7">
        <v>3</v>
      </c>
      <c r="T442" s="7">
        <f t="shared" si="38"/>
        <v>1.5588457268119894E-2</v>
      </c>
      <c r="U442" s="7">
        <f t="shared" si="39"/>
        <v>1.5588457268119894E-2</v>
      </c>
      <c r="V442" s="7">
        <f t="shared" si="34"/>
        <v>0.2050161667216529</v>
      </c>
      <c r="W442" s="7">
        <f t="shared" si="35"/>
        <v>4.8317950512110231E-3</v>
      </c>
      <c r="X442" t="s">
        <v>905</v>
      </c>
      <c r="Y442" t="s">
        <v>89</v>
      </c>
      <c r="Z442" t="s">
        <v>515</v>
      </c>
      <c r="AA442" t="s">
        <v>906</v>
      </c>
      <c r="AB442" t="s">
        <v>92</v>
      </c>
    </row>
    <row r="443" spans="1:28">
      <c r="A443" t="s">
        <v>900</v>
      </c>
      <c r="B443" t="s">
        <v>909</v>
      </c>
      <c r="C443" t="s">
        <v>655</v>
      </c>
      <c r="D443" t="s">
        <v>902</v>
      </c>
      <c r="E443" t="s">
        <v>96</v>
      </c>
      <c r="F443">
        <v>30</v>
      </c>
      <c r="G443" t="s">
        <v>185</v>
      </c>
      <c r="H443" t="s">
        <v>84</v>
      </c>
      <c r="I443" t="s">
        <v>186</v>
      </c>
      <c r="J443" t="s">
        <v>904</v>
      </c>
      <c r="K443" t="s">
        <v>29</v>
      </c>
      <c r="L443" t="s">
        <v>53</v>
      </c>
      <c r="M443" t="s">
        <v>423</v>
      </c>
      <c r="N443" s="7">
        <v>0.16700000000000001</v>
      </c>
      <c r="O443" s="7">
        <v>8.9999999999999993E-3</v>
      </c>
      <c r="P443" s="7">
        <v>3</v>
      </c>
      <c r="Q443" s="7">
        <v>0.23200000000000001</v>
      </c>
      <c r="R443" s="7">
        <v>0.01</v>
      </c>
      <c r="S443" s="7">
        <v>3</v>
      </c>
      <c r="T443" s="7">
        <f t="shared" si="38"/>
        <v>1.5588457268119894E-2</v>
      </c>
      <c r="U443" s="7">
        <f t="shared" si="39"/>
        <v>1.7320508075688773E-2</v>
      </c>
      <c r="V443" s="7">
        <f t="shared" si="34"/>
        <v>0.3287435592495549</v>
      </c>
      <c r="W443" s="7">
        <f t="shared" si="35"/>
        <v>4.7622781521906368E-3</v>
      </c>
      <c r="X443" t="s">
        <v>905</v>
      </c>
      <c r="Y443" t="s">
        <v>89</v>
      </c>
      <c r="Z443" t="s">
        <v>515</v>
      </c>
      <c r="AA443" t="s">
        <v>906</v>
      </c>
      <c r="AB443" t="s">
        <v>92</v>
      </c>
    </row>
    <row r="444" spans="1:28">
      <c r="A444" t="s">
        <v>900</v>
      </c>
      <c r="B444" t="s">
        <v>910</v>
      </c>
      <c r="C444" t="s">
        <v>655</v>
      </c>
      <c r="D444" t="s">
        <v>902</v>
      </c>
      <c r="E444" t="s">
        <v>96</v>
      </c>
      <c r="F444">
        <v>30</v>
      </c>
      <c r="G444" t="s">
        <v>185</v>
      </c>
      <c r="H444" t="s">
        <v>903</v>
      </c>
      <c r="I444" t="s">
        <v>186</v>
      </c>
      <c r="J444" t="s">
        <v>904</v>
      </c>
      <c r="K444" t="s">
        <v>41</v>
      </c>
      <c r="L444" t="s">
        <v>53</v>
      </c>
      <c r="M444" t="s">
        <v>423</v>
      </c>
      <c r="N444" s="7">
        <v>0.18</v>
      </c>
      <c r="O444" s="7">
        <v>0.01</v>
      </c>
      <c r="P444" s="7">
        <v>3</v>
      </c>
      <c r="Q444" s="7">
        <v>0.22</v>
      </c>
      <c r="R444" s="7">
        <v>8.0000000000000002E-3</v>
      </c>
      <c r="S444" s="7">
        <v>3</v>
      </c>
      <c r="T444" s="7">
        <f t="shared" si="38"/>
        <v>1.7320508075688773E-2</v>
      </c>
      <c r="U444" s="7">
        <f t="shared" si="39"/>
        <v>1.3856406460551017E-2</v>
      </c>
      <c r="V444" s="7">
        <f t="shared" si="34"/>
        <v>0.20067069546215124</v>
      </c>
      <c r="W444" s="7">
        <f t="shared" si="35"/>
        <v>4.4087338026731968E-3</v>
      </c>
      <c r="X444" t="s">
        <v>905</v>
      </c>
      <c r="Y444" t="s">
        <v>89</v>
      </c>
      <c r="Z444" t="s">
        <v>515</v>
      </c>
      <c r="AA444" t="s">
        <v>911</v>
      </c>
      <c r="AB444" t="s">
        <v>92</v>
      </c>
    </row>
    <row r="445" spans="1:28">
      <c r="A445" t="s">
        <v>900</v>
      </c>
      <c r="B445" t="s">
        <v>912</v>
      </c>
      <c r="C445" t="s">
        <v>655</v>
      </c>
      <c r="D445" t="s">
        <v>902</v>
      </c>
      <c r="E445" t="s">
        <v>96</v>
      </c>
      <c r="F445">
        <v>30</v>
      </c>
      <c r="G445" t="s">
        <v>185</v>
      </c>
      <c r="H445" t="s">
        <v>84</v>
      </c>
      <c r="I445" t="s">
        <v>186</v>
      </c>
      <c r="J445" t="s">
        <v>904</v>
      </c>
      <c r="K445" t="s">
        <v>41</v>
      </c>
      <c r="L445" t="s">
        <v>53</v>
      </c>
      <c r="M445" t="s">
        <v>423</v>
      </c>
      <c r="N445" s="7">
        <v>0.18</v>
      </c>
      <c r="O445" s="7">
        <v>0.01</v>
      </c>
      <c r="P445" s="7">
        <v>3</v>
      </c>
      <c r="Q445" s="7">
        <v>0.23499999999999999</v>
      </c>
      <c r="R445" s="7">
        <v>8.0000000000000002E-3</v>
      </c>
      <c r="S445" s="7">
        <v>3</v>
      </c>
      <c r="T445" s="7">
        <f t="shared" si="38"/>
        <v>1.7320508075688773E-2</v>
      </c>
      <c r="U445" s="7">
        <f t="shared" si="39"/>
        <v>1.3856406460551017E-2</v>
      </c>
      <c r="V445" s="7">
        <f t="shared" si="34"/>
        <v>0.26662866325394863</v>
      </c>
      <c r="W445" s="7">
        <f t="shared" si="35"/>
        <v>4.2453151808818021E-3</v>
      </c>
      <c r="X445" t="s">
        <v>905</v>
      </c>
      <c r="Y445" t="s">
        <v>89</v>
      </c>
      <c r="Z445" t="s">
        <v>515</v>
      </c>
      <c r="AA445" t="s">
        <v>911</v>
      </c>
      <c r="AB445" t="s">
        <v>92</v>
      </c>
    </row>
    <row r="446" spans="1:28">
      <c r="A446" t="s">
        <v>900</v>
      </c>
      <c r="B446" t="s">
        <v>913</v>
      </c>
      <c r="C446" t="s">
        <v>655</v>
      </c>
      <c r="D446" t="s">
        <v>902</v>
      </c>
      <c r="E446" t="s">
        <v>96</v>
      </c>
      <c r="F446">
        <v>30</v>
      </c>
      <c r="G446" t="s">
        <v>185</v>
      </c>
      <c r="H446" t="s">
        <v>84</v>
      </c>
      <c r="I446" t="s">
        <v>186</v>
      </c>
      <c r="J446" t="s">
        <v>904</v>
      </c>
      <c r="K446" t="s">
        <v>41</v>
      </c>
      <c r="L446" t="s">
        <v>53</v>
      </c>
      <c r="M446" t="s">
        <v>423</v>
      </c>
      <c r="N446" s="7">
        <v>0.18</v>
      </c>
      <c r="O446" s="7">
        <v>0.01</v>
      </c>
      <c r="P446" s="7">
        <v>3</v>
      </c>
      <c r="Q446" s="7">
        <v>0.25</v>
      </c>
      <c r="R446" s="7">
        <v>8.9999999999999993E-3</v>
      </c>
      <c r="S446" s="7">
        <v>3</v>
      </c>
      <c r="T446" s="7">
        <f t="shared" si="38"/>
        <v>1.7320508075688773E-2</v>
      </c>
      <c r="U446" s="7">
        <f t="shared" si="39"/>
        <v>1.5588457268119894E-2</v>
      </c>
      <c r="V446" s="7">
        <f t="shared" si="34"/>
        <v>0.32850406697203605</v>
      </c>
      <c r="W446" s="7">
        <f t="shared" si="35"/>
        <v>4.3824197530864199E-3</v>
      </c>
      <c r="X446" t="s">
        <v>905</v>
      </c>
      <c r="Y446" t="s">
        <v>89</v>
      </c>
      <c r="Z446" t="s">
        <v>515</v>
      </c>
      <c r="AA446" t="s">
        <v>911</v>
      </c>
      <c r="AB446" t="s">
        <v>92</v>
      </c>
    </row>
    <row r="447" spans="1:28">
      <c r="A447" t="s">
        <v>900</v>
      </c>
      <c r="B447" t="s">
        <v>914</v>
      </c>
      <c r="C447" t="s">
        <v>655</v>
      </c>
      <c r="D447" t="s">
        <v>902</v>
      </c>
      <c r="E447" t="s">
        <v>96</v>
      </c>
      <c r="F447">
        <v>30</v>
      </c>
      <c r="G447" t="s">
        <v>185</v>
      </c>
      <c r="H447" t="s">
        <v>84</v>
      </c>
      <c r="I447" t="s">
        <v>186</v>
      </c>
      <c r="J447" t="s">
        <v>904</v>
      </c>
      <c r="K447" t="s">
        <v>41</v>
      </c>
      <c r="L447" t="s">
        <v>53</v>
      </c>
      <c r="M447" t="s">
        <v>423</v>
      </c>
      <c r="N447" s="7">
        <v>0.18</v>
      </c>
      <c r="O447" s="7">
        <v>0.01</v>
      </c>
      <c r="P447" s="7">
        <v>3</v>
      </c>
      <c r="Q447" s="7">
        <v>0.28999999999999998</v>
      </c>
      <c r="R447" s="7">
        <v>1.2E-2</v>
      </c>
      <c r="S447" s="7">
        <v>3</v>
      </c>
      <c r="T447" s="7">
        <f t="shared" si="38"/>
        <v>1.7320508075688773E-2</v>
      </c>
      <c r="U447" s="7">
        <f t="shared" si="39"/>
        <v>2.0784609690826527E-2</v>
      </c>
      <c r="V447" s="7">
        <f t="shared" si="34"/>
        <v>0.47692407209030935</v>
      </c>
      <c r="W447" s="7">
        <f t="shared" si="35"/>
        <v>4.7986670776999753E-3</v>
      </c>
      <c r="X447" t="s">
        <v>905</v>
      </c>
      <c r="Y447" t="s">
        <v>89</v>
      </c>
      <c r="Z447" t="s">
        <v>515</v>
      </c>
      <c r="AA447" t="s">
        <v>911</v>
      </c>
      <c r="AB447" t="s">
        <v>92</v>
      </c>
    </row>
    <row r="448" spans="1:28">
      <c r="A448" t="s">
        <v>900</v>
      </c>
      <c r="B448" t="s">
        <v>915</v>
      </c>
      <c r="C448" t="s">
        <v>655</v>
      </c>
      <c r="D448" t="s">
        <v>902</v>
      </c>
      <c r="E448" t="s">
        <v>96</v>
      </c>
      <c r="F448">
        <v>30</v>
      </c>
      <c r="G448" t="s">
        <v>185</v>
      </c>
      <c r="H448" t="s">
        <v>903</v>
      </c>
      <c r="I448" t="s">
        <v>186</v>
      </c>
      <c r="J448" t="s">
        <v>904</v>
      </c>
      <c r="K448" t="s">
        <v>41</v>
      </c>
      <c r="L448" t="s">
        <v>42</v>
      </c>
      <c r="M448" t="s">
        <v>423</v>
      </c>
      <c r="N448" s="7">
        <v>1.08</v>
      </c>
      <c r="O448" s="7">
        <v>2.5000000000000001E-2</v>
      </c>
      <c r="P448" s="7">
        <v>3</v>
      </c>
      <c r="Q448" s="7">
        <v>1.31</v>
      </c>
      <c r="R448" s="7">
        <v>2.5000000000000001E-2</v>
      </c>
      <c r="S448" s="7">
        <v>3</v>
      </c>
      <c r="T448" s="7">
        <f t="shared" si="38"/>
        <v>4.3301270189221933E-2</v>
      </c>
      <c r="U448" s="7">
        <f t="shared" si="39"/>
        <v>4.3301270189221933E-2</v>
      </c>
      <c r="V448" s="7">
        <f t="shared" si="34"/>
        <v>0.1930660960769319</v>
      </c>
      <c r="W448" s="7">
        <f t="shared" si="35"/>
        <v>9.000346532544324E-4</v>
      </c>
      <c r="X448" t="s">
        <v>905</v>
      </c>
      <c r="Y448" t="s">
        <v>89</v>
      </c>
      <c r="Z448" t="s">
        <v>515</v>
      </c>
      <c r="AA448" t="s">
        <v>916</v>
      </c>
      <c r="AB448" t="s">
        <v>92</v>
      </c>
    </row>
    <row r="449" spans="1:28">
      <c r="A449" t="s">
        <v>900</v>
      </c>
      <c r="B449" t="s">
        <v>917</v>
      </c>
      <c r="C449" t="s">
        <v>655</v>
      </c>
      <c r="D449" t="s">
        <v>902</v>
      </c>
      <c r="E449" t="s">
        <v>96</v>
      </c>
      <c r="F449">
        <v>30</v>
      </c>
      <c r="G449" t="s">
        <v>185</v>
      </c>
      <c r="H449" t="s">
        <v>84</v>
      </c>
      <c r="I449" t="s">
        <v>186</v>
      </c>
      <c r="J449" t="s">
        <v>904</v>
      </c>
      <c r="K449" t="s">
        <v>41</v>
      </c>
      <c r="L449" t="s">
        <v>42</v>
      </c>
      <c r="M449" t="s">
        <v>423</v>
      </c>
      <c r="N449" s="7">
        <v>1.08</v>
      </c>
      <c r="O449" s="7">
        <v>2.5000000000000001E-2</v>
      </c>
      <c r="P449" s="7">
        <v>3</v>
      </c>
      <c r="Q449" s="7">
        <v>1.3149999999999999</v>
      </c>
      <c r="R449" s="7">
        <v>2.1999999999999999E-2</v>
      </c>
      <c r="S449" s="7">
        <v>3</v>
      </c>
      <c r="T449" s="7">
        <f t="shared" si="38"/>
        <v>4.3301270189221933E-2</v>
      </c>
      <c r="U449" s="7">
        <f t="shared" si="39"/>
        <v>3.8105117766515297E-2</v>
      </c>
      <c r="V449" s="7">
        <f t="shared" si="34"/>
        <v>0.19687562449359952</v>
      </c>
      <c r="W449" s="7">
        <f t="shared" si="35"/>
        <v>8.1573093493340627E-4</v>
      </c>
      <c r="X449" t="s">
        <v>905</v>
      </c>
      <c r="Y449" t="s">
        <v>89</v>
      </c>
      <c r="Z449" t="s">
        <v>515</v>
      </c>
      <c r="AA449" t="s">
        <v>916</v>
      </c>
      <c r="AB449" t="s">
        <v>92</v>
      </c>
    </row>
    <row r="450" spans="1:28">
      <c r="A450" t="s">
        <v>900</v>
      </c>
      <c r="B450" t="s">
        <v>918</v>
      </c>
      <c r="C450" t="s">
        <v>655</v>
      </c>
      <c r="D450" t="s">
        <v>902</v>
      </c>
      <c r="E450" t="s">
        <v>96</v>
      </c>
      <c r="F450">
        <v>30</v>
      </c>
      <c r="G450" t="s">
        <v>185</v>
      </c>
      <c r="H450" t="s">
        <v>84</v>
      </c>
      <c r="I450" t="s">
        <v>186</v>
      </c>
      <c r="J450" t="s">
        <v>904</v>
      </c>
      <c r="K450" t="s">
        <v>41</v>
      </c>
      <c r="L450" t="s">
        <v>42</v>
      </c>
      <c r="M450" t="s">
        <v>423</v>
      </c>
      <c r="N450" s="7">
        <v>1.08</v>
      </c>
      <c r="O450" s="7">
        <v>2.5000000000000001E-2</v>
      </c>
      <c r="P450" s="7">
        <v>3</v>
      </c>
      <c r="Q450" s="7">
        <v>1.36</v>
      </c>
      <c r="R450" s="7">
        <v>2.4E-2</v>
      </c>
      <c r="S450" s="7">
        <v>3</v>
      </c>
      <c r="T450" s="7">
        <f t="shared" si="38"/>
        <v>4.3301270189221933E-2</v>
      </c>
      <c r="U450" s="7">
        <f t="shared" si="39"/>
        <v>4.1569219381653054E-2</v>
      </c>
      <c r="V450" s="7">
        <f t="shared" ref="V450:V513" si="40">LN(Q450/N450)</f>
        <v>0.23052365861183235</v>
      </c>
      <c r="W450" s="7">
        <f t="shared" ref="W450:W513" si="41">(U450^2/(S450*Q450^2))+(T450^2/(P450*N450^2))</f>
        <v>8.472554478097217E-4</v>
      </c>
      <c r="X450" t="s">
        <v>905</v>
      </c>
      <c r="Y450" t="s">
        <v>89</v>
      </c>
      <c r="Z450" t="s">
        <v>515</v>
      </c>
      <c r="AA450" t="s">
        <v>916</v>
      </c>
      <c r="AB450" t="s">
        <v>92</v>
      </c>
    </row>
    <row r="451" spans="1:28">
      <c r="A451" t="s">
        <v>900</v>
      </c>
      <c r="B451" t="s">
        <v>919</v>
      </c>
      <c r="C451" t="s">
        <v>655</v>
      </c>
      <c r="D451" t="s">
        <v>902</v>
      </c>
      <c r="E451" t="s">
        <v>96</v>
      </c>
      <c r="F451">
        <v>30</v>
      </c>
      <c r="G451" t="s">
        <v>185</v>
      </c>
      <c r="H451" t="s">
        <v>84</v>
      </c>
      <c r="I451" t="s">
        <v>186</v>
      </c>
      <c r="J451" t="s">
        <v>904</v>
      </c>
      <c r="K451" t="s">
        <v>41</v>
      </c>
      <c r="L451" t="s">
        <v>42</v>
      </c>
      <c r="M451" t="s">
        <v>423</v>
      </c>
      <c r="N451" s="7">
        <v>1.08</v>
      </c>
      <c r="O451" s="7">
        <v>2.5000000000000001E-2</v>
      </c>
      <c r="P451" s="7">
        <v>3</v>
      </c>
      <c r="Q451" s="7">
        <v>1.42</v>
      </c>
      <c r="R451" s="7">
        <v>2.5999999999999999E-2</v>
      </c>
      <c r="S451" s="7">
        <v>3</v>
      </c>
      <c r="T451" s="7">
        <f t="shared" si="38"/>
        <v>4.3301270189221933E-2</v>
      </c>
      <c r="U451" s="7">
        <f t="shared" si="39"/>
        <v>4.5033320996790804E-2</v>
      </c>
      <c r="V451" s="7">
        <f t="shared" si="40"/>
        <v>0.27369583047704094</v>
      </c>
      <c r="W451" s="7">
        <f t="shared" si="41"/>
        <v>8.710877049619729E-4</v>
      </c>
      <c r="X451" t="s">
        <v>905</v>
      </c>
      <c r="Y451" t="s">
        <v>89</v>
      </c>
      <c r="Z451" t="s">
        <v>515</v>
      </c>
      <c r="AA451" t="s">
        <v>916</v>
      </c>
      <c r="AB451" t="s">
        <v>92</v>
      </c>
    </row>
    <row r="452" spans="1:28">
      <c r="A452" t="s">
        <v>900</v>
      </c>
      <c r="B452" t="s">
        <v>920</v>
      </c>
      <c r="C452" t="s">
        <v>655</v>
      </c>
      <c r="D452" t="s">
        <v>902</v>
      </c>
      <c r="E452" t="s">
        <v>96</v>
      </c>
      <c r="F452">
        <v>30</v>
      </c>
      <c r="G452" t="s">
        <v>185</v>
      </c>
      <c r="H452" t="s">
        <v>903</v>
      </c>
      <c r="I452" t="s">
        <v>186</v>
      </c>
      <c r="J452" t="s">
        <v>904</v>
      </c>
      <c r="K452" t="s">
        <v>29</v>
      </c>
      <c r="L452" t="s">
        <v>42</v>
      </c>
      <c r="M452" t="s">
        <v>423</v>
      </c>
      <c r="N452" s="7">
        <v>1.02</v>
      </c>
      <c r="O452" s="7">
        <v>4.4999999999999998E-2</v>
      </c>
      <c r="P452" s="7">
        <v>3</v>
      </c>
      <c r="Q452" s="7">
        <v>1.23</v>
      </c>
      <c r="R452" s="7">
        <v>0.04</v>
      </c>
      <c r="S452" s="7">
        <v>3</v>
      </c>
      <c r="T452" s="7">
        <f t="shared" si="38"/>
        <v>7.7942286340599465E-2</v>
      </c>
      <c r="U452" s="7">
        <f t="shared" si="39"/>
        <v>6.9282032302755092E-2</v>
      </c>
      <c r="V452" s="7">
        <f t="shared" si="40"/>
        <v>0.18721154208814636</v>
      </c>
      <c r="W452" s="7">
        <f t="shared" si="41"/>
        <v>3.0039383333321894E-3</v>
      </c>
      <c r="X452" t="s">
        <v>905</v>
      </c>
      <c r="Y452" t="s">
        <v>89</v>
      </c>
      <c r="Z452" t="s">
        <v>515</v>
      </c>
      <c r="AA452" t="s">
        <v>921</v>
      </c>
      <c r="AB452" t="s">
        <v>92</v>
      </c>
    </row>
    <row r="453" spans="1:28">
      <c r="A453" t="s">
        <v>900</v>
      </c>
      <c r="B453" t="s">
        <v>922</v>
      </c>
      <c r="C453" t="s">
        <v>655</v>
      </c>
      <c r="D453" t="s">
        <v>902</v>
      </c>
      <c r="E453" t="s">
        <v>96</v>
      </c>
      <c r="F453">
        <v>30</v>
      </c>
      <c r="G453" t="s">
        <v>185</v>
      </c>
      <c r="H453" t="s">
        <v>84</v>
      </c>
      <c r="I453" t="s">
        <v>186</v>
      </c>
      <c r="J453" t="s">
        <v>904</v>
      </c>
      <c r="K453" t="s">
        <v>29</v>
      </c>
      <c r="L453" t="s">
        <v>42</v>
      </c>
      <c r="M453" t="s">
        <v>423</v>
      </c>
      <c r="N453" s="7">
        <v>1.02</v>
      </c>
      <c r="O453" s="7">
        <v>4.4999999999999998E-2</v>
      </c>
      <c r="P453" s="7">
        <v>3</v>
      </c>
      <c r="Q453" s="7">
        <v>1.1599999999999999</v>
      </c>
      <c r="R453" s="7">
        <v>3.7999999999999999E-2</v>
      </c>
      <c r="S453" s="7">
        <v>3</v>
      </c>
      <c r="T453" s="7">
        <f t="shared" si="38"/>
        <v>7.7942286340599465E-2</v>
      </c>
      <c r="U453" s="7">
        <f t="shared" si="39"/>
        <v>6.5817930687617335E-2</v>
      </c>
      <c r="V453" s="7">
        <f t="shared" si="40"/>
        <v>0.12861737782209354</v>
      </c>
      <c r="W453" s="7">
        <f t="shared" si="41"/>
        <v>3.0194940114956241E-3</v>
      </c>
      <c r="X453" t="s">
        <v>905</v>
      </c>
      <c r="Y453" t="s">
        <v>89</v>
      </c>
      <c r="Z453" t="s">
        <v>515</v>
      </c>
      <c r="AA453" t="s">
        <v>921</v>
      </c>
      <c r="AB453" t="s">
        <v>92</v>
      </c>
    </row>
    <row r="454" spans="1:28">
      <c r="A454" t="s">
        <v>900</v>
      </c>
      <c r="B454" t="s">
        <v>923</v>
      </c>
      <c r="C454" t="s">
        <v>655</v>
      </c>
      <c r="D454" t="s">
        <v>902</v>
      </c>
      <c r="E454" t="s">
        <v>96</v>
      </c>
      <c r="F454">
        <v>30</v>
      </c>
      <c r="G454" t="s">
        <v>185</v>
      </c>
      <c r="H454" t="s">
        <v>84</v>
      </c>
      <c r="I454" t="s">
        <v>186</v>
      </c>
      <c r="J454" t="s">
        <v>904</v>
      </c>
      <c r="K454" t="s">
        <v>29</v>
      </c>
      <c r="L454" t="s">
        <v>42</v>
      </c>
      <c r="M454" t="s">
        <v>423</v>
      </c>
      <c r="N454" s="7">
        <v>1.02</v>
      </c>
      <c r="O454" s="7">
        <v>4.4999999999999998E-2</v>
      </c>
      <c r="P454" s="7">
        <v>3</v>
      </c>
      <c r="Q454" s="7">
        <v>1.28</v>
      </c>
      <c r="R454" s="7">
        <v>0.04</v>
      </c>
      <c r="S454" s="7">
        <v>3</v>
      </c>
      <c r="T454" s="7">
        <f t="shared" si="38"/>
        <v>7.7942286340599465E-2</v>
      </c>
      <c r="U454" s="7">
        <f t="shared" si="39"/>
        <v>6.9282032302755092E-2</v>
      </c>
      <c r="V454" s="7">
        <f t="shared" si="40"/>
        <v>0.22705745063534608</v>
      </c>
      <c r="W454" s="7">
        <f t="shared" si="41"/>
        <v>2.9229292820069199E-3</v>
      </c>
      <c r="X454" t="s">
        <v>905</v>
      </c>
      <c r="Y454" t="s">
        <v>89</v>
      </c>
      <c r="Z454" t="s">
        <v>515</v>
      </c>
      <c r="AA454" t="s">
        <v>921</v>
      </c>
      <c r="AB454" t="s">
        <v>92</v>
      </c>
    </row>
    <row r="455" spans="1:28">
      <c r="A455" t="s">
        <v>900</v>
      </c>
      <c r="B455" t="s">
        <v>924</v>
      </c>
      <c r="C455" t="s">
        <v>655</v>
      </c>
      <c r="D455" t="s">
        <v>902</v>
      </c>
      <c r="E455" t="s">
        <v>96</v>
      </c>
      <c r="F455">
        <v>30</v>
      </c>
      <c r="G455" t="s">
        <v>185</v>
      </c>
      <c r="H455" t="s">
        <v>84</v>
      </c>
      <c r="I455" t="s">
        <v>186</v>
      </c>
      <c r="J455" t="s">
        <v>904</v>
      </c>
      <c r="K455" t="s">
        <v>29</v>
      </c>
      <c r="L455" t="s">
        <v>42</v>
      </c>
      <c r="M455" t="s">
        <v>423</v>
      </c>
      <c r="N455" s="7">
        <v>1.02</v>
      </c>
      <c r="O455" s="7">
        <v>4.4999999999999998E-2</v>
      </c>
      <c r="P455" s="7">
        <v>3</v>
      </c>
      <c r="Q455" s="7">
        <v>1.33</v>
      </c>
      <c r="R455" s="7">
        <v>4.4999999999999998E-2</v>
      </c>
      <c r="S455" s="7">
        <v>3</v>
      </c>
      <c r="T455" s="7">
        <f t="shared" si="38"/>
        <v>7.7942286340599465E-2</v>
      </c>
      <c r="U455" s="7">
        <f t="shared" si="39"/>
        <v>7.7942286340599465E-2</v>
      </c>
      <c r="V455" s="7">
        <f t="shared" si="40"/>
        <v>0.2653763149374827</v>
      </c>
      <c r="W455" s="7">
        <f t="shared" si="41"/>
        <v>3.0911460233433432E-3</v>
      </c>
      <c r="X455" t="s">
        <v>905</v>
      </c>
      <c r="Y455" t="s">
        <v>89</v>
      </c>
      <c r="Z455" t="s">
        <v>515</v>
      </c>
      <c r="AA455" t="s">
        <v>921</v>
      </c>
      <c r="AB455" t="s">
        <v>92</v>
      </c>
    </row>
    <row r="456" spans="1:28">
      <c r="A456" t="s">
        <v>925</v>
      </c>
      <c r="B456" t="s">
        <v>926</v>
      </c>
      <c r="C456" t="s">
        <v>815</v>
      </c>
      <c r="D456" t="s">
        <v>927</v>
      </c>
      <c r="E456" t="s">
        <v>928</v>
      </c>
      <c r="F456">
        <v>0.5</v>
      </c>
      <c r="G456" t="s">
        <v>929</v>
      </c>
      <c r="H456" t="s">
        <v>84</v>
      </c>
      <c r="I456" t="s">
        <v>85</v>
      </c>
      <c r="J456" t="s">
        <v>547</v>
      </c>
      <c r="K456" t="s">
        <v>149</v>
      </c>
      <c r="L456" t="s">
        <v>40</v>
      </c>
      <c r="M456" t="s">
        <v>930</v>
      </c>
      <c r="N456" s="7">
        <v>2446</v>
      </c>
      <c r="O456" s="7"/>
      <c r="P456" s="7">
        <v>5</v>
      </c>
      <c r="Q456" s="7">
        <v>2684</v>
      </c>
      <c r="R456" s="7"/>
      <c r="S456" s="7">
        <v>5</v>
      </c>
      <c r="T456" s="7">
        <v>115</v>
      </c>
      <c r="U456" s="7">
        <v>120</v>
      </c>
      <c r="V456" s="7">
        <f t="shared" si="40"/>
        <v>9.2854181844454695E-2</v>
      </c>
      <c r="W456" s="7">
        <f t="shared" si="41"/>
        <v>8.4187800939861004E-4</v>
      </c>
      <c r="X456" t="s">
        <v>931</v>
      </c>
      <c r="Y456" t="s">
        <v>932</v>
      </c>
      <c r="Z456" t="s">
        <v>933</v>
      </c>
      <c r="AA456" t="s">
        <v>934</v>
      </c>
      <c r="AB456" t="s">
        <v>92</v>
      </c>
    </row>
    <row r="457" spans="1:28">
      <c r="A457" t="s">
        <v>925</v>
      </c>
      <c r="B457" t="s">
        <v>935</v>
      </c>
      <c r="C457" t="s">
        <v>815</v>
      </c>
      <c r="D457" t="s">
        <v>927</v>
      </c>
      <c r="E457" t="s">
        <v>936</v>
      </c>
      <c r="F457">
        <v>0.5</v>
      </c>
      <c r="G457" t="s">
        <v>929</v>
      </c>
      <c r="H457" t="s">
        <v>84</v>
      </c>
      <c r="I457" t="s">
        <v>85</v>
      </c>
      <c r="J457" t="s">
        <v>547</v>
      </c>
      <c r="K457" t="s">
        <v>149</v>
      </c>
      <c r="L457" t="s">
        <v>40</v>
      </c>
      <c r="M457" t="s">
        <v>930</v>
      </c>
      <c r="N457" s="7">
        <v>2446</v>
      </c>
      <c r="O457" s="7"/>
      <c r="P457" s="7">
        <v>5</v>
      </c>
      <c r="Q457" s="7">
        <v>2725</v>
      </c>
      <c r="R457" s="7"/>
      <c r="S457" s="7">
        <v>5</v>
      </c>
      <c r="T457" s="7">
        <v>115</v>
      </c>
      <c r="U457" s="7">
        <v>125</v>
      </c>
      <c r="V457" s="7">
        <f t="shared" si="40"/>
        <v>0.10801439085022688</v>
      </c>
      <c r="W457" s="7">
        <f t="shared" si="41"/>
        <v>8.6293211358762136E-4</v>
      </c>
      <c r="X457" t="s">
        <v>931</v>
      </c>
      <c r="Y457" t="s">
        <v>932</v>
      </c>
      <c r="Z457" t="s">
        <v>933</v>
      </c>
      <c r="AA457" t="s">
        <v>934</v>
      </c>
      <c r="AB457" t="s">
        <v>92</v>
      </c>
    </row>
    <row r="458" spans="1:28">
      <c r="A458" t="s">
        <v>925</v>
      </c>
      <c r="B458" t="s">
        <v>937</v>
      </c>
      <c r="C458" t="s">
        <v>815</v>
      </c>
      <c r="D458" t="s">
        <v>927</v>
      </c>
      <c r="E458" t="s">
        <v>94</v>
      </c>
      <c r="F458">
        <v>0.5</v>
      </c>
      <c r="G458" t="s">
        <v>929</v>
      </c>
      <c r="H458" t="s">
        <v>84</v>
      </c>
      <c r="I458" t="s">
        <v>85</v>
      </c>
      <c r="J458" t="s">
        <v>547</v>
      </c>
      <c r="K458" t="s">
        <v>149</v>
      </c>
      <c r="L458" t="s">
        <v>40</v>
      </c>
      <c r="M458" t="s">
        <v>930</v>
      </c>
      <c r="N458" s="7">
        <v>2446</v>
      </c>
      <c r="O458" s="7"/>
      <c r="P458" s="7">
        <v>5</v>
      </c>
      <c r="Q458" s="7">
        <v>2835</v>
      </c>
      <c r="R458" s="7"/>
      <c r="S458" s="7">
        <v>5</v>
      </c>
      <c r="T458" s="7">
        <v>115</v>
      </c>
      <c r="U458" s="7">
        <v>115</v>
      </c>
      <c r="V458" s="7">
        <f t="shared" si="40"/>
        <v>0.14758789991473484</v>
      </c>
      <c r="W458" s="7">
        <f t="shared" si="41"/>
        <v>7.7118580289693966E-4</v>
      </c>
      <c r="X458" t="s">
        <v>931</v>
      </c>
      <c r="Y458" t="s">
        <v>932</v>
      </c>
      <c r="Z458" t="s">
        <v>933</v>
      </c>
      <c r="AA458" t="s">
        <v>934</v>
      </c>
      <c r="AB458" t="s">
        <v>92</v>
      </c>
    </row>
    <row r="459" spans="1:28">
      <c r="A459" t="s">
        <v>925</v>
      </c>
      <c r="B459" t="s">
        <v>938</v>
      </c>
      <c r="C459" t="s">
        <v>815</v>
      </c>
      <c r="D459" t="s">
        <v>927</v>
      </c>
      <c r="E459" t="s">
        <v>939</v>
      </c>
      <c r="F459">
        <v>0.5</v>
      </c>
      <c r="G459" t="s">
        <v>929</v>
      </c>
      <c r="H459" t="s">
        <v>84</v>
      </c>
      <c r="I459" t="s">
        <v>85</v>
      </c>
      <c r="J459" t="s">
        <v>547</v>
      </c>
      <c r="K459" t="s">
        <v>149</v>
      </c>
      <c r="L459" t="s">
        <v>40</v>
      </c>
      <c r="M459" t="s">
        <v>930</v>
      </c>
      <c r="N459" s="7">
        <v>2446</v>
      </c>
      <c r="O459" s="7"/>
      <c r="P459" s="7">
        <v>5</v>
      </c>
      <c r="Q459" s="7">
        <v>3022</v>
      </c>
      <c r="R459" s="7"/>
      <c r="S459" s="7">
        <v>5</v>
      </c>
      <c r="T459" s="7">
        <v>115</v>
      </c>
      <c r="U459" s="7">
        <v>125</v>
      </c>
      <c r="V459" s="7">
        <f t="shared" si="40"/>
        <v>0.2114648265855672</v>
      </c>
      <c r="W459" s="7">
        <f t="shared" si="41"/>
        <v>7.8427722234297378E-4</v>
      </c>
      <c r="X459" t="s">
        <v>931</v>
      </c>
      <c r="Y459" t="s">
        <v>932</v>
      </c>
      <c r="Z459" t="s">
        <v>933</v>
      </c>
      <c r="AA459" t="s">
        <v>934</v>
      </c>
      <c r="AB459" t="s">
        <v>92</v>
      </c>
    </row>
    <row r="460" spans="1:28">
      <c r="A460" t="s">
        <v>940</v>
      </c>
      <c r="B460" t="s">
        <v>941</v>
      </c>
      <c r="C460" t="s">
        <v>942</v>
      </c>
      <c r="D460" t="s">
        <v>943</v>
      </c>
      <c r="E460" t="s">
        <v>96</v>
      </c>
      <c r="F460">
        <v>10</v>
      </c>
      <c r="G460" t="s">
        <v>185</v>
      </c>
      <c r="H460" t="s">
        <v>376</v>
      </c>
      <c r="I460" t="s">
        <v>377</v>
      </c>
      <c r="J460" t="s">
        <v>944</v>
      </c>
      <c r="K460" t="s">
        <v>149</v>
      </c>
      <c r="L460" t="s">
        <v>40</v>
      </c>
      <c r="M460" t="s">
        <v>188</v>
      </c>
      <c r="N460" s="7">
        <v>17.39</v>
      </c>
      <c r="O460" s="7"/>
      <c r="P460" s="7">
        <v>5</v>
      </c>
      <c r="Q460" s="7">
        <v>19.96</v>
      </c>
      <c r="R460" s="7"/>
      <c r="S460" s="7">
        <v>5</v>
      </c>
      <c r="T460" s="7">
        <v>1.24</v>
      </c>
      <c r="U460" s="7">
        <v>0.57999999999999996</v>
      </c>
      <c r="V460" s="7">
        <f t="shared" si="40"/>
        <v>0.1378349425171263</v>
      </c>
      <c r="W460" s="7">
        <f t="shared" si="41"/>
        <v>1.185765351655058E-3</v>
      </c>
      <c r="X460" t="s">
        <v>379</v>
      </c>
      <c r="Y460" t="s">
        <v>380</v>
      </c>
      <c r="Z460" t="s">
        <v>381</v>
      </c>
      <c r="AA460" t="s">
        <v>945</v>
      </c>
      <c r="AB460" t="s">
        <v>92</v>
      </c>
    </row>
    <row r="461" spans="1:28">
      <c r="A461" t="s">
        <v>940</v>
      </c>
      <c r="B461" t="s">
        <v>946</v>
      </c>
      <c r="C461" t="s">
        <v>942</v>
      </c>
      <c r="D461" t="s">
        <v>943</v>
      </c>
      <c r="E461" t="s">
        <v>96</v>
      </c>
      <c r="F461">
        <v>20</v>
      </c>
      <c r="G461" t="s">
        <v>185</v>
      </c>
      <c r="H461" t="s">
        <v>376</v>
      </c>
      <c r="I461" t="s">
        <v>377</v>
      </c>
      <c r="J461" t="s">
        <v>944</v>
      </c>
      <c r="K461" t="s">
        <v>149</v>
      </c>
      <c r="L461" t="s">
        <v>40</v>
      </c>
      <c r="M461" t="s">
        <v>188</v>
      </c>
      <c r="N461" s="7">
        <v>17.39</v>
      </c>
      <c r="O461" s="7"/>
      <c r="P461" s="7">
        <v>5</v>
      </c>
      <c r="Q461" s="7">
        <v>22.79</v>
      </c>
      <c r="R461" s="7"/>
      <c r="S461" s="7">
        <v>5</v>
      </c>
      <c r="T461" s="7">
        <v>1.24</v>
      </c>
      <c r="U461" s="7">
        <v>0.93</v>
      </c>
      <c r="V461" s="7">
        <f t="shared" si="40"/>
        <v>0.27042651489140113</v>
      </c>
      <c r="W461" s="7">
        <f t="shared" si="41"/>
        <v>1.3499388441245309E-3</v>
      </c>
      <c r="X461" t="s">
        <v>379</v>
      </c>
      <c r="Y461" t="s">
        <v>380</v>
      </c>
      <c r="Z461" t="s">
        <v>381</v>
      </c>
      <c r="AA461" t="s">
        <v>945</v>
      </c>
      <c r="AB461" t="s">
        <v>92</v>
      </c>
    </row>
    <row r="462" spans="1:28">
      <c r="A462" t="s">
        <v>940</v>
      </c>
      <c r="B462" t="s">
        <v>947</v>
      </c>
      <c r="C462" t="s">
        <v>942</v>
      </c>
      <c r="D462" t="s">
        <v>943</v>
      </c>
      <c r="E462" t="s">
        <v>96</v>
      </c>
      <c r="F462">
        <v>10</v>
      </c>
      <c r="G462" t="s">
        <v>185</v>
      </c>
      <c r="H462" t="s">
        <v>376</v>
      </c>
      <c r="I462" t="s">
        <v>377</v>
      </c>
      <c r="J462" t="s">
        <v>944</v>
      </c>
      <c r="K462" t="s">
        <v>149</v>
      </c>
      <c r="L462" t="s">
        <v>30</v>
      </c>
      <c r="M462" t="s">
        <v>188</v>
      </c>
      <c r="N462" s="7">
        <v>11.68</v>
      </c>
      <c r="O462" s="7"/>
      <c r="P462" s="7">
        <v>5</v>
      </c>
      <c r="Q462" s="7">
        <v>11.82</v>
      </c>
      <c r="R462" s="7"/>
      <c r="S462" s="7">
        <v>5</v>
      </c>
      <c r="T462" s="7">
        <v>0.49</v>
      </c>
      <c r="U462" s="7">
        <v>1.1499999999999999</v>
      </c>
      <c r="V462" s="7">
        <f t="shared" si="40"/>
        <v>1.1915034577871244E-2</v>
      </c>
      <c r="W462" s="7">
        <f t="shared" si="41"/>
        <v>2.2451698166030746E-3</v>
      </c>
      <c r="X462" t="s">
        <v>379</v>
      </c>
      <c r="Y462" t="s">
        <v>380</v>
      </c>
      <c r="Z462" t="s">
        <v>381</v>
      </c>
      <c r="AA462" t="s">
        <v>948</v>
      </c>
      <c r="AB462" t="s">
        <v>92</v>
      </c>
    </row>
    <row r="463" spans="1:28">
      <c r="A463" t="s">
        <v>940</v>
      </c>
      <c r="B463" t="s">
        <v>949</v>
      </c>
      <c r="C463" t="s">
        <v>942</v>
      </c>
      <c r="D463" t="s">
        <v>943</v>
      </c>
      <c r="E463" t="s">
        <v>96</v>
      </c>
      <c r="F463">
        <v>20</v>
      </c>
      <c r="G463" t="s">
        <v>185</v>
      </c>
      <c r="H463" t="s">
        <v>376</v>
      </c>
      <c r="I463" t="s">
        <v>377</v>
      </c>
      <c r="J463" t="s">
        <v>944</v>
      </c>
      <c r="K463" t="s">
        <v>149</v>
      </c>
      <c r="L463" t="s">
        <v>30</v>
      </c>
      <c r="M463" t="s">
        <v>188</v>
      </c>
      <c r="N463" s="7">
        <v>11.68</v>
      </c>
      <c r="O463" s="7"/>
      <c r="P463" s="7">
        <v>5</v>
      </c>
      <c r="Q463" s="7">
        <v>12.87</v>
      </c>
      <c r="R463" s="7"/>
      <c r="S463" s="7">
        <v>5</v>
      </c>
      <c r="T463" s="7">
        <v>0.49</v>
      </c>
      <c r="U463" s="7">
        <v>1.2</v>
      </c>
      <c r="V463" s="7">
        <f t="shared" si="40"/>
        <v>9.7021044207954293E-2</v>
      </c>
      <c r="W463" s="7">
        <f t="shared" si="41"/>
        <v>2.0907379777807475E-3</v>
      </c>
      <c r="X463" t="s">
        <v>379</v>
      </c>
      <c r="Y463" t="s">
        <v>380</v>
      </c>
      <c r="Z463" t="s">
        <v>381</v>
      </c>
      <c r="AA463" t="s">
        <v>948</v>
      </c>
      <c r="AB463" t="s">
        <v>92</v>
      </c>
    </row>
    <row r="464" spans="1:28">
      <c r="A464" t="s">
        <v>940</v>
      </c>
      <c r="B464" t="s">
        <v>950</v>
      </c>
      <c r="C464" t="s">
        <v>942</v>
      </c>
      <c r="D464" t="s">
        <v>943</v>
      </c>
      <c r="E464" t="s">
        <v>96</v>
      </c>
      <c r="F464">
        <v>10</v>
      </c>
      <c r="G464" t="s">
        <v>185</v>
      </c>
      <c r="H464" t="s">
        <v>376</v>
      </c>
      <c r="I464" t="s">
        <v>377</v>
      </c>
      <c r="J464" t="s">
        <v>944</v>
      </c>
      <c r="K464" t="s">
        <v>149</v>
      </c>
      <c r="L464" t="s">
        <v>337</v>
      </c>
      <c r="M464" t="s">
        <v>188</v>
      </c>
      <c r="N464" s="7">
        <v>3.19</v>
      </c>
      <c r="O464" s="7"/>
      <c r="P464" s="7">
        <v>5</v>
      </c>
      <c r="Q464" s="7">
        <v>3.39</v>
      </c>
      <c r="R464" s="7"/>
      <c r="S464" s="7">
        <v>5</v>
      </c>
      <c r="T464" s="7">
        <v>0.16</v>
      </c>
      <c r="U464" s="7">
        <v>0.03</v>
      </c>
      <c r="V464" s="7">
        <f t="shared" si="40"/>
        <v>6.0809004595605787E-2</v>
      </c>
      <c r="W464" s="7">
        <f t="shared" si="41"/>
        <v>5.188026433794482E-4</v>
      </c>
      <c r="X464" t="s">
        <v>379</v>
      </c>
      <c r="Y464" t="s">
        <v>380</v>
      </c>
      <c r="Z464" t="s">
        <v>381</v>
      </c>
      <c r="AA464" t="s">
        <v>951</v>
      </c>
      <c r="AB464" t="s">
        <v>92</v>
      </c>
    </row>
    <row r="465" spans="1:28">
      <c r="A465" t="s">
        <v>940</v>
      </c>
      <c r="B465" t="s">
        <v>952</v>
      </c>
      <c r="C465" t="s">
        <v>942</v>
      </c>
      <c r="D465" t="s">
        <v>943</v>
      </c>
      <c r="E465" t="s">
        <v>96</v>
      </c>
      <c r="F465">
        <v>20</v>
      </c>
      <c r="G465" t="s">
        <v>185</v>
      </c>
      <c r="H465" t="s">
        <v>376</v>
      </c>
      <c r="I465" t="s">
        <v>377</v>
      </c>
      <c r="J465" t="s">
        <v>944</v>
      </c>
      <c r="K465" t="s">
        <v>149</v>
      </c>
      <c r="L465" t="s">
        <v>337</v>
      </c>
      <c r="M465" t="s">
        <v>188</v>
      </c>
      <c r="N465" s="7">
        <v>3.19</v>
      </c>
      <c r="O465" s="7"/>
      <c r="P465" s="7">
        <v>5</v>
      </c>
      <c r="Q465" s="7">
        <v>3.46</v>
      </c>
      <c r="R465" s="7"/>
      <c r="S465" s="7">
        <v>5</v>
      </c>
      <c r="T465" s="7">
        <v>0.16</v>
      </c>
      <c r="U465" s="7">
        <v>7.0000000000000007E-2</v>
      </c>
      <c r="V465" s="7">
        <f t="shared" si="40"/>
        <v>8.1247672272879781E-2</v>
      </c>
      <c r="W465" s="7">
        <f t="shared" si="41"/>
        <v>5.8500011266562923E-4</v>
      </c>
      <c r="X465" t="s">
        <v>379</v>
      </c>
      <c r="Y465" t="s">
        <v>380</v>
      </c>
      <c r="Z465" t="s">
        <v>381</v>
      </c>
      <c r="AA465" t="s">
        <v>951</v>
      </c>
      <c r="AB465" t="s">
        <v>92</v>
      </c>
    </row>
    <row r="466" spans="1:28">
      <c r="A466" t="s">
        <v>940</v>
      </c>
      <c r="B466" t="s">
        <v>953</v>
      </c>
      <c r="C466" t="s">
        <v>942</v>
      </c>
      <c r="D466" t="s">
        <v>943</v>
      </c>
      <c r="E466" t="s">
        <v>96</v>
      </c>
      <c r="F466">
        <v>10</v>
      </c>
      <c r="G466" t="s">
        <v>185</v>
      </c>
      <c r="H466" t="s">
        <v>376</v>
      </c>
      <c r="I466" t="s">
        <v>377</v>
      </c>
      <c r="J466" t="s">
        <v>944</v>
      </c>
      <c r="K466" t="s">
        <v>29</v>
      </c>
      <c r="L466" t="s">
        <v>40</v>
      </c>
      <c r="M466" t="s">
        <v>188</v>
      </c>
      <c r="N466" s="7">
        <v>15.48</v>
      </c>
      <c r="O466" s="7"/>
      <c r="P466" s="7">
        <v>5</v>
      </c>
      <c r="Q466" s="7">
        <v>16.96</v>
      </c>
      <c r="R466" s="7"/>
      <c r="S466" s="7">
        <v>5</v>
      </c>
      <c r="T466" s="7">
        <v>0.82</v>
      </c>
      <c r="U466" s="7">
        <v>0.37</v>
      </c>
      <c r="V466" s="7">
        <f t="shared" si="40"/>
        <v>9.1308762202175972E-2</v>
      </c>
      <c r="W466" s="7">
        <f t="shared" si="41"/>
        <v>6.5638547810123959E-4</v>
      </c>
      <c r="X466" t="s">
        <v>379</v>
      </c>
      <c r="Y466" t="s">
        <v>380</v>
      </c>
      <c r="Z466" t="s">
        <v>381</v>
      </c>
      <c r="AA466" t="s">
        <v>954</v>
      </c>
      <c r="AB466" t="s">
        <v>92</v>
      </c>
    </row>
    <row r="467" spans="1:28">
      <c r="A467" t="s">
        <v>940</v>
      </c>
      <c r="B467" t="s">
        <v>955</v>
      </c>
      <c r="C467" t="s">
        <v>942</v>
      </c>
      <c r="D467" t="s">
        <v>943</v>
      </c>
      <c r="E467" t="s">
        <v>96</v>
      </c>
      <c r="F467">
        <v>20</v>
      </c>
      <c r="G467" t="s">
        <v>185</v>
      </c>
      <c r="H467" t="s">
        <v>376</v>
      </c>
      <c r="I467" t="s">
        <v>377</v>
      </c>
      <c r="J467" t="s">
        <v>944</v>
      </c>
      <c r="K467" t="s">
        <v>29</v>
      </c>
      <c r="L467" t="s">
        <v>40</v>
      </c>
      <c r="M467" t="s">
        <v>188</v>
      </c>
      <c r="N467" s="7">
        <v>15.48</v>
      </c>
      <c r="O467" s="7"/>
      <c r="P467" s="7">
        <v>5</v>
      </c>
      <c r="Q467" s="7">
        <v>20.67</v>
      </c>
      <c r="R467" s="7"/>
      <c r="S467" s="7">
        <v>5</v>
      </c>
      <c r="T467" s="7">
        <v>0.82</v>
      </c>
      <c r="U467" s="7">
        <v>1.08</v>
      </c>
      <c r="V467" s="7">
        <f t="shared" si="40"/>
        <v>0.28913450553209596</v>
      </c>
      <c r="W467" s="7">
        <f t="shared" si="41"/>
        <v>1.1072024941748914E-3</v>
      </c>
      <c r="X467" t="s">
        <v>379</v>
      </c>
      <c r="Y467" t="s">
        <v>380</v>
      </c>
      <c r="Z467" t="s">
        <v>381</v>
      </c>
      <c r="AA467" t="s">
        <v>954</v>
      </c>
      <c r="AB467" t="s">
        <v>92</v>
      </c>
    </row>
    <row r="468" spans="1:28">
      <c r="A468" t="s">
        <v>940</v>
      </c>
      <c r="B468" t="s">
        <v>956</v>
      </c>
      <c r="C468" t="s">
        <v>942</v>
      </c>
      <c r="D468" t="s">
        <v>943</v>
      </c>
      <c r="E468" t="s">
        <v>96</v>
      </c>
      <c r="F468">
        <v>10</v>
      </c>
      <c r="G468" t="s">
        <v>185</v>
      </c>
      <c r="H468" t="s">
        <v>376</v>
      </c>
      <c r="I468" t="s">
        <v>377</v>
      </c>
      <c r="J468" t="s">
        <v>944</v>
      </c>
      <c r="K468" t="s">
        <v>29</v>
      </c>
      <c r="L468" t="s">
        <v>30</v>
      </c>
      <c r="M468" t="s">
        <v>188</v>
      </c>
      <c r="N468" s="7">
        <v>14.82</v>
      </c>
      <c r="O468" s="7"/>
      <c r="P468" s="7">
        <v>5</v>
      </c>
      <c r="Q468" s="7">
        <v>15.47</v>
      </c>
      <c r="R468" s="7"/>
      <c r="S468" s="7">
        <v>5</v>
      </c>
      <c r="T468" s="7">
        <v>0.64</v>
      </c>
      <c r="U468" s="7">
        <v>0.68</v>
      </c>
      <c r="V468" s="7">
        <f t="shared" si="40"/>
        <v>4.2925044717033844E-2</v>
      </c>
      <c r="W468" s="7">
        <f t="shared" si="41"/>
        <v>7.5941362355778962E-4</v>
      </c>
      <c r="X468" t="s">
        <v>379</v>
      </c>
      <c r="Y468" t="s">
        <v>380</v>
      </c>
      <c r="Z468" t="s">
        <v>381</v>
      </c>
      <c r="AA468" t="s">
        <v>957</v>
      </c>
      <c r="AB468" t="s">
        <v>92</v>
      </c>
    </row>
    <row r="469" spans="1:28">
      <c r="A469" t="s">
        <v>940</v>
      </c>
      <c r="B469" t="s">
        <v>958</v>
      </c>
      <c r="C469" t="s">
        <v>942</v>
      </c>
      <c r="D469" t="s">
        <v>943</v>
      </c>
      <c r="E469" t="s">
        <v>96</v>
      </c>
      <c r="F469">
        <v>20</v>
      </c>
      <c r="G469" t="s">
        <v>185</v>
      </c>
      <c r="H469" t="s">
        <v>376</v>
      </c>
      <c r="I469" t="s">
        <v>377</v>
      </c>
      <c r="J469" t="s">
        <v>944</v>
      </c>
      <c r="K469" t="s">
        <v>29</v>
      </c>
      <c r="L469" t="s">
        <v>30</v>
      </c>
      <c r="M469" t="s">
        <v>188</v>
      </c>
      <c r="N469" s="7">
        <v>14.82</v>
      </c>
      <c r="O469" s="7"/>
      <c r="P469" s="7">
        <v>5</v>
      </c>
      <c r="Q469" s="7">
        <v>16.95</v>
      </c>
      <c r="R469" s="7"/>
      <c r="S469" s="7">
        <v>5</v>
      </c>
      <c r="T469" s="7">
        <v>0.64</v>
      </c>
      <c r="U469" s="7">
        <v>1.03</v>
      </c>
      <c r="V469" s="7">
        <f t="shared" si="40"/>
        <v>0.13429021395851842</v>
      </c>
      <c r="W469" s="7">
        <f t="shared" si="41"/>
        <v>1.111511589185776E-3</v>
      </c>
      <c r="X469" t="s">
        <v>379</v>
      </c>
      <c r="Y469" t="s">
        <v>380</v>
      </c>
      <c r="Z469" t="s">
        <v>381</v>
      </c>
      <c r="AA469" t="s">
        <v>957</v>
      </c>
      <c r="AB469" t="s">
        <v>92</v>
      </c>
    </row>
    <row r="470" spans="1:28">
      <c r="A470" t="s">
        <v>940</v>
      </c>
      <c r="B470" t="s">
        <v>959</v>
      </c>
      <c r="C470" t="s">
        <v>942</v>
      </c>
      <c r="D470" t="s">
        <v>943</v>
      </c>
      <c r="E470" t="s">
        <v>96</v>
      </c>
      <c r="F470">
        <v>10</v>
      </c>
      <c r="G470" t="s">
        <v>185</v>
      </c>
      <c r="H470" t="s">
        <v>376</v>
      </c>
      <c r="I470" t="s">
        <v>377</v>
      </c>
      <c r="J470" t="s">
        <v>944</v>
      </c>
      <c r="K470" t="s">
        <v>29</v>
      </c>
      <c r="L470" t="s">
        <v>337</v>
      </c>
      <c r="M470" t="s">
        <v>188</v>
      </c>
      <c r="N470" s="7">
        <v>3.06</v>
      </c>
      <c r="O470" s="7"/>
      <c r="P470" s="7">
        <v>5</v>
      </c>
      <c r="Q470" s="7">
        <v>3.18</v>
      </c>
      <c r="R470" s="7"/>
      <c r="S470" s="7">
        <v>5</v>
      </c>
      <c r="T470" s="7">
        <v>0.1</v>
      </c>
      <c r="U470" s="7">
        <v>0.08</v>
      </c>
      <c r="V470" s="7">
        <f t="shared" si="40"/>
        <v>3.8466280827796143E-2</v>
      </c>
      <c r="W470" s="7">
        <f t="shared" si="41"/>
        <v>3.4017033396602204E-4</v>
      </c>
      <c r="X470" t="s">
        <v>379</v>
      </c>
      <c r="Y470" t="s">
        <v>380</v>
      </c>
      <c r="Z470" t="s">
        <v>381</v>
      </c>
      <c r="AA470" t="s">
        <v>960</v>
      </c>
      <c r="AB470" t="s">
        <v>92</v>
      </c>
    </row>
    <row r="471" spans="1:28">
      <c r="A471" t="s">
        <v>940</v>
      </c>
      <c r="B471" t="s">
        <v>961</v>
      </c>
      <c r="C471" t="s">
        <v>942</v>
      </c>
      <c r="D471" t="s">
        <v>943</v>
      </c>
      <c r="E471" t="s">
        <v>96</v>
      </c>
      <c r="F471">
        <v>20</v>
      </c>
      <c r="G471" t="s">
        <v>185</v>
      </c>
      <c r="H471" t="s">
        <v>376</v>
      </c>
      <c r="I471" t="s">
        <v>377</v>
      </c>
      <c r="J471" t="s">
        <v>944</v>
      </c>
      <c r="K471" t="s">
        <v>29</v>
      </c>
      <c r="L471" t="s">
        <v>337</v>
      </c>
      <c r="M471" t="s">
        <v>188</v>
      </c>
      <c r="N471" s="7">
        <v>3.06</v>
      </c>
      <c r="O471" s="7"/>
      <c r="P471" s="7">
        <v>5</v>
      </c>
      <c r="Q471" s="7">
        <v>3.35</v>
      </c>
      <c r="R471" s="7"/>
      <c r="S471" s="7">
        <v>5</v>
      </c>
      <c r="T471" s="7">
        <v>0.1</v>
      </c>
      <c r="U471" s="7">
        <v>0.12</v>
      </c>
      <c r="V471" s="7">
        <f t="shared" si="40"/>
        <v>9.0545429872685754E-2</v>
      </c>
      <c r="W471" s="7">
        <f t="shared" si="41"/>
        <v>4.7022037370249834E-4</v>
      </c>
      <c r="X471" t="s">
        <v>379</v>
      </c>
      <c r="Y471" t="s">
        <v>380</v>
      </c>
      <c r="Z471" t="s">
        <v>381</v>
      </c>
      <c r="AA471" t="s">
        <v>960</v>
      </c>
      <c r="AB471" t="s">
        <v>92</v>
      </c>
    </row>
    <row r="472" spans="1:28">
      <c r="A472" t="s">
        <v>940</v>
      </c>
      <c r="B472" t="s">
        <v>962</v>
      </c>
      <c r="C472" t="s">
        <v>942</v>
      </c>
      <c r="D472" t="s">
        <v>943</v>
      </c>
      <c r="E472" t="s">
        <v>96</v>
      </c>
      <c r="F472">
        <v>10</v>
      </c>
      <c r="G472" t="s">
        <v>185</v>
      </c>
      <c r="H472" t="s">
        <v>376</v>
      </c>
      <c r="I472" t="s">
        <v>377</v>
      </c>
      <c r="J472" t="s">
        <v>963</v>
      </c>
      <c r="K472" t="s">
        <v>149</v>
      </c>
      <c r="L472" t="s">
        <v>40</v>
      </c>
      <c r="M472" t="s">
        <v>188</v>
      </c>
      <c r="N472" s="7">
        <v>17.32</v>
      </c>
      <c r="O472" s="7"/>
      <c r="P472" s="7">
        <v>5</v>
      </c>
      <c r="Q472" s="7">
        <v>18.899999999999999</v>
      </c>
      <c r="R472" s="7"/>
      <c r="S472" s="7">
        <v>5</v>
      </c>
      <c r="T472" s="7">
        <v>1.07</v>
      </c>
      <c r="U472" s="7">
        <v>0.57999999999999996</v>
      </c>
      <c r="V472" s="7">
        <f t="shared" si="40"/>
        <v>8.7300018931307483E-2</v>
      </c>
      <c r="W472" s="7">
        <f t="shared" si="41"/>
        <v>9.5166003806991886E-4</v>
      </c>
      <c r="X472" t="s">
        <v>379</v>
      </c>
      <c r="Y472" t="s">
        <v>380</v>
      </c>
      <c r="Z472" t="s">
        <v>381</v>
      </c>
      <c r="AA472" t="s">
        <v>964</v>
      </c>
      <c r="AB472" t="s">
        <v>92</v>
      </c>
    </row>
    <row r="473" spans="1:28">
      <c r="A473" t="s">
        <v>940</v>
      </c>
      <c r="B473" t="s">
        <v>965</v>
      </c>
      <c r="C473" t="s">
        <v>942</v>
      </c>
      <c r="D473" t="s">
        <v>943</v>
      </c>
      <c r="E473" t="s">
        <v>96</v>
      </c>
      <c r="F473">
        <v>20</v>
      </c>
      <c r="G473" t="s">
        <v>185</v>
      </c>
      <c r="H473" t="s">
        <v>376</v>
      </c>
      <c r="I473" t="s">
        <v>377</v>
      </c>
      <c r="J473" t="s">
        <v>963</v>
      </c>
      <c r="K473" t="s">
        <v>149</v>
      </c>
      <c r="L473" t="s">
        <v>40</v>
      </c>
      <c r="M473" t="s">
        <v>188</v>
      </c>
      <c r="N473" s="7">
        <v>17.32</v>
      </c>
      <c r="O473" s="7"/>
      <c r="P473" s="7">
        <v>5</v>
      </c>
      <c r="Q473" s="7">
        <v>20.49</v>
      </c>
      <c r="R473" s="7"/>
      <c r="S473" s="7">
        <v>5</v>
      </c>
      <c r="T473" s="7">
        <v>1.07</v>
      </c>
      <c r="U473" s="7">
        <v>0.89</v>
      </c>
      <c r="V473" s="7">
        <f t="shared" si="40"/>
        <v>0.16807505911651924</v>
      </c>
      <c r="W473" s="7">
        <f t="shared" si="41"/>
        <v>1.1406455802902033E-3</v>
      </c>
      <c r="X473" t="s">
        <v>379</v>
      </c>
      <c r="Y473" t="s">
        <v>380</v>
      </c>
      <c r="Z473" t="s">
        <v>381</v>
      </c>
      <c r="AA473" t="s">
        <v>964</v>
      </c>
      <c r="AB473" t="s">
        <v>92</v>
      </c>
    </row>
    <row r="474" spans="1:28">
      <c r="A474" t="s">
        <v>940</v>
      </c>
      <c r="B474" t="s">
        <v>966</v>
      </c>
      <c r="C474" t="s">
        <v>942</v>
      </c>
      <c r="D474" t="s">
        <v>943</v>
      </c>
      <c r="E474" t="s">
        <v>96</v>
      </c>
      <c r="F474">
        <v>10</v>
      </c>
      <c r="G474" t="s">
        <v>185</v>
      </c>
      <c r="H474" t="s">
        <v>376</v>
      </c>
      <c r="I474" t="s">
        <v>377</v>
      </c>
      <c r="J474" t="s">
        <v>963</v>
      </c>
      <c r="K474" t="s">
        <v>149</v>
      </c>
      <c r="L474" t="s">
        <v>30</v>
      </c>
      <c r="M474" t="s">
        <v>188</v>
      </c>
      <c r="N474" s="7">
        <v>9.7200000000000006</v>
      </c>
      <c r="O474" s="7"/>
      <c r="P474" s="7">
        <v>5</v>
      </c>
      <c r="Q474" s="7">
        <v>11.3</v>
      </c>
      <c r="R474" s="7"/>
      <c r="S474" s="7">
        <v>5</v>
      </c>
      <c r="T474" s="7">
        <v>0.98</v>
      </c>
      <c r="U474" s="7">
        <v>1.1100000000000001</v>
      </c>
      <c r="V474" s="7">
        <f t="shared" si="40"/>
        <v>0.15061710724594715</v>
      </c>
      <c r="W474" s="7">
        <f t="shared" si="41"/>
        <v>3.9628873485717635E-3</v>
      </c>
      <c r="X474" t="s">
        <v>379</v>
      </c>
      <c r="Y474" t="s">
        <v>380</v>
      </c>
      <c r="Z474" t="s">
        <v>381</v>
      </c>
      <c r="AA474" t="s">
        <v>967</v>
      </c>
      <c r="AB474" t="s">
        <v>92</v>
      </c>
    </row>
    <row r="475" spans="1:28">
      <c r="A475" t="s">
        <v>940</v>
      </c>
      <c r="B475" t="s">
        <v>968</v>
      </c>
      <c r="C475" t="s">
        <v>942</v>
      </c>
      <c r="D475" t="s">
        <v>943</v>
      </c>
      <c r="E475" t="s">
        <v>96</v>
      </c>
      <c r="F475">
        <v>20</v>
      </c>
      <c r="G475" t="s">
        <v>185</v>
      </c>
      <c r="H475" t="s">
        <v>376</v>
      </c>
      <c r="I475" t="s">
        <v>377</v>
      </c>
      <c r="J475" t="s">
        <v>963</v>
      </c>
      <c r="K475" t="s">
        <v>149</v>
      </c>
      <c r="L475" t="s">
        <v>30</v>
      </c>
      <c r="M475" t="s">
        <v>188</v>
      </c>
      <c r="N475" s="7">
        <v>9.7200000000000006</v>
      </c>
      <c r="O475" s="7"/>
      <c r="P475" s="7">
        <v>5</v>
      </c>
      <c r="Q475" s="7">
        <v>12.59</v>
      </c>
      <c r="R475" s="7"/>
      <c r="S475" s="7">
        <v>5</v>
      </c>
      <c r="T475" s="7">
        <v>0.98</v>
      </c>
      <c r="U475" s="7">
        <v>0.69</v>
      </c>
      <c r="V475" s="7">
        <f t="shared" si="40"/>
        <v>0.25871722958390803</v>
      </c>
      <c r="W475" s="7">
        <f t="shared" si="41"/>
        <v>2.6337836896113583E-3</v>
      </c>
      <c r="X475" t="s">
        <v>379</v>
      </c>
      <c r="Y475" t="s">
        <v>380</v>
      </c>
      <c r="Z475" t="s">
        <v>381</v>
      </c>
      <c r="AA475" t="s">
        <v>967</v>
      </c>
      <c r="AB475" t="s">
        <v>92</v>
      </c>
    </row>
    <row r="476" spans="1:28">
      <c r="A476" t="s">
        <v>940</v>
      </c>
      <c r="B476" t="s">
        <v>969</v>
      </c>
      <c r="C476" t="s">
        <v>942</v>
      </c>
      <c r="D476" t="s">
        <v>943</v>
      </c>
      <c r="E476" t="s">
        <v>96</v>
      </c>
      <c r="F476">
        <v>10</v>
      </c>
      <c r="G476" t="s">
        <v>185</v>
      </c>
      <c r="H476" t="s">
        <v>376</v>
      </c>
      <c r="I476" t="s">
        <v>377</v>
      </c>
      <c r="J476" t="s">
        <v>963</v>
      </c>
      <c r="K476" t="s">
        <v>149</v>
      </c>
      <c r="L476" t="s">
        <v>337</v>
      </c>
      <c r="M476" t="s">
        <v>188</v>
      </c>
      <c r="N476" s="7">
        <v>2.7</v>
      </c>
      <c r="O476" s="7"/>
      <c r="P476" s="7">
        <v>5</v>
      </c>
      <c r="Q476" s="7">
        <v>2.9</v>
      </c>
      <c r="R476" s="7"/>
      <c r="S476" s="7">
        <v>5</v>
      </c>
      <c r="T476" s="7">
        <v>0.15</v>
      </c>
      <c r="U476" s="7">
        <v>0.15</v>
      </c>
      <c r="V476" s="7">
        <f t="shared" si="40"/>
        <v>7.1458963982144852E-2</v>
      </c>
      <c r="W476" s="7">
        <f t="shared" si="41"/>
        <v>1.1523612395590199E-3</v>
      </c>
      <c r="X476" t="s">
        <v>379</v>
      </c>
      <c r="Y476" t="s">
        <v>380</v>
      </c>
      <c r="Z476" t="s">
        <v>381</v>
      </c>
      <c r="AA476" t="s">
        <v>970</v>
      </c>
      <c r="AB476" t="s">
        <v>92</v>
      </c>
    </row>
    <row r="477" spans="1:28">
      <c r="A477" t="s">
        <v>940</v>
      </c>
      <c r="B477" t="s">
        <v>971</v>
      </c>
      <c r="C477" t="s">
        <v>942</v>
      </c>
      <c r="D477" t="s">
        <v>943</v>
      </c>
      <c r="E477" t="s">
        <v>96</v>
      </c>
      <c r="F477">
        <v>20</v>
      </c>
      <c r="G477" t="s">
        <v>185</v>
      </c>
      <c r="H477" t="s">
        <v>376</v>
      </c>
      <c r="I477" t="s">
        <v>377</v>
      </c>
      <c r="J477" t="s">
        <v>963</v>
      </c>
      <c r="K477" t="s">
        <v>149</v>
      </c>
      <c r="L477" t="s">
        <v>337</v>
      </c>
      <c r="M477" t="s">
        <v>188</v>
      </c>
      <c r="N477" s="7">
        <v>2.7</v>
      </c>
      <c r="O477" s="7"/>
      <c r="P477" s="7">
        <v>5</v>
      </c>
      <c r="Q477" s="7">
        <v>3.12</v>
      </c>
      <c r="R477" s="7"/>
      <c r="S477" s="7">
        <v>5</v>
      </c>
      <c r="T477" s="7">
        <v>0.15</v>
      </c>
      <c r="U477" s="7">
        <v>0.09</v>
      </c>
      <c r="V477" s="7">
        <f t="shared" si="40"/>
        <v>0.14458122881110749</v>
      </c>
      <c r="W477" s="7">
        <f t="shared" si="41"/>
        <v>7.8370406896047912E-4</v>
      </c>
      <c r="X477" t="s">
        <v>379</v>
      </c>
      <c r="Y477" t="s">
        <v>380</v>
      </c>
      <c r="Z477" t="s">
        <v>381</v>
      </c>
      <c r="AA477" t="s">
        <v>970</v>
      </c>
      <c r="AB477" t="s">
        <v>92</v>
      </c>
    </row>
    <row r="478" spans="1:28">
      <c r="A478" t="s">
        <v>940</v>
      </c>
      <c r="B478" t="s">
        <v>972</v>
      </c>
      <c r="C478" t="s">
        <v>942</v>
      </c>
      <c r="D478" t="s">
        <v>943</v>
      </c>
      <c r="E478" t="s">
        <v>96</v>
      </c>
      <c r="F478">
        <v>10</v>
      </c>
      <c r="G478" t="s">
        <v>185</v>
      </c>
      <c r="H478" t="s">
        <v>376</v>
      </c>
      <c r="I478" t="s">
        <v>377</v>
      </c>
      <c r="J478" t="s">
        <v>963</v>
      </c>
      <c r="K478" t="s">
        <v>29</v>
      </c>
      <c r="L478" t="s">
        <v>40</v>
      </c>
      <c r="M478" t="s">
        <v>188</v>
      </c>
      <c r="N478" s="7">
        <v>13.8</v>
      </c>
      <c r="O478" s="7"/>
      <c r="P478" s="7">
        <v>5</v>
      </c>
      <c r="Q478" s="7">
        <v>15.35</v>
      </c>
      <c r="R478" s="7"/>
      <c r="S478" s="7">
        <v>5</v>
      </c>
      <c r="T478" s="7">
        <v>0.73</v>
      </c>
      <c r="U478" s="7">
        <v>0.51</v>
      </c>
      <c r="V478" s="7">
        <f t="shared" si="40"/>
        <v>0.106446881870047</v>
      </c>
      <c r="W478" s="7">
        <f t="shared" si="41"/>
        <v>7.804282120226785E-4</v>
      </c>
      <c r="X478" t="s">
        <v>379</v>
      </c>
      <c r="Y478" t="s">
        <v>380</v>
      </c>
      <c r="Z478" t="s">
        <v>381</v>
      </c>
      <c r="AA478" t="s">
        <v>973</v>
      </c>
      <c r="AB478" t="s">
        <v>92</v>
      </c>
    </row>
    <row r="479" spans="1:28">
      <c r="A479" t="s">
        <v>940</v>
      </c>
      <c r="B479" t="s">
        <v>974</v>
      </c>
      <c r="C479" t="s">
        <v>942</v>
      </c>
      <c r="D479" t="s">
        <v>943</v>
      </c>
      <c r="E479" t="s">
        <v>96</v>
      </c>
      <c r="F479">
        <v>20</v>
      </c>
      <c r="G479" t="s">
        <v>185</v>
      </c>
      <c r="H479" t="s">
        <v>376</v>
      </c>
      <c r="I479" t="s">
        <v>377</v>
      </c>
      <c r="J479" t="s">
        <v>963</v>
      </c>
      <c r="K479" t="s">
        <v>29</v>
      </c>
      <c r="L479" t="s">
        <v>40</v>
      </c>
      <c r="M479" t="s">
        <v>188</v>
      </c>
      <c r="N479" s="7">
        <v>13.8</v>
      </c>
      <c r="O479" s="7"/>
      <c r="P479" s="7">
        <v>5</v>
      </c>
      <c r="Q479" s="7">
        <v>15.5</v>
      </c>
      <c r="R479" s="7"/>
      <c r="S479" s="7">
        <v>5</v>
      </c>
      <c r="T479" s="7">
        <v>0.73</v>
      </c>
      <c r="U479" s="7">
        <v>0.56000000000000005</v>
      </c>
      <c r="V479" s="7">
        <f t="shared" si="40"/>
        <v>0.11617143176204182</v>
      </c>
      <c r="W479" s="7">
        <f t="shared" si="41"/>
        <v>8.2071272813426634E-4</v>
      </c>
      <c r="X479" t="s">
        <v>379</v>
      </c>
      <c r="Y479" t="s">
        <v>380</v>
      </c>
      <c r="Z479" t="s">
        <v>381</v>
      </c>
      <c r="AA479" t="s">
        <v>973</v>
      </c>
      <c r="AB479" t="s">
        <v>92</v>
      </c>
    </row>
    <row r="480" spans="1:28">
      <c r="A480" t="s">
        <v>940</v>
      </c>
      <c r="B480" t="s">
        <v>975</v>
      </c>
      <c r="C480" t="s">
        <v>942</v>
      </c>
      <c r="D480" t="s">
        <v>943</v>
      </c>
      <c r="E480" t="s">
        <v>96</v>
      </c>
      <c r="F480">
        <v>10</v>
      </c>
      <c r="G480" t="s">
        <v>185</v>
      </c>
      <c r="H480" t="s">
        <v>376</v>
      </c>
      <c r="I480" t="s">
        <v>377</v>
      </c>
      <c r="J480" t="s">
        <v>963</v>
      </c>
      <c r="K480" t="s">
        <v>29</v>
      </c>
      <c r="L480" t="s">
        <v>30</v>
      </c>
      <c r="M480" t="s">
        <v>188</v>
      </c>
      <c r="N480" s="7">
        <v>11.36</v>
      </c>
      <c r="O480" s="7"/>
      <c r="P480" s="7">
        <v>5</v>
      </c>
      <c r="Q480" s="7">
        <v>12.63</v>
      </c>
      <c r="R480" s="7"/>
      <c r="S480" s="7">
        <v>5</v>
      </c>
      <c r="T480" s="7">
        <v>0.84</v>
      </c>
      <c r="U480" s="7">
        <v>0.85</v>
      </c>
      <c r="V480" s="7">
        <f t="shared" si="40"/>
        <v>0.10597652306939459</v>
      </c>
      <c r="W480" s="7">
        <f t="shared" si="41"/>
        <v>1.9993931605952297E-3</v>
      </c>
      <c r="X480" t="s">
        <v>379</v>
      </c>
      <c r="Y480" t="s">
        <v>380</v>
      </c>
      <c r="Z480" t="s">
        <v>381</v>
      </c>
      <c r="AA480" t="s">
        <v>976</v>
      </c>
      <c r="AB480" t="s">
        <v>92</v>
      </c>
    </row>
    <row r="481" spans="1:28">
      <c r="A481" t="s">
        <v>940</v>
      </c>
      <c r="B481" t="s">
        <v>977</v>
      </c>
      <c r="C481" t="s">
        <v>942</v>
      </c>
      <c r="D481" t="s">
        <v>943</v>
      </c>
      <c r="E481" t="s">
        <v>96</v>
      </c>
      <c r="F481">
        <v>20</v>
      </c>
      <c r="G481" t="s">
        <v>185</v>
      </c>
      <c r="H481" t="s">
        <v>376</v>
      </c>
      <c r="I481" t="s">
        <v>377</v>
      </c>
      <c r="J481" t="s">
        <v>963</v>
      </c>
      <c r="K481" t="s">
        <v>29</v>
      </c>
      <c r="L481" t="s">
        <v>30</v>
      </c>
      <c r="M481" t="s">
        <v>188</v>
      </c>
      <c r="N481" s="7">
        <v>11.36</v>
      </c>
      <c r="O481" s="7"/>
      <c r="P481" s="7">
        <v>5</v>
      </c>
      <c r="Q481" s="7">
        <v>14.72</v>
      </c>
      <c r="R481" s="7"/>
      <c r="S481" s="7">
        <v>5</v>
      </c>
      <c r="T481" s="7">
        <v>0.84</v>
      </c>
      <c r="U481" s="7">
        <v>0.37</v>
      </c>
      <c r="V481" s="7">
        <f t="shared" si="40"/>
        <v>0.2591087000077249</v>
      </c>
      <c r="W481" s="7">
        <f t="shared" si="41"/>
        <v>1.2198954169208049E-3</v>
      </c>
      <c r="X481" t="s">
        <v>379</v>
      </c>
      <c r="Y481" t="s">
        <v>380</v>
      </c>
      <c r="Z481" t="s">
        <v>381</v>
      </c>
      <c r="AA481" t="s">
        <v>976</v>
      </c>
      <c r="AB481" t="s">
        <v>92</v>
      </c>
    </row>
    <row r="482" spans="1:28">
      <c r="A482" t="s">
        <v>940</v>
      </c>
      <c r="B482" t="s">
        <v>978</v>
      </c>
      <c r="C482" t="s">
        <v>942</v>
      </c>
      <c r="D482" t="s">
        <v>943</v>
      </c>
      <c r="E482" t="s">
        <v>96</v>
      </c>
      <c r="F482">
        <v>10</v>
      </c>
      <c r="G482" t="s">
        <v>185</v>
      </c>
      <c r="H482" t="s">
        <v>376</v>
      </c>
      <c r="I482" t="s">
        <v>377</v>
      </c>
      <c r="J482" t="s">
        <v>963</v>
      </c>
      <c r="K482" t="s">
        <v>29</v>
      </c>
      <c r="L482" t="s">
        <v>337</v>
      </c>
      <c r="M482" t="s">
        <v>188</v>
      </c>
      <c r="N482" s="7">
        <v>2.4700000000000002</v>
      </c>
      <c r="O482" s="7"/>
      <c r="P482" s="7">
        <v>5</v>
      </c>
      <c r="Q482" s="7">
        <v>2.8</v>
      </c>
      <c r="R482" s="7"/>
      <c r="S482" s="7">
        <v>5</v>
      </c>
      <c r="T482" s="7">
        <v>0.06</v>
      </c>
      <c r="U482" s="7">
        <v>0.16</v>
      </c>
      <c r="V482" s="7">
        <f t="shared" si="40"/>
        <v>0.12540126654127226</v>
      </c>
      <c r="W482" s="7">
        <f t="shared" si="41"/>
        <v>7.7107659927056599E-4</v>
      </c>
      <c r="X482" t="s">
        <v>379</v>
      </c>
      <c r="Y482" t="s">
        <v>380</v>
      </c>
      <c r="Z482" t="s">
        <v>381</v>
      </c>
      <c r="AA482" t="s">
        <v>979</v>
      </c>
      <c r="AB482" t="s">
        <v>92</v>
      </c>
    </row>
    <row r="483" spans="1:28">
      <c r="A483" t="s">
        <v>940</v>
      </c>
      <c r="B483" t="s">
        <v>980</v>
      </c>
      <c r="C483" t="s">
        <v>942</v>
      </c>
      <c r="D483" t="s">
        <v>943</v>
      </c>
      <c r="E483" t="s">
        <v>96</v>
      </c>
      <c r="F483">
        <v>20</v>
      </c>
      <c r="G483" t="s">
        <v>185</v>
      </c>
      <c r="H483" t="s">
        <v>376</v>
      </c>
      <c r="I483" t="s">
        <v>377</v>
      </c>
      <c r="J483" t="s">
        <v>963</v>
      </c>
      <c r="K483" t="s">
        <v>29</v>
      </c>
      <c r="L483" t="s">
        <v>337</v>
      </c>
      <c r="M483" t="s">
        <v>188</v>
      </c>
      <c r="N483" s="7">
        <v>2.4700000000000002</v>
      </c>
      <c r="O483" s="7"/>
      <c r="P483" s="7">
        <v>5</v>
      </c>
      <c r="Q483" s="7">
        <v>2.69</v>
      </c>
      <c r="R483" s="7"/>
      <c r="S483" s="7">
        <v>5</v>
      </c>
      <c r="T483" s="7">
        <v>0.06</v>
      </c>
      <c r="U483" s="7">
        <v>0.18</v>
      </c>
      <c r="V483" s="7">
        <f t="shared" si="40"/>
        <v>8.5323042973861868E-2</v>
      </c>
      <c r="W483" s="7">
        <f t="shared" si="41"/>
        <v>1.0135253870802131E-3</v>
      </c>
      <c r="X483" t="s">
        <v>379</v>
      </c>
      <c r="Y483" t="s">
        <v>380</v>
      </c>
      <c r="Z483" t="s">
        <v>381</v>
      </c>
      <c r="AA483" t="s">
        <v>979</v>
      </c>
      <c r="AB483" t="s">
        <v>92</v>
      </c>
    </row>
    <row r="484" spans="1:28">
      <c r="A484" t="s">
        <v>981</v>
      </c>
      <c r="B484" t="s">
        <v>982</v>
      </c>
      <c r="C484" t="s">
        <v>983</v>
      </c>
      <c r="E484" t="s">
        <v>562</v>
      </c>
      <c r="F484">
        <v>0.5</v>
      </c>
      <c r="G484" t="s">
        <v>185</v>
      </c>
      <c r="H484" t="s">
        <v>675</v>
      </c>
      <c r="I484" t="s">
        <v>85</v>
      </c>
      <c r="J484" t="s">
        <v>86</v>
      </c>
      <c r="K484" t="s">
        <v>984</v>
      </c>
      <c r="L484" t="s">
        <v>42</v>
      </c>
      <c r="M484" t="s">
        <v>188</v>
      </c>
      <c r="N484" s="7">
        <v>11.1</v>
      </c>
      <c r="O484" s="7">
        <v>0.55000000000000004</v>
      </c>
      <c r="P484" s="7">
        <v>3</v>
      </c>
      <c r="Q484" s="7">
        <v>13.167929999999998</v>
      </c>
      <c r="R484" s="7">
        <v>0.55000000000000004</v>
      </c>
      <c r="S484" s="7">
        <v>3</v>
      </c>
      <c r="T484" s="7">
        <f t="shared" ref="T484:T508" si="42">O484*SQRT(P484)</f>
        <v>0.95262794416288255</v>
      </c>
      <c r="U484" s="7">
        <f t="shared" ref="U484:U508" si="43">R484*SQRT(S484)</f>
        <v>0.95262794416288255</v>
      </c>
      <c r="V484" s="7">
        <f t="shared" si="40"/>
        <v>0.17083921968492047</v>
      </c>
      <c r="W484" s="7">
        <f t="shared" si="41"/>
        <v>4.1997357364670553E-3</v>
      </c>
      <c r="X484" t="s">
        <v>985</v>
      </c>
      <c r="Y484" t="s">
        <v>986</v>
      </c>
      <c r="Z484" t="s">
        <v>515</v>
      </c>
      <c r="AA484" t="s">
        <v>987</v>
      </c>
      <c r="AB484" t="s">
        <v>92</v>
      </c>
    </row>
    <row r="485" spans="1:28">
      <c r="A485" t="s">
        <v>981</v>
      </c>
      <c r="B485" t="s">
        <v>988</v>
      </c>
      <c r="C485" t="s">
        <v>983</v>
      </c>
      <c r="E485" t="s">
        <v>562</v>
      </c>
      <c r="F485">
        <v>1</v>
      </c>
      <c r="G485" t="s">
        <v>185</v>
      </c>
      <c r="H485" t="s">
        <v>675</v>
      </c>
      <c r="I485" t="s">
        <v>85</v>
      </c>
      <c r="J485" t="s">
        <v>86</v>
      </c>
      <c r="K485" t="s">
        <v>984</v>
      </c>
      <c r="L485" t="s">
        <v>42</v>
      </c>
      <c r="M485" t="s">
        <v>188</v>
      </c>
      <c r="N485" s="7">
        <v>11.1</v>
      </c>
      <c r="O485" s="7">
        <v>0.55000000000000004</v>
      </c>
      <c r="P485" s="7">
        <v>3</v>
      </c>
      <c r="Q485" s="7">
        <v>15.36462</v>
      </c>
      <c r="R485" s="7">
        <v>0.6</v>
      </c>
      <c r="S485" s="7">
        <v>3</v>
      </c>
      <c r="T485" s="7">
        <f t="shared" si="42"/>
        <v>0.95262794416288255</v>
      </c>
      <c r="U485" s="7">
        <f t="shared" si="43"/>
        <v>1.0392304845413263</v>
      </c>
      <c r="V485" s="7">
        <f t="shared" si="40"/>
        <v>0.32512235542562601</v>
      </c>
      <c r="W485" s="7">
        <f t="shared" si="41"/>
        <v>3.9801192692535681E-3</v>
      </c>
      <c r="X485" t="s">
        <v>985</v>
      </c>
      <c r="Y485" t="s">
        <v>986</v>
      </c>
      <c r="Z485" t="s">
        <v>515</v>
      </c>
      <c r="AA485" t="s">
        <v>987</v>
      </c>
      <c r="AB485" t="s">
        <v>92</v>
      </c>
    </row>
    <row r="486" spans="1:28">
      <c r="A486" t="s">
        <v>981</v>
      </c>
      <c r="B486" t="s">
        <v>989</v>
      </c>
      <c r="C486" t="s">
        <v>983</v>
      </c>
      <c r="E486" t="s">
        <v>562</v>
      </c>
      <c r="F486">
        <v>2</v>
      </c>
      <c r="G486" t="s">
        <v>185</v>
      </c>
      <c r="H486" t="s">
        <v>675</v>
      </c>
      <c r="I486" t="s">
        <v>85</v>
      </c>
      <c r="J486" t="s">
        <v>86</v>
      </c>
      <c r="K486" t="s">
        <v>984</v>
      </c>
      <c r="L486" t="s">
        <v>42</v>
      </c>
      <c r="M486" t="s">
        <v>188</v>
      </c>
      <c r="N486" s="7">
        <v>11.1</v>
      </c>
      <c r="O486" s="7">
        <v>0.55000000000000004</v>
      </c>
      <c r="P486" s="7">
        <v>3</v>
      </c>
      <c r="Q486" s="7">
        <v>16.654439999999997</v>
      </c>
      <c r="R486" s="7">
        <v>0.65</v>
      </c>
      <c r="S486" s="7">
        <v>3</v>
      </c>
      <c r="T486" s="7">
        <f t="shared" si="42"/>
        <v>0.95262794416288255</v>
      </c>
      <c r="U486" s="7">
        <f t="shared" si="43"/>
        <v>1.1258330249197701</v>
      </c>
      <c r="V486" s="7">
        <f t="shared" si="40"/>
        <v>0.40573173922559502</v>
      </c>
      <c r="W486" s="7">
        <f t="shared" si="41"/>
        <v>3.9783919298324033E-3</v>
      </c>
      <c r="X486" t="s">
        <v>985</v>
      </c>
      <c r="Y486" t="s">
        <v>986</v>
      </c>
      <c r="Z486" t="s">
        <v>515</v>
      </c>
      <c r="AA486" t="s">
        <v>987</v>
      </c>
      <c r="AB486" t="s">
        <v>92</v>
      </c>
    </row>
    <row r="487" spans="1:28">
      <c r="A487" t="s">
        <v>981</v>
      </c>
      <c r="B487" t="s">
        <v>990</v>
      </c>
      <c r="C487" t="s">
        <v>983</v>
      </c>
      <c r="E487" t="s">
        <v>562</v>
      </c>
      <c r="F487">
        <v>5</v>
      </c>
      <c r="G487" t="s">
        <v>185</v>
      </c>
      <c r="H487" t="s">
        <v>675</v>
      </c>
      <c r="I487" t="s">
        <v>85</v>
      </c>
      <c r="J487" t="s">
        <v>86</v>
      </c>
      <c r="K487" t="s">
        <v>984</v>
      </c>
      <c r="L487" t="s">
        <v>42</v>
      </c>
      <c r="M487" t="s">
        <v>188</v>
      </c>
      <c r="N487" s="7">
        <v>11.1</v>
      </c>
      <c r="O487" s="7">
        <v>0.55000000000000004</v>
      </c>
      <c r="P487" s="7">
        <v>3</v>
      </c>
      <c r="Q487" s="7">
        <v>15.561089999999998</v>
      </c>
      <c r="R487" s="7">
        <v>0.6</v>
      </c>
      <c r="S487" s="7">
        <v>3</v>
      </c>
      <c r="T487" s="7">
        <f t="shared" si="42"/>
        <v>0.95262794416288255</v>
      </c>
      <c r="U487" s="7">
        <f t="shared" si="43"/>
        <v>1.0392304845413263</v>
      </c>
      <c r="V487" s="7">
        <f t="shared" si="40"/>
        <v>0.33782845939235306</v>
      </c>
      <c r="W487" s="7">
        <f t="shared" si="41"/>
        <v>3.9418548832884943E-3</v>
      </c>
      <c r="X487" t="s">
        <v>985</v>
      </c>
      <c r="Y487" t="s">
        <v>986</v>
      </c>
      <c r="Z487" t="s">
        <v>515</v>
      </c>
      <c r="AA487" t="s">
        <v>987</v>
      </c>
      <c r="AB487" t="s">
        <v>92</v>
      </c>
    </row>
    <row r="488" spans="1:28">
      <c r="A488" t="s">
        <v>981</v>
      </c>
      <c r="B488" t="s">
        <v>991</v>
      </c>
      <c r="C488" t="s">
        <v>983</v>
      </c>
      <c r="E488" t="s">
        <v>562</v>
      </c>
      <c r="F488">
        <v>0.5</v>
      </c>
      <c r="G488" t="s">
        <v>185</v>
      </c>
      <c r="H488" t="s">
        <v>675</v>
      </c>
      <c r="I488" t="s">
        <v>85</v>
      </c>
      <c r="J488" t="s">
        <v>86</v>
      </c>
      <c r="K488" t="s">
        <v>984</v>
      </c>
      <c r="L488" t="s">
        <v>40</v>
      </c>
      <c r="M488" t="s">
        <v>188</v>
      </c>
      <c r="N488" s="7">
        <v>9.6999999999999993</v>
      </c>
      <c r="O488" s="7">
        <v>0.45</v>
      </c>
      <c r="P488" s="7">
        <v>3</v>
      </c>
      <c r="Q488" s="7">
        <v>11.154999999999998</v>
      </c>
      <c r="R488" s="7">
        <v>0.5</v>
      </c>
      <c r="S488" s="7">
        <v>3</v>
      </c>
      <c r="T488" s="7">
        <f t="shared" si="42"/>
        <v>0.77942286340599476</v>
      </c>
      <c r="U488" s="7">
        <f t="shared" si="43"/>
        <v>0.8660254037844386</v>
      </c>
      <c r="V488" s="7">
        <f t="shared" si="40"/>
        <v>0.13976194237515863</v>
      </c>
      <c r="W488" s="7">
        <f t="shared" si="41"/>
        <v>4.1612914956339325E-3</v>
      </c>
      <c r="X488" t="s">
        <v>985</v>
      </c>
      <c r="Y488" t="s">
        <v>986</v>
      </c>
      <c r="Z488" t="s">
        <v>515</v>
      </c>
      <c r="AA488" t="s">
        <v>992</v>
      </c>
      <c r="AB488" t="s">
        <v>92</v>
      </c>
    </row>
    <row r="489" spans="1:28">
      <c r="A489" t="s">
        <v>981</v>
      </c>
      <c r="B489" t="s">
        <v>993</v>
      </c>
      <c r="C489" t="s">
        <v>983</v>
      </c>
      <c r="E489" t="s">
        <v>562</v>
      </c>
      <c r="F489">
        <v>1</v>
      </c>
      <c r="G489" t="s">
        <v>185</v>
      </c>
      <c r="H489" t="s">
        <v>675</v>
      </c>
      <c r="I489" t="s">
        <v>85</v>
      </c>
      <c r="J489" t="s">
        <v>86</v>
      </c>
      <c r="K489" t="s">
        <v>984</v>
      </c>
      <c r="L489" t="s">
        <v>40</v>
      </c>
      <c r="M489" t="s">
        <v>188</v>
      </c>
      <c r="N489" s="7">
        <v>9.6999999999999993</v>
      </c>
      <c r="O489" s="7">
        <v>0.45</v>
      </c>
      <c r="P489" s="7">
        <v>3</v>
      </c>
      <c r="Q489" s="7">
        <v>13.6091</v>
      </c>
      <c r="R489" s="7">
        <v>0.55000000000000004</v>
      </c>
      <c r="S489" s="7">
        <v>3</v>
      </c>
      <c r="T489" s="7">
        <f t="shared" si="42"/>
        <v>0.77942286340599476</v>
      </c>
      <c r="U489" s="7">
        <f t="shared" si="43"/>
        <v>0.95262794416288255</v>
      </c>
      <c r="V489" s="7">
        <f t="shared" si="40"/>
        <v>0.33861280112032388</v>
      </c>
      <c r="W489" s="7">
        <f t="shared" si="41"/>
        <v>3.7854969875035019E-3</v>
      </c>
      <c r="X489" t="s">
        <v>985</v>
      </c>
      <c r="Y489" t="s">
        <v>986</v>
      </c>
      <c r="Z489" t="s">
        <v>515</v>
      </c>
      <c r="AA489" t="s">
        <v>992</v>
      </c>
      <c r="AB489" t="s">
        <v>92</v>
      </c>
    </row>
    <row r="490" spans="1:28">
      <c r="A490" t="s">
        <v>981</v>
      </c>
      <c r="B490" t="s">
        <v>994</v>
      </c>
      <c r="C490" t="s">
        <v>983</v>
      </c>
      <c r="E490" t="s">
        <v>562</v>
      </c>
      <c r="F490">
        <v>2</v>
      </c>
      <c r="G490" t="s">
        <v>185</v>
      </c>
      <c r="H490" t="s">
        <v>675</v>
      </c>
      <c r="I490" t="s">
        <v>85</v>
      </c>
      <c r="J490" t="s">
        <v>86</v>
      </c>
      <c r="K490" t="s">
        <v>984</v>
      </c>
      <c r="L490" t="s">
        <v>40</v>
      </c>
      <c r="M490" t="s">
        <v>188</v>
      </c>
      <c r="N490" s="7">
        <v>9.6999999999999993</v>
      </c>
      <c r="O490" s="7">
        <v>0.45</v>
      </c>
      <c r="P490" s="7">
        <v>3</v>
      </c>
      <c r="Q490" s="7">
        <v>13.676999999999998</v>
      </c>
      <c r="R490" s="7">
        <v>0.55000000000000004</v>
      </c>
      <c r="S490" s="7">
        <v>3</v>
      </c>
      <c r="T490" s="7">
        <f t="shared" si="42"/>
        <v>0.77942286340599476</v>
      </c>
      <c r="U490" s="7">
        <f t="shared" si="43"/>
        <v>0.95262794416288255</v>
      </c>
      <c r="V490" s="7">
        <f t="shared" si="40"/>
        <v>0.34358970439007686</v>
      </c>
      <c r="W490" s="7">
        <f t="shared" si="41"/>
        <v>3.7693200571672263E-3</v>
      </c>
      <c r="X490" t="s">
        <v>985</v>
      </c>
      <c r="Y490" t="s">
        <v>986</v>
      </c>
      <c r="Z490" t="s">
        <v>515</v>
      </c>
      <c r="AA490" t="s">
        <v>992</v>
      </c>
      <c r="AB490" t="s">
        <v>92</v>
      </c>
    </row>
    <row r="491" spans="1:28">
      <c r="A491" t="s">
        <v>981</v>
      </c>
      <c r="B491" t="s">
        <v>995</v>
      </c>
      <c r="C491" t="s">
        <v>983</v>
      </c>
      <c r="E491" t="s">
        <v>562</v>
      </c>
      <c r="F491">
        <v>5</v>
      </c>
      <c r="G491" t="s">
        <v>185</v>
      </c>
      <c r="H491" t="s">
        <v>675</v>
      </c>
      <c r="I491" t="s">
        <v>85</v>
      </c>
      <c r="J491" t="s">
        <v>86</v>
      </c>
      <c r="K491" t="s">
        <v>984</v>
      </c>
      <c r="L491" t="s">
        <v>40</v>
      </c>
      <c r="M491" t="s">
        <v>188</v>
      </c>
      <c r="N491" s="7">
        <v>9.6999999999999993</v>
      </c>
      <c r="O491" s="7">
        <v>0.45</v>
      </c>
      <c r="P491" s="7">
        <v>3</v>
      </c>
      <c r="Q491" s="7">
        <v>11.901899999999998</v>
      </c>
      <c r="R491" s="7">
        <v>0.5</v>
      </c>
      <c r="S491" s="7">
        <v>3</v>
      </c>
      <c r="T491" s="7">
        <f t="shared" si="42"/>
        <v>0.77942286340599476</v>
      </c>
      <c r="U491" s="7">
        <f t="shared" si="43"/>
        <v>0.8660254037844386</v>
      </c>
      <c r="V491" s="7">
        <f t="shared" si="40"/>
        <v>0.20457216572877429</v>
      </c>
      <c r="W491" s="7">
        <f t="shared" si="41"/>
        <v>3.9170431443294098E-3</v>
      </c>
      <c r="X491" t="s">
        <v>985</v>
      </c>
      <c r="Y491" t="s">
        <v>986</v>
      </c>
      <c r="Z491" t="s">
        <v>515</v>
      </c>
      <c r="AA491" t="s">
        <v>992</v>
      </c>
      <c r="AB491" t="s">
        <v>92</v>
      </c>
    </row>
    <row r="492" spans="1:28">
      <c r="A492" t="s">
        <v>996</v>
      </c>
      <c r="B492" t="s">
        <v>997</v>
      </c>
      <c r="C492" t="s">
        <v>998</v>
      </c>
      <c r="D492" t="s">
        <v>999</v>
      </c>
      <c r="E492" t="s">
        <v>96</v>
      </c>
      <c r="F492">
        <v>10</v>
      </c>
      <c r="G492" t="s">
        <v>185</v>
      </c>
      <c r="H492" t="s">
        <v>84</v>
      </c>
      <c r="I492" t="s">
        <v>186</v>
      </c>
      <c r="J492" t="s">
        <v>1000</v>
      </c>
      <c r="K492" t="s">
        <v>149</v>
      </c>
      <c r="L492" t="s">
        <v>40</v>
      </c>
      <c r="M492" t="s">
        <v>188</v>
      </c>
      <c r="N492" s="7">
        <v>22.5</v>
      </c>
      <c r="O492" s="7">
        <v>1.8</v>
      </c>
      <c r="P492" s="7">
        <v>3</v>
      </c>
      <c r="Q492" s="7">
        <v>26.99</v>
      </c>
      <c r="R492" s="7">
        <v>1.5</v>
      </c>
      <c r="S492" s="7">
        <v>3</v>
      </c>
      <c r="T492" s="7">
        <f t="shared" si="42"/>
        <v>3.117691453623979</v>
      </c>
      <c r="U492" s="7">
        <f t="shared" si="43"/>
        <v>2.598076211353316</v>
      </c>
      <c r="V492" s="7">
        <f t="shared" si="40"/>
        <v>0.18195111781953879</v>
      </c>
      <c r="W492" s="7">
        <f t="shared" si="41"/>
        <v>9.4887072606996588E-3</v>
      </c>
      <c r="X492" t="s">
        <v>1001</v>
      </c>
      <c r="Y492" t="s">
        <v>1002</v>
      </c>
      <c r="Z492" t="s">
        <v>90</v>
      </c>
      <c r="AA492" t="s">
        <v>1003</v>
      </c>
      <c r="AB492" t="s">
        <v>92</v>
      </c>
    </row>
    <row r="493" spans="1:28">
      <c r="A493" t="s">
        <v>996</v>
      </c>
      <c r="B493" t="s">
        <v>1004</v>
      </c>
      <c r="C493" t="s">
        <v>998</v>
      </c>
      <c r="D493" t="s">
        <v>999</v>
      </c>
      <c r="E493" t="s">
        <v>96</v>
      </c>
      <c r="F493">
        <v>10</v>
      </c>
      <c r="G493" t="s">
        <v>185</v>
      </c>
      <c r="H493" t="s">
        <v>84</v>
      </c>
      <c r="I493" t="s">
        <v>186</v>
      </c>
      <c r="J493" t="s">
        <v>1000</v>
      </c>
      <c r="K493" t="s">
        <v>149</v>
      </c>
      <c r="L493" t="s">
        <v>30</v>
      </c>
      <c r="M493" t="s">
        <v>188</v>
      </c>
      <c r="N493" s="7">
        <v>8.02</v>
      </c>
      <c r="O493" s="7">
        <v>0.7</v>
      </c>
      <c r="P493" s="7">
        <v>3</v>
      </c>
      <c r="Q493" s="7">
        <v>9.7100000000000009</v>
      </c>
      <c r="R493" s="7">
        <v>0.6</v>
      </c>
      <c r="S493" s="7">
        <v>3</v>
      </c>
      <c r="T493" s="7">
        <f t="shared" si="42"/>
        <v>1.2124355652982139</v>
      </c>
      <c r="U493" s="7">
        <f t="shared" si="43"/>
        <v>1.0392304845413263</v>
      </c>
      <c r="V493" s="7">
        <f t="shared" si="40"/>
        <v>0.19121786042481062</v>
      </c>
      <c r="W493" s="7">
        <f t="shared" si="41"/>
        <v>1.143635901886467E-2</v>
      </c>
      <c r="X493" t="s">
        <v>1001</v>
      </c>
      <c r="Y493" t="s">
        <v>1002</v>
      </c>
      <c r="Z493" t="s">
        <v>90</v>
      </c>
      <c r="AA493" t="s">
        <v>1005</v>
      </c>
      <c r="AB493" t="s">
        <v>92</v>
      </c>
    </row>
    <row r="494" spans="1:28">
      <c r="A494" t="s">
        <v>996</v>
      </c>
      <c r="B494" t="s">
        <v>1006</v>
      </c>
      <c r="C494" t="s">
        <v>998</v>
      </c>
      <c r="D494" t="s">
        <v>999</v>
      </c>
      <c r="E494" t="s">
        <v>96</v>
      </c>
      <c r="F494">
        <v>10</v>
      </c>
      <c r="G494" t="s">
        <v>185</v>
      </c>
      <c r="H494" t="s">
        <v>84</v>
      </c>
      <c r="I494" t="s">
        <v>186</v>
      </c>
      <c r="J494" t="s">
        <v>1000</v>
      </c>
      <c r="K494" t="s">
        <v>149</v>
      </c>
      <c r="L494" t="s">
        <v>337</v>
      </c>
      <c r="M494" t="s">
        <v>188</v>
      </c>
      <c r="N494" s="7">
        <v>4.33</v>
      </c>
      <c r="O494" s="7">
        <v>0.25</v>
      </c>
      <c r="P494" s="7">
        <v>3</v>
      </c>
      <c r="Q494" s="7">
        <v>4.74</v>
      </c>
      <c r="R494" s="7">
        <v>0.25</v>
      </c>
      <c r="S494" s="7">
        <v>3</v>
      </c>
      <c r="T494" s="7">
        <f t="shared" si="42"/>
        <v>0.4330127018922193</v>
      </c>
      <c r="U494" s="7">
        <f t="shared" si="43"/>
        <v>0.4330127018922193</v>
      </c>
      <c r="V494" s="7">
        <f t="shared" si="40"/>
        <v>9.0469593692586753E-2</v>
      </c>
      <c r="W494" s="7">
        <f t="shared" si="41"/>
        <v>6.1153124464462926E-3</v>
      </c>
      <c r="X494" t="s">
        <v>1001</v>
      </c>
      <c r="Y494" t="s">
        <v>1002</v>
      </c>
      <c r="Z494" t="s">
        <v>90</v>
      </c>
      <c r="AA494" t="s">
        <v>1007</v>
      </c>
      <c r="AB494" t="s">
        <v>92</v>
      </c>
    </row>
    <row r="495" spans="1:28">
      <c r="A495" t="s">
        <v>996</v>
      </c>
      <c r="B495" t="s">
        <v>1008</v>
      </c>
      <c r="C495" t="s">
        <v>998</v>
      </c>
      <c r="D495" t="s">
        <v>999</v>
      </c>
      <c r="E495" t="s">
        <v>96</v>
      </c>
      <c r="F495">
        <v>10</v>
      </c>
      <c r="G495" t="s">
        <v>185</v>
      </c>
      <c r="H495" t="s">
        <v>84</v>
      </c>
      <c r="I495" t="s">
        <v>186</v>
      </c>
      <c r="J495" t="s">
        <v>1009</v>
      </c>
      <c r="K495" t="s">
        <v>149</v>
      </c>
      <c r="L495" t="s">
        <v>40</v>
      </c>
      <c r="M495" t="s">
        <v>188</v>
      </c>
      <c r="N495" s="7">
        <v>19.84</v>
      </c>
      <c r="O495" s="7">
        <v>1.5</v>
      </c>
      <c r="P495" s="7">
        <v>3</v>
      </c>
      <c r="Q495" s="7">
        <v>24.46</v>
      </c>
      <c r="R495" s="7">
        <v>1.45</v>
      </c>
      <c r="S495" s="7">
        <v>3</v>
      </c>
      <c r="T495" s="7">
        <f t="shared" si="42"/>
        <v>2.598076211353316</v>
      </c>
      <c r="U495" s="7">
        <f t="shared" si="43"/>
        <v>2.5114736709748717</v>
      </c>
      <c r="V495" s="7">
        <f t="shared" si="40"/>
        <v>0.20933902840229959</v>
      </c>
      <c r="W495" s="7">
        <f t="shared" si="41"/>
        <v>9.2302643240157779E-3</v>
      </c>
      <c r="X495" t="s">
        <v>1001</v>
      </c>
      <c r="Y495" t="s">
        <v>1002</v>
      </c>
      <c r="Z495" t="s">
        <v>90</v>
      </c>
      <c r="AA495" t="s">
        <v>1010</v>
      </c>
      <c r="AB495" t="s">
        <v>92</v>
      </c>
    </row>
    <row r="496" spans="1:28">
      <c r="A496" t="s">
        <v>996</v>
      </c>
      <c r="B496" t="s">
        <v>1011</v>
      </c>
      <c r="C496" t="s">
        <v>998</v>
      </c>
      <c r="D496" t="s">
        <v>999</v>
      </c>
      <c r="E496" t="s">
        <v>96</v>
      </c>
      <c r="F496">
        <v>10</v>
      </c>
      <c r="G496" t="s">
        <v>185</v>
      </c>
      <c r="H496" t="s">
        <v>84</v>
      </c>
      <c r="I496" t="s">
        <v>186</v>
      </c>
      <c r="J496" t="s">
        <v>1009</v>
      </c>
      <c r="K496" t="s">
        <v>149</v>
      </c>
      <c r="L496" t="s">
        <v>30</v>
      </c>
      <c r="M496" t="s">
        <v>188</v>
      </c>
      <c r="N496" s="7">
        <v>5.96</v>
      </c>
      <c r="O496" s="7">
        <v>0.65</v>
      </c>
      <c r="P496" s="7">
        <v>3</v>
      </c>
      <c r="Q496" s="7">
        <v>8.49</v>
      </c>
      <c r="R496" s="7">
        <v>0.65</v>
      </c>
      <c r="S496" s="7">
        <v>3</v>
      </c>
      <c r="T496" s="7">
        <f t="shared" si="42"/>
        <v>1.1258330249197701</v>
      </c>
      <c r="U496" s="7">
        <f t="shared" si="43"/>
        <v>1.1258330249197701</v>
      </c>
      <c r="V496" s="7">
        <f t="shared" si="40"/>
        <v>0.35381851924599755</v>
      </c>
      <c r="W496" s="7">
        <f t="shared" si="41"/>
        <v>1.7755706032034128E-2</v>
      </c>
      <c r="X496" t="s">
        <v>1001</v>
      </c>
      <c r="Y496" t="s">
        <v>1002</v>
      </c>
      <c r="Z496" t="s">
        <v>90</v>
      </c>
      <c r="AA496" t="s">
        <v>1012</v>
      </c>
      <c r="AB496" t="s">
        <v>92</v>
      </c>
    </row>
    <row r="497" spans="1:28">
      <c r="A497" t="s">
        <v>996</v>
      </c>
      <c r="B497" t="s">
        <v>1013</v>
      </c>
      <c r="C497" t="s">
        <v>998</v>
      </c>
      <c r="D497" t="s">
        <v>999</v>
      </c>
      <c r="E497" t="s">
        <v>96</v>
      </c>
      <c r="F497">
        <v>10</v>
      </c>
      <c r="G497" t="s">
        <v>185</v>
      </c>
      <c r="H497" t="s">
        <v>84</v>
      </c>
      <c r="I497" t="s">
        <v>186</v>
      </c>
      <c r="J497" t="s">
        <v>1009</v>
      </c>
      <c r="K497" t="s">
        <v>149</v>
      </c>
      <c r="L497" t="s">
        <v>337</v>
      </c>
      <c r="M497" t="s">
        <v>188</v>
      </c>
      <c r="N497" s="7">
        <v>3.73</v>
      </c>
      <c r="O497" s="7">
        <v>0.25</v>
      </c>
      <c r="P497" s="7">
        <v>3</v>
      </c>
      <c r="Q497" s="7">
        <v>4.43</v>
      </c>
      <c r="R497" s="7">
        <v>0.25</v>
      </c>
      <c r="S497" s="7">
        <v>3</v>
      </c>
      <c r="T497" s="7">
        <f t="shared" si="42"/>
        <v>0.4330127018922193</v>
      </c>
      <c r="U497" s="7">
        <f t="shared" si="43"/>
        <v>0.4330127018922193</v>
      </c>
      <c r="V497" s="7">
        <f t="shared" si="40"/>
        <v>0.17199135040132002</v>
      </c>
      <c r="W497" s="7">
        <f t="shared" si="41"/>
        <v>7.676963429879057E-3</v>
      </c>
      <c r="X497" t="s">
        <v>1001</v>
      </c>
      <c r="Y497" t="s">
        <v>1002</v>
      </c>
      <c r="Z497" t="s">
        <v>90</v>
      </c>
      <c r="AA497" t="s">
        <v>1014</v>
      </c>
      <c r="AB497" t="s">
        <v>92</v>
      </c>
    </row>
    <row r="498" spans="1:28">
      <c r="A498" t="s">
        <v>996</v>
      </c>
      <c r="B498" t="s">
        <v>1015</v>
      </c>
      <c r="C498" t="s">
        <v>998</v>
      </c>
      <c r="D498" t="s">
        <v>999</v>
      </c>
      <c r="E498" t="s">
        <v>96</v>
      </c>
      <c r="F498">
        <v>10</v>
      </c>
      <c r="G498" t="s">
        <v>185</v>
      </c>
      <c r="H498" t="s">
        <v>84</v>
      </c>
      <c r="I498" t="s">
        <v>186</v>
      </c>
      <c r="J498" t="s">
        <v>1016</v>
      </c>
      <c r="K498" t="s">
        <v>149</v>
      </c>
      <c r="L498" t="s">
        <v>40</v>
      </c>
      <c r="M498" t="s">
        <v>188</v>
      </c>
      <c r="N498" s="7">
        <v>17.149999999999999</v>
      </c>
      <c r="O498" s="7">
        <v>1.1000000000000001</v>
      </c>
      <c r="P498" s="7">
        <v>3</v>
      </c>
      <c r="Q498" s="7">
        <v>20.67</v>
      </c>
      <c r="R498" s="7">
        <v>1.45</v>
      </c>
      <c r="S498" s="7">
        <v>3</v>
      </c>
      <c r="T498" s="7">
        <f t="shared" si="42"/>
        <v>1.9052558883257651</v>
      </c>
      <c r="U498" s="7">
        <f t="shared" si="43"/>
        <v>2.5114736709748717</v>
      </c>
      <c r="V498" s="7">
        <f t="shared" si="40"/>
        <v>0.18668520008172812</v>
      </c>
      <c r="W498" s="7">
        <f t="shared" si="41"/>
        <v>9.0349512263131516E-3</v>
      </c>
      <c r="X498" t="s">
        <v>1001</v>
      </c>
      <c r="Y498" t="s">
        <v>1002</v>
      </c>
      <c r="Z498" t="s">
        <v>90</v>
      </c>
      <c r="AA498" t="s">
        <v>1017</v>
      </c>
      <c r="AB498" t="s">
        <v>92</v>
      </c>
    </row>
    <row r="499" spans="1:28">
      <c r="A499" t="s">
        <v>996</v>
      </c>
      <c r="B499" t="s">
        <v>1018</v>
      </c>
      <c r="C499" t="s">
        <v>998</v>
      </c>
      <c r="D499" t="s">
        <v>999</v>
      </c>
      <c r="E499" t="s">
        <v>96</v>
      </c>
      <c r="F499">
        <v>10</v>
      </c>
      <c r="G499" t="s">
        <v>185</v>
      </c>
      <c r="H499" t="s">
        <v>84</v>
      </c>
      <c r="I499" t="s">
        <v>186</v>
      </c>
      <c r="J499" t="s">
        <v>1016</v>
      </c>
      <c r="K499" t="s">
        <v>149</v>
      </c>
      <c r="L499" t="s">
        <v>30</v>
      </c>
      <c r="M499" t="s">
        <v>188</v>
      </c>
      <c r="N499" s="7">
        <v>4.96</v>
      </c>
      <c r="O499" s="7">
        <v>0.6</v>
      </c>
      <c r="P499" s="7">
        <v>3</v>
      </c>
      <c r="Q499" s="7">
        <v>6.99</v>
      </c>
      <c r="R499" s="7">
        <v>0.55000000000000004</v>
      </c>
      <c r="S499" s="7">
        <v>3</v>
      </c>
      <c r="T499" s="7">
        <f t="shared" si="42"/>
        <v>1.0392304845413263</v>
      </c>
      <c r="U499" s="7">
        <f t="shared" si="43"/>
        <v>0.95262794416288255</v>
      </c>
      <c r="V499" s="7">
        <f t="shared" si="40"/>
        <v>0.34307481550888286</v>
      </c>
      <c r="W499" s="7">
        <f t="shared" si="41"/>
        <v>2.0824340329563883E-2</v>
      </c>
      <c r="X499" t="s">
        <v>1001</v>
      </c>
      <c r="Y499" t="s">
        <v>1002</v>
      </c>
      <c r="Z499" t="s">
        <v>90</v>
      </c>
      <c r="AA499" t="s">
        <v>1019</v>
      </c>
      <c r="AB499" t="s">
        <v>92</v>
      </c>
    </row>
    <row r="500" spans="1:28">
      <c r="A500" t="s">
        <v>996</v>
      </c>
      <c r="B500" t="s">
        <v>1020</v>
      </c>
      <c r="C500" t="s">
        <v>998</v>
      </c>
      <c r="D500" t="s">
        <v>999</v>
      </c>
      <c r="E500" t="s">
        <v>96</v>
      </c>
      <c r="F500">
        <v>10</v>
      </c>
      <c r="G500" t="s">
        <v>185</v>
      </c>
      <c r="H500" t="s">
        <v>84</v>
      </c>
      <c r="I500" t="s">
        <v>186</v>
      </c>
      <c r="J500" t="s">
        <v>1016</v>
      </c>
      <c r="K500" t="s">
        <v>149</v>
      </c>
      <c r="L500" t="s">
        <v>337</v>
      </c>
      <c r="M500" t="s">
        <v>188</v>
      </c>
      <c r="N500" s="7">
        <v>3.1</v>
      </c>
      <c r="O500" s="7">
        <v>0.2</v>
      </c>
      <c r="P500" s="7">
        <v>3</v>
      </c>
      <c r="Q500" s="7">
        <v>4.03</v>
      </c>
      <c r="R500" s="7">
        <v>0.2</v>
      </c>
      <c r="S500" s="7">
        <v>3</v>
      </c>
      <c r="T500" s="7">
        <f t="shared" si="42"/>
        <v>0.34641016151377546</v>
      </c>
      <c r="U500" s="7">
        <f t="shared" si="43"/>
        <v>0.34641016151377546</v>
      </c>
      <c r="V500" s="7">
        <f t="shared" si="40"/>
        <v>0.26236426446749106</v>
      </c>
      <c r="W500" s="7">
        <f t="shared" si="41"/>
        <v>6.6252486007548819E-3</v>
      </c>
      <c r="X500" t="s">
        <v>1001</v>
      </c>
      <c r="Y500" t="s">
        <v>1002</v>
      </c>
      <c r="Z500" t="s">
        <v>90</v>
      </c>
      <c r="AA500" t="s">
        <v>1021</v>
      </c>
      <c r="AB500" t="s">
        <v>92</v>
      </c>
    </row>
    <row r="501" spans="1:28">
      <c r="A501" t="s">
        <v>1022</v>
      </c>
      <c r="B501" t="s">
        <v>1023</v>
      </c>
      <c r="C501" t="s">
        <v>655</v>
      </c>
      <c r="D501" t="s">
        <v>1024</v>
      </c>
      <c r="E501" t="s">
        <v>96</v>
      </c>
      <c r="F501">
        <v>50</v>
      </c>
      <c r="G501" t="s">
        <v>185</v>
      </c>
      <c r="H501" t="s">
        <v>84</v>
      </c>
      <c r="I501" t="s">
        <v>85</v>
      </c>
      <c r="J501" t="s">
        <v>1025</v>
      </c>
      <c r="K501" t="s">
        <v>149</v>
      </c>
      <c r="L501" t="s">
        <v>40</v>
      </c>
      <c r="M501" t="s">
        <v>423</v>
      </c>
      <c r="N501" s="7">
        <v>1.4330000000000001</v>
      </c>
      <c r="O501" s="7">
        <v>4.0099999999999997E-2</v>
      </c>
      <c r="P501" s="7">
        <v>3</v>
      </c>
      <c r="Q501" s="7">
        <v>1.5367</v>
      </c>
      <c r="R501" s="7">
        <v>4.0099999999999997E-2</v>
      </c>
      <c r="S501" s="7">
        <v>3</v>
      </c>
      <c r="T501" s="7">
        <f t="shared" si="42"/>
        <v>6.9455237383511975E-2</v>
      </c>
      <c r="U501" s="7">
        <f t="shared" si="43"/>
        <v>6.9455237383511975E-2</v>
      </c>
      <c r="V501" s="7">
        <f t="shared" si="40"/>
        <v>6.9867111233114801E-2</v>
      </c>
      <c r="W501" s="7">
        <f t="shared" si="41"/>
        <v>1.4640050789946342E-3</v>
      </c>
      <c r="X501" t="s">
        <v>379</v>
      </c>
      <c r="Y501" t="s">
        <v>380</v>
      </c>
      <c r="Z501" t="s">
        <v>381</v>
      </c>
      <c r="AA501" t="s">
        <v>1026</v>
      </c>
      <c r="AB501" t="s">
        <v>92</v>
      </c>
    </row>
    <row r="502" spans="1:28">
      <c r="A502" t="s">
        <v>1022</v>
      </c>
      <c r="B502" t="s">
        <v>1027</v>
      </c>
      <c r="C502" t="s">
        <v>655</v>
      </c>
      <c r="D502" t="s">
        <v>1024</v>
      </c>
      <c r="E502" t="s">
        <v>96</v>
      </c>
      <c r="F502">
        <v>100</v>
      </c>
      <c r="G502" t="s">
        <v>185</v>
      </c>
      <c r="H502" t="s">
        <v>84</v>
      </c>
      <c r="I502" t="s">
        <v>85</v>
      </c>
      <c r="J502" t="s">
        <v>1025</v>
      </c>
      <c r="K502" t="s">
        <v>149</v>
      </c>
      <c r="L502" t="s">
        <v>40</v>
      </c>
      <c r="M502" t="s">
        <v>423</v>
      </c>
      <c r="N502" s="7">
        <v>1.4330000000000001</v>
      </c>
      <c r="O502" s="7">
        <v>4.0099999999999997E-2</v>
      </c>
      <c r="P502" s="7">
        <v>3</v>
      </c>
      <c r="Q502" s="7">
        <v>1.76</v>
      </c>
      <c r="R502" s="7">
        <v>4.0099999999999997E-2</v>
      </c>
      <c r="S502" s="7">
        <v>3</v>
      </c>
      <c r="T502" s="7">
        <f t="shared" si="42"/>
        <v>6.9455237383511975E-2</v>
      </c>
      <c r="U502" s="7">
        <f t="shared" si="43"/>
        <v>6.9455237383511975E-2</v>
      </c>
      <c r="V502" s="7">
        <f t="shared" si="40"/>
        <v>0.20554366020402551</v>
      </c>
      <c r="W502" s="7">
        <f t="shared" si="41"/>
        <v>1.3021771865187868E-3</v>
      </c>
      <c r="X502" t="s">
        <v>379</v>
      </c>
      <c r="Y502" t="s">
        <v>380</v>
      </c>
      <c r="Z502" t="s">
        <v>381</v>
      </c>
      <c r="AA502" t="s">
        <v>1026</v>
      </c>
      <c r="AB502" t="s">
        <v>92</v>
      </c>
    </row>
    <row r="503" spans="1:28">
      <c r="A503" t="s">
        <v>1022</v>
      </c>
      <c r="B503" t="s">
        <v>1028</v>
      </c>
      <c r="C503" t="s">
        <v>655</v>
      </c>
      <c r="D503" t="s">
        <v>1024</v>
      </c>
      <c r="E503" t="s">
        <v>96</v>
      </c>
      <c r="F503">
        <v>50</v>
      </c>
      <c r="G503" t="s">
        <v>185</v>
      </c>
      <c r="H503" t="s">
        <v>84</v>
      </c>
      <c r="I503" t="s">
        <v>85</v>
      </c>
      <c r="J503" t="s">
        <v>1029</v>
      </c>
      <c r="K503" t="s">
        <v>149</v>
      </c>
      <c r="L503" t="s">
        <v>40</v>
      </c>
      <c r="M503" t="s">
        <v>423</v>
      </c>
      <c r="N503" s="7">
        <v>0.99329999999999996</v>
      </c>
      <c r="O503" s="7">
        <v>4.0099999999999997E-2</v>
      </c>
      <c r="P503" s="7">
        <v>3</v>
      </c>
      <c r="Q503" s="7">
        <v>1.0266999999999999</v>
      </c>
      <c r="R503" s="7">
        <v>4.0099999999999997E-2</v>
      </c>
      <c r="S503" s="7">
        <v>3</v>
      </c>
      <c r="T503" s="7">
        <f t="shared" si="42"/>
        <v>6.9455237383511975E-2</v>
      </c>
      <c r="U503" s="7">
        <f t="shared" si="43"/>
        <v>6.9455237383511975E-2</v>
      </c>
      <c r="V503" s="7">
        <f t="shared" si="40"/>
        <v>3.3072321083608677E-2</v>
      </c>
      <c r="W503" s="7">
        <f t="shared" si="41"/>
        <v>3.1552386348994467E-3</v>
      </c>
      <c r="X503" t="s">
        <v>379</v>
      </c>
      <c r="Y503" t="s">
        <v>380</v>
      </c>
      <c r="Z503" t="s">
        <v>381</v>
      </c>
      <c r="AA503" t="s">
        <v>1030</v>
      </c>
      <c r="AB503" t="s">
        <v>92</v>
      </c>
    </row>
    <row r="504" spans="1:28">
      <c r="A504" t="s">
        <v>1022</v>
      </c>
      <c r="B504" t="s">
        <v>1031</v>
      </c>
      <c r="C504" t="s">
        <v>655</v>
      </c>
      <c r="D504" t="s">
        <v>1024</v>
      </c>
      <c r="E504" t="s">
        <v>96</v>
      </c>
      <c r="F504">
        <v>100</v>
      </c>
      <c r="G504" t="s">
        <v>185</v>
      </c>
      <c r="H504" t="s">
        <v>84</v>
      </c>
      <c r="I504" t="s">
        <v>85</v>
      </c>
      <c r="J504" t="s">
        <v>1029</v>
      </c>
      <c r="K504" t="s">
        <v>149</v>
      </c>
      <c r="L504" t="s">
        <v>40</v>
      </c>
      <c r="M504" t="s">
        <v>423</v>
      </c>
      <c r="N504" s="7">
        <v>0.99329999999999996</v>
      </c>
      <c r="O504" s="7">
        <v>4.0099999999999997E-2</v>
      </c>
      <c r="P504" s="7">
        <v>3</v>
      </c>
      <c r="Q504" s="7">
        <v>1.37</v>
      </c>
      <c r="R504" s="7">
        <v>4.0099999999999997E-2</v>
      </c>
      <c r="S504" s="7">
        <v>3</v>
      </c>
      <c r="T504" s="7">
        <f t="shared" si="42"/>
        <v>6.9455237383511975E-2</v>
      </c>
      <c r="U504" s="7">
        <f t="shared" si="43"/>
        <v>6.9455237383511975E-2</v>
      </c>
      <c r="V504" s="7">
        <f t="shared" si="40"/>
        <v>0.32153328560086036</v>
      </c>
      <c r="W504" s="7">
        <f t="shared" si="41"/>
        <v>2.4865130085572639E-3</v>
      </c>
      <c r="X504" t="s">
        <v>379</v>
      </c>
      <c r="Y504" t="s">
        <v>380</v>
      </c>
      <c r="Z504" t="s">
        <v>381</v>
      </c>
      <c r="AA504" t="s">
        <v>1030</v>
      </c>
      <c r="AB504" t="s">
        <v>92</v>
      </c>
    </row>
    <row r="505" spans="1:28">
      <c r="A505" t="s">
        <v>1022</v>
      </c>
      <c r="B505" t="s">
        <v>1032</v>
      </c>
      <c r="C505" t="s">
        <v>655</v>
      </c>
      <c r="D505" t="s">
        <v>1033</v>
      </c>
      <c r="E505" t="s">
        <v>96</v>
      </c>
      <c r="F505">
        <v>50</v>
      </c>
      <c r="G505" t="s">
        <v>185</v>
      </c>
      <c r="H505" t="s">
        <v>84</v>
      </c>
      <c r="I505" t="s">
        <v>85</v>
      </c>
      <c r="J505" t="s">
        <v>1025</v>
      </c>
      <c r="K505" t="s">
        <v>149</v>
      </c>
      <c r="L505" t="s">
        <v>40</v>
      </c>
      <c r="M505" t="s">
        <v>423</v>
      </c>
      <c r="N505" s="7">
        <v>1.6667000000000001</v>
      </c>
      <c r="O505" s="7">
        <v>4.0099999999999997E-2</v>
      </c>
      <c r="P505" s="7">
        <v>3</v>
      </c>
      <c r="Q505" s="7">
        <v>1.7932999999999999</v>
      </c>
      <c r="R505" s="7">
        <v>4.0099999999999997E-2</v>
      </c>
      <c r="S505" s="7">
        <v>3</v>
      </c>
      <c r="T505" s="7">
        <f t="shared" si="42"/>
        <v>6.9455237383511975E-2</v>
      </c>
      <c r="U505" s="7">
        <f t="shared" si="43"/>
        <v>6.9455237383511975E-2</v>
      </c>
      <c r="V505" s="7">
        <f t="shared" si="40"/>
        <v>7.3211874406247962E-2</v>
      </c>
      <c r="W505" s="7">
        <f t="shared" si="41"/>
        <v>1.0788752326984891E-3</v>
      </c>
      <c r="X505" t="s">
        <v>379</v>
      </c>
      <c r="Y505" t="s">
        <v>380</v>
      </c>
      <c r="Z505" t="s">
        <v>381</v>
      </c>
      <c r="AA505" t="s">
        <v>1034</v>
      </c>
      <c r="AB505" t="s">
        <v>92</v>
      </c>
    </row>
    <row r="506" spans="1:28">
      <c r="A506" t="s">
        <v>1022</v>
      </c>
      <c r="B506" t="s">
        <v>1035</v>
      </c>
      <c r="C506" t="s">
        <v>655</v>
      </c>
      <c r="D506" t="s">
        <v>1033</v>
      </c>
      <c r="E506" t="s">
        <v>96</v>
      </c>
      <c r="F506">
        <v>100</v>
      </c>
      <c r="G506" t="s">
        <v>185</v>
      </c>
      <c r="H506" t="s">
        <v>84</v>
      </c>
      <c r="I506" t="s">
        <v>85</v>
      </c>
      <c r="J506" t="s">
        <v>1025</v>
      </c>
      <c r="K506" t="s">
        <v>149</v>
      </c>
      <c r="L506" t="s">
        <v>40</v>
      </c>
      <c r="M506" t="s">
        <v>423</v>
      </c>
      <c r="N506" s="7">
        <v>1.6667000000000001</v>
      </c>
      <c r="O506" s="7">
        <v>4.0099999999999997E-2</v>
      </c>
      <c r="P506" s="7">
        <v>3</v>
      </c>
      <c r="Q506" s="7">
        <v>1.9167000000000001</v>
      </c>
      <c r="R506" s="7">
        <v>4.0099999999999997E-2</v>
      </c>
      <c r="S506" s="7">
        <v>3</v>
      </c>
      <c r="T506" s="7">
        <f t="shared" si="42"/>
        <v>6.9455237383511975E-2</v>
      </c>
      <c r="U506" s="7">
        <f t="shared" si="43"/>
        <v>6.9455237383511975E-2</v>
      </c>
      <c r="V506" s="7">
        <f t="shared" si="40"/>
        <v>0.1397593337282769</v>
      </c>
      <c r="W506" s="7">
        <f t="shared" si="41"/>
        <v>1.016564388975225E-3</v>
      </c>
      <c r="X506" t="s">
        <v>379</v>
      </c>
      <c r="Y506" t="s">
        <v>380</v>
      </c>
      <c r="Z506" t="s">
        <v>381</v>
      </c>
      <c r="AA506" t="s">
        <v>1034</v>
      </c>
      <c r="AB506" t="s">
        <v>92</v>
      </c>
    </row>
    <row r="507" spans="1:28">
      <c r="A507" t="s">
        <v>1022</v>
      </c>
      <c r="B507" t="s">
        <v>1036</v>
      </c>
      <c r="C507" t="s">
        <v>655</v>
      </c>
      <c r="D507" t="s">
        <v>1033</v>
      </c>
      <c r="E507" t="s">
        <v>96</v>
      </c>
      <c r="F507">
        <v>50</v>
      </c>
      <c r="G507" t="s">
        <v>185</v>
      </c>
      <c r="H507" t="s">
        <v>84</v>
      </c>
      <c r="I507" t="s">
        <v>85</v>
      </c>
      <c r="J507" t="s">
        <v>1029</v>
      </c>
      <c r="K507" t="s">
        <v>149</v>
      </c>
      <c r="L507" t="s">
        <v>40</v>
      </c>
      <c r="M507" t="s">
        <v>423</v>
      </c>
      <c r="N507" s="7">
        <v>1.2666999999999999</v>
      </c>
      <c r="O507" s="7">
        <v>4.0099999999999997E-2</v>
      </c>
      <c r="P507" s="7">
        <v>3</v>
      </c>
      <c r="Q507" s="7">
        <v>1.46</v>
      </c>
      <c r="R507" s="7">
        <v>4.0099999999999997E-2</v>
      </c>
      <c r="S507" s="7">
        <v>3</v>
      </c>
      <c r="T507" s="7">
        <f t="shared" si="42"/>
        <v>6.9455237383511975E-2</v>
      </c>
      <c r="U507" s="7">
        <f t="shared" si="43"/>
        <v>6.9455237383511975E-2</v>
      </c>
      <c r="V507" s="7">
        <f t="shared" si="40"/>
        <v>0.1420213422127953</v>
      </c>
      <c r="W507" s="7">
        <f t="shared" si="41"/>
        <v>1.7565371638931066E-3</v>
      </c>
      <c r="X507" t="s">
        <v>379</v>
      </c>
      <c r="Y507" t="s">
        <v>380</v>
      </c>
      <c r="Z507" t="s">
        <v>381</v>
      </c>
      <c r="AA507" t="s">
        <v>1037</v>
      </c>
      <c r="AB507" t="s">
        <v>92</v>
      </c>
    </row>
    <row r="508" spans="1:28">
      <c r="A508" t="s">
        <v>1022</v>
      </c>
      <c r="B508" t="s">
        <v>1038</v>
      </c>
      <c r="C508" t="s">
        <v>655</v>
      </c>
      <c r="D508" t="s">
        <v>1033</v>
      </c>
      <c r="E508" t="s">
        <v>96</v>
      </c>
      <c r="F508">
        <v>100</v>
      </c>
      <c r="G508" t="s">
        <v>185</v>
      </c>
      <c r="H508" t="s">
        <v>84</v>
      </c>
      <c r="I508" t="s">
        <v>85</v>
      </c>
      <c r="J508" t="s">
        <v>1029</v>
      </c>
      <c r="K508" t="s">
        <v>149</v>
      </c>
      <c r="L508" t="s">
        <v>40</v>
      </c>
      <c r="M508" t="s">
        <v>423</v>
      </c>
      <c r="N508" s="7">
        <v>1.2666999999999999</v>
      </c>
      <c r="O508" s="7">
        <v>4.0099999999999997E-2</v>
      </c>
      <c r="P508" s="7">
        <v>3</v>
      </c>
      <c r="Q508" s="7">
        <v>1.31</v>
      </c>
      <c r="R508" s="7">
        <v>4.0099999999999997E-2</v>
      </c>
      <c r="S508" s="7">
        <v>3</v>
      </c>
      <c r="T508" s="7">
        <f t="shared" si="42"/>
        <v>6.9455237383511975E-2</v>
      </c>
      <c r="U508" s="7">
        <f t="shared" si="43"/>
        <v>6.9455237383511975E-2</v>
      </c>
      <c r="V508" s="7">
        <f t="shared" si="40"/>
        <v>3.3612043705610481E-2</v>
      </c>
      <c r="W508" s="7">
        <f t="shared" si="41"/>
        <v>1.9391837127230045E-3</v>
      </c>
      <c r="X508" t="s">
        <v>379</v>
      </c>
      <c r="Y508" t="s">
        <v>380</v>
      </c>
      <c r="Z508" t="s">
        <v>381</v>
      </c>
      <c r="AA508" t="s">
        <v>1037</v>
      </c>
      <c r="AB508" t="s">
        <v>92</v>
      </c>
    </row>
    <row r="509" spans="1:28">
      <c r="A509" t="s">
        <v>1039</v>
      </c>
      <c r="B509" t="s">
        <v>1040</v>
      </c>
      <c r="C509" t="s">
        <v>1041</v>
      </c>
      <c r="D509" t="s">
        <v>1042</v>
      </c>
      <c r="E509" t="s">
        <v>96</v>
      </c>
      <c r="F509">
        <v>20</v>
      </c>
      <c r="G509" t="s">
        <v>185</v>
      </c>
      <c r="H509" t="s">
        <v>376</v>
      </c>
      <c r="I509" t="s">
        <v>377</v>
      </c>
      <c r="J509" t="s">
        <v>944</v>
      </c>
      <c r="K509" t="s">
        <v>149</v>
      </c>
      <c r="L509" t="s">
        <v>40</v>
      </c>
      <c r="M509" t="s">
        <v>188</v>
      </c>
      <c r="N509" s="7">
        <v>28.14</v>
      </c>
      <c r="O509" s="7"/>
      <c r="P509" s="7">
        <v>3</v>
      </c>
      <c r="Q509" s="7">
        <v>33.78</v>
      </c>
      <c r="R509" s="7"/>
      <c r="S509" s="7">
        <v>3</v>
      </c>
      <c r="T509" s="7">
        <v>0.55000000000000004</v>
      </c>
      <c r="U509" s="7">
        <v>0.41</v>
      </c>
      <c r="V509" s="7">
        <f t="shared" si="40"/>
        <v>0.18267685969341096</v>
      </c>
      <c r="W509" s="7">
        <f t="shared" si="41"/>
        <v>1.7644255253507118E-4</v>
      </c>
      <c r="X509" t="s">
        <v>819</v>
      </c>
      <c r="Y509" t="s">
        <v>380</v>
      </c>
      <c r="Z509" t="s">
        <v>381</v>
      </c>
      <c r="AA509" t="s">
        <v>1043</v>
      </c>
      <c r="AB509" t="s">
        <v>92</v>
      </c>
    </row>
    <row r="510" spans="1:28">
      <c r="A510" t="s">
        <v>1039</v>
      </c>
      <c r="B510" t="s">
        <v>1044</v>
      </c>
      <c r="C510" t="s">
        <v>1041</v>
      </c>
      <c r="D510" t="s">
        <v>1042</v>
      </c>
      <c r="E510" t="s">
        <v>96</v>
      </c>
      <c r="F510">
        <v>20</v>
      </c>
      <c r="G510" t="s">
        <v>185</v>
      </c>
      <c r="H510" t="s">
        <v>376</v>
      </c>
      <c r="I510" t="s">
        <v>377</v>
      </c>
      <c r="J510" t="s">
        <v>944</v>
      </c>
      <c r="K510" t="s">
        <v>149</v>
      </c>
      <c r="L510" t="s">
        <v>30</v>
      </c>
      <c r="M510" t="s">
        <v>188</v>
      </c>
      <c r="N510" s="7">
        <v>10.78</v>
      </c>
      <c r="O510" s="7"/>
      <c r="P510" s="7">
        <v>3</v>
      </c>
      <c r="Q510" s="7">
        <v>11.09</v>
      </c>
      <c r="R510" s="7"/>
      <c r="S510" s="7">
        <v>3</v>
      </c>
      <c r="T510" s="7">
        <v>0.3</v>
      </c>
      <c r="U510" s="7">
        <v>0.13</v>
      </c>
      <c r="V510" s="7">
        <f t="shared" si="40"/>
        <v>2.8351235881424571E-2</v>
      </c>
      <c r="W510" s="7">
        <f t="shared" si="41"/>
        <v>3.0396078686377047E-4</v>
      </c>
      <c r="X510" t="s">
        <v>819</v>
      </c>
      <c r="Y510" t="s">
        <v>380</v>
      </c>
      <c r="Z510" t="s">
        <v>381</v>
      </c>
      <c r="AA510" t="s">
        <v>1045</v>
      </c>
      <c r="AB510" t="s">
        <v>92</v>
      </c>
    </row>
    <row r="511" spans="1:28">
      <c r="A511" t="s">
        <v>1039</v>
      </c>
      <c r="B511" t="s">
        <v>1046</v>
      </c>
      <c r="C511" t="s">
        <v>1041</v>
      </c>
      <c r="D511" t="s">
        <v>1042</v>
      </c>
      <c r="E511" t="s">
        <v>96</v>
      </c>
      <c r="F511">
        <v>20</v>
      </c>
      <c r="G511" t="s">
        <v>185</v>
      </c>
      <c r="H511" t="s">
        <v>376</v>
      </c>
      <c r="I511" t="s">
        <v>377</v>
      </c>
      <c r="J511" t="s">
        <v>944</v>
      </c>
      <c r="K511" t="s">
        <v>149</v>
      </c>
      <c r="L511" t="s">
        <v>337</v>
      </c>
      <c r="M511" t="s">
        <v>188</v>
      </c>
      <c r="N511" s="7">
        <v>6.69</v>
      </c>
      <c r="O511" s="7"/>
      <c r="P511" s="7">
        <v>3</v>
      </c>
      <c r="Q511" s="7">
        <v>6.26</v>
      </c>
      <c r="R511" s="7"/>
      <c r="S511" s="7">
        <v>3</v>
      </c>
      <c r="T511" s="7">
        <v>0.18</v>
      </c>
      <c r="U511" s="7">
        <v>0.2</v>
      </c>
      <c r="V511" s="7">
        <f t="shared" si="40"/>
        <v>-6.6433689028129961E-2</v>
      </c>
      <c r="W511" s="7">
        <f t="shared" si="41"/>
        <v>5.8155157128248814E-4</v>
      </c>
      <c r="X511" t="s">
        <v>819</v>
      </c>
      <c r="Y511" t="s">
        <v>380</v>
      </c>
      <c r="Z511" t="s">
        <v>381</v>
      </c>
      <c r="AA511" t="s">
        <v>1047</v>
      </c>
      <c r="AB511" t="s">
        <v>92</v>
      </c>
    </row>
    <row r="512" spans="1:28">
      <c r="A512" t="s">
        <v>1039</v>
      </c>
      <c r="B512" t="s">
        <v>1048</v>
      </c>
      <c r="C512" t="s">
        <v>1041</v>
      </c>
      <c r="D512" t="s">
        <v>1042</v>
      </c>
      <c r="E512" t="s">
        <v>96</v>
      </c>
      <c r="F512">
        <v>20</v>
      </c>
      <c r="G512" t="s">
        <v>185</v>
      </c>
      <c r="H512" t="s">
        <v>376</v>
      </c>
      <c r="I512" t="s">
        <v>377</v>
      </c>
      <c r="J512" t="s">
        <v>944</v>
      </c>
      <c r="K512" t="s">
        <v>29</v>
      </c>
      <c r="L512" t="s">
        <v>40</v>
      </c>
      <c r="M512" t="s">
        <v>188</v>
      </c>
      <c r="N512" s="7">
        <v>23.03</v>
      </c>
      <c r="O512" s="7"/>
      <c r="P512" s="7">
        <v>3</v>
      </c>
      <c r="Q512" s="7">
        <v>26.51</v>
      </c>
      <c r="R512" s="7"/>
      <c r="S512" s="7">
        <v>3</v>
      </c>
      <c r="T512" s="7">
        <v>0.61</v>
      </c>
      <c r="U512" s="7">
        <v>0.61</v>
      </c>
      <c r="V512" s="7">
        <f t="shared" si="40"/>
        <v>0.14072430646834042</v>
      </c>
      <c r="W512" s="7">
        <f t="shared" si="41"/>
        <v>4.1034662439074279E-4</v>
      </c>
      <c r="X512" t="s">
        <v>819</v>
      </c>
      <c r="Y512" t="s">
        <v>380</v>
      </c>
      <c r="Z512" t="s">
        <v>381</v>
      </c>
      <c r="AA512" t="s">
        <v>1049</v>
      </c>
      <c r="AB512" t="s">
        <v>92</v>
      </c>
    </row>
    <row r="513" spans="1:28">
      <c r="A513" t="s">
        <v>1039</v>
      </c>
      <c r="B513" t="s">
        <v>1050</v>
      </c>
      <c r="C513" t="s">
        <v>1041</v>
      </c>
      <c r="D513" t="s">
        <v>1042</v>
      </c>
      <c r="E513" t="s">
        <v>96</v>
      </c>
      <c r="F513">
        <v>20</v>
      </c>
      <c r="G513" t="s">
        <v>185</v>
      </c>
      <c r="H513" t="s">
        <v>376</v>
      </c>
      <c r="I513" t="s">
        <v>377</v>
      </c>
      <c r="J513" t="s">
        <v>944</v>
      </c>
      <c r="K513" t="s">
        <v>29</v>
      </c>
      <c r="L513" t="s">
        <v>30</v>
      </c>
      <c r="M513" t="s">
        <v>188</v>
      </c>
      <c r="N513" s="7">
        <v>8.1</v>
      </c>
      <c r="O513" s="7"/>
      <c r="P513" s="7">
        <v>3</v>
      </c>
      <c r="Q513" s="7">
        <v>10.130000000000001</v>
      </c>
      <c r="R513" s="7"/>
      <c r="S513" s="7">
        <v>3</v>
      </c>
      <c r="T513" s="7">
        <v>0.1</v>
      </c>
      <c r="U513" s="7">
        <v>0.43</v>
      </c>
      <c r="V513" s="7">
        <f t="shared" si="40"/>
        <v>0.22363725658219896</v>
      </c>
      <c r="W513" s="7">
        <f t="shared" si="41"/>
        <v>6.5142108141758373E-4</v>
      </c>
      <c r="X513" t="s">
        <v>819</v>
      </c>
      <c r="Y513" t="s">
        <v>380</v>
      </c>
      <c r="Z513" t="s">
        <v>381</v>
      </c>
      <c r="AA513" t="s">
        <v>1051</v>
      </c>
      <c r="AB513" t="s">
        <v>92</v>
      </c>
    </row>
    <row r="514" spans="1:28">
      <c r="A514" t="s">
        <v>1039</v>
      </c>
      <c r="B514" t="s">
        <v>1052</v>
      </c>
      <c r="C514" t="s">
        <v>1041</v>
      </c>
      <c r="D514" t="s">
        <v>1042</v>
      </c>
      <c r="E514" t="s">
        <v>96</v>
      </c>
      <c r="F514">
        <v>20</v>
      </c>
      <c r="G514" t="s">
        <v>185</v>
      </c>
      <c r="H514" t="s">
        <v>376</v>
      </c>
      <c r="I514" t="s">
        <v>377</v>
      </c>
      <c r="J514" t="s">
        <v>944</v>
      </c>
      <c r="K514" t="s">
        <v>29</v>
      </c>
      <c r="L514" t="s">
        <v>337</v>
      </c>
      <c r="M514" t="s">
        <v>188</v>
      </c>
      <c r="N514" s="7">
        <v>5.29</v>
      </c>
      <c r="O514" s="7"/>
      <c r="P514" s="7">
        <v>3</v>
      </c>
      <c r="Q514" s="7">
        <v>5.6</v>
      </c>
      <c r="R514" s="7"/>
      <c r="S514" s="7">
        <v>3</v>
      </c>
      <c r="T514" s="7">
        <v>0.19</v>
      </c>
      <c r="U514" s="7">
        <v>0.2</v>
      </c>
      <c r="V514" s="7">
        <f t="shared" ref="V514:V577" si="44">LN(Q514/N514)</f>
        <v>5.6948351870895433E-2</v>
      </c>
      <c r="W514" s="7">
        <f t="shared" ref="W514:W576" si="45">(U514^2/(S514*Q514^2))+(T514^2/(P514*N514^2))</f>
        <v>8.5517615481697134E-4</v>
      </c>
      <c r="X514" t="s">
        <v>819</v>
      </c>
      <c r="Y514" t="s">
        <v>380</v>
      </c>
      <c r="Z514" t="s">
        <v>381</v>
      </c>
      <c r="AA514" t="s">
        <v>1053</v>
      </c>
      <c r="AB514" t="s">
        <v>92</v>
      </c>
    </row>
    <row r="515" spans="1:28">
      <c r="A515" t="s">
        <v>1039</v>
      </c>
      <c r="B515" t="s">
        <v>1054</v>
      </c>
      <c r="C515" t="s">
        <v>1041</v>
      </c>
      <c r="D515" t="s">
        <v>1042</v>
      </c>
      <c r="E515" t="s">
        <v>96</v>
      </c>
      <c r="F515">
        <v>20</v>
      </c>
      <c r="G515" t="s">
        <v>185</v>
      </c>
      <c r="H515" t="s">
        <v>376</v>
      </c>
      <c r="I515" t="s">
        <v>377</v>
      </c>
      <c r="J515" t="s">
        <v>963</v>
      </c>
      <c r="K515" t="s">
        <v>149</v>
      </c>
      <c r="L515" t="s">
        <v>40</v>
      </c>
      <c r="M515" t="s">
        <v>188</v>
      </c>
      <c r="N515" s="7">
        <v>22.65</v>
      </c>
      <c r="O515" s="7"/>
      <c r="P515" s="7">
        <v>3</v>
      </c>
      <c r="Q515" s="7">
        <v>26.55</v>
      </c>
      <c r="R515" s="7"/>
      <c r="S515" s="7">
        <v>3</v>
      </c>
      <c r="T515" s="7">
        <v>0.36</v>
      </c>
      <c r="U515" s="7">
        <v>0.51</v>
      </c>
      <c r="V515" s="7">
        <f t="shared" si="44"/>
        <v>0.15886989575890501</v>
      </c>
      <c r="W515" s="7">
        <f t="shared" si="45"/>
        <v>2.0720256648613765E-4</v>
      </c>
      <c r="X515" t="s">
        <v>819</v>
      </c>
      <c r="Y515" t="s">
        <v>380</v>
      </c>
      <c r="Z515" t="s">
        <v>381</v>
      </c>
      <c r="AA515" t="s">
        <v>1055</v>
      </c>
      <c r="AB515" t="s">
        <v>92</v>
      </c>
    </row>
    <row r="516" spans="1:28">
      <c r="A516" t="s">
        <v>1039</v>
      </c>
      <c r="B516" t="s">
        <v>1056</v>
      </c>
      <c r="C516" t="s">
        <v>1041</v>
      </c>
      <c r="D516" t="s">
        <v>1042</v>
      </c>
      <c r="E516" t="s">
        <v>96</v>
      </c>
      <c r="F516">
        <v>20</v>
      </c>
      <c r="G516" t="s">
        <v>185</v>
      </c>
      <c r="H516" t="s">
        <v>376</v>
      </c>
      <c r="I516" t="s">
        <v>377</v>
      </c>
      <c r="J516" t="s">
        <v>963</v>
      </c>
      <c r="K516" t="s">
        <v>149</v>
      </c>
      <c r="L516" t="s">
        <v>30</v>
      </c>
      <c r="M516" t="s">
        <v>188</v>
      </c>
      <c r="N516" s="7">
        <v>8.5399999999999991</v>
      </c>
      <c r="O516" s="7"/>
      <c r="P516" s="7">
        <v>3</v>
      </c>
      <c r="Q516" s="7">
        <v>10.16</v>
      </c>
      <c r="R516" s="7"/>
      <c r="S516" s="7">
        <v>3</v>
      </c>
      <c r="T516" s="7">
        <v>0.25</v>
      </c>
      <c r="U516" s="7">
        <v>0.21</v>
      </c>
      <c r="V516" s="7">
        <f t="shared" si="44"/>
        <v>0.17369743434985752</v>
      </c>
      <c r="W516" s="7">
        <f t="shared" si="45"/>
        <v>4.2806231822291308E-4</v>
      </c>
      <c r="X516" t="s">
        <v>819</v>
      </c>
      <c r="Y516" t="s">
        <v>380</v>
      </c>
      <c r="Z516" t="s">
        <v>381</v>
      </c>
      <c r="AA516" t="s">
        <v>1057</v>
      </c>
      <c r="AB516" t="s">
        <v>92</v>
      </c>
    </row>
    <row r="517" spans="1:28">
      <c r="A517" t="s">
        <v>1039</v>
      </c>
      <c r="B517" t="s">
        <v>1058</v>
      </c>
      <c r="C517" t="s">
        <v>1041</v>
      </c>
      <c r="D517" t="s">
        <v>1042</v>
      </c>
      <c r="E517" t="s">
        <v>96</v>
      </c>
      <c r="F517">
        <v>20</v>
      </c>
      <c r="G517" t="s">
        <v>185</v>
      </c>
      <c r="H517" t="s">
        <v>376</v>
      </c>
      <c r="I517" t="s">
        <v>377</v>
      </c>
      <c r="J517" t="s">
        <v>963</v>
      </c>
      <c r="K517" t="s">
        <v>149</v>
      </c>
      <c r="L517" t="s">
        <v>337</v>
      </c>
      <c r="M517" t="s">
        <v>188</v>
      </c>
      <c r="N517" s="7">
        <v>5.94</v>
      </c>
      <c r="O517" s="7"/>
      <c r="P517" s="7">
        <v>3</v>
      </c>
      <c r="Q517" s="7">
        <v>6.85</v>
      </c>
      <c r="R517" s="7"/>
      <c r="S517" s="7">
        <v>3</v>
      </c>
      <c r="T517" s="7">
        <v>0.18</v>
      </c>
      <c r="U517" s="7">
        <v>0.2</v>
      </c>
      <c r="V517" s="7">
        <f t="shared" si="44"/>
        <v>0.14253951889958028</v>
      </c>
      <c r="W517" s="7">
        <f t="shared" si="45"/>
        <v>5.9024771437405428E-4</v>
      </c>
      <c r="X517" t="s">
        <v>819</v>
      </c>
      <c r="Y517" t="s">
        <v>380</v>
      </c>
      <c r="Z517" t="s">
        <v>381</v>
      </c>
      <c r="AA517" t="s">
        <v>1059</v>
      </c>
      <c r="AB517" t="s">
        <v>92</v>
      </c>
    </row>
    <row r="518" spans="1:28">
      <c r="A518" t="s">
        <v>1039</v>
      </c>
      <c r="B518" t="s">
        <v>1060</v>
      </c>
      <c r="C518" t="s">
        <v>1041</v>
      </c>
      <c r="D518" t="s">
        <v>1042</v>
      </c>
      <c r="E518" t="s">
        <v>96</v>
      </c>
      <c r="F518">
        <v>20</v>
      </c>
      <c r="G518" t="s">
        <v>185</v>
      </c>
      <c r="H518" t="s">
        <v>376</v>
      </c>
      <c r="I518" t="s">
        <v>377</v>
      </c>
      <c r="J518" t="s">
        <v>963</v>
      </c>
      <c r="K518" t="s">
        <v>29</v>
      </c>
      <c r="L518" t="s">
        <v>40</v>
      </c>
      <c r="M518" t="s">
        <v>188</v>
      </c>
      <c r="N518" s="7">
        <v>20.66</v>
      </c>
      <c r="O518" s="7"/>
      <c r="P518" s="7">
        <v>3</v>
      </c>
      <c r="Q518" s="7">
        <v>22.78</v>
      </c>
      <c r="R518" s="7"/>
      <c r="S518" s="7">
        <v>3</v>
      </c>
      <c r="T518" s="7">
        <v>0.59</v>
      </c>
      <c r="U518" s="7">
        <v>0.41</v>
      </c>
      <c r="V518" s="7">
        <f t="shared" si="44"/>
        <v>9.7683494327543585E-2</v>
      </c>
      <c r="W518" s="7">
        <f t="shared" si="45"/>
        <v>3.7982442108858334E-4</v>
      </c>
      <c r="X518" t="s">
        <v>819</v>
      </c>
      <c r="Y518" t="s">
        <v>380</v>
      </c>
      <c r="Z518" t="s">
        <v>381</v>
      </c>
      <c r="AA518" t="s">
        <v>1061</v>
      </c>
      <c r="AB518" t="s">
        <v>92</v>
      </c>
    </row>
    <row r="519" spans="1:28">
      <c r="A519" t="s">
        <v>1039</v>
      </c>
      <c r="B519" t="s">
        <v>1062</v>
      </c>
      <c r="C519" t="s">
        <v>1041</v>
      </c>
      <c r="D519" t="s">
        <v>1042</v>
      </c>
      <c r="E519" t="s">
        <v>96</v>
      </c>
      <c r="F519">
        <v>20</v>
      </c>
      <c r="G519" t="s">
        <v>185</v>
      </c>
      <c r="H519" t="s">
        <v>376</v>
      </c>
      <c r="I519" t="s">
        <v>377</v>
      </c>
      <c r="J519" t="s">
        <v>963</v>
      </c>
      <c r="K519" t="s">
        <v>29</v>
      </c>
      <c r="L519" t="s">
        <v>30</v>
      </c>
      <c r="M519" t="s">
        <v>188</v>
      </c>
      <c r="N519" s="7">
        <v>6.79</v>
      </c>
      <c r="O519" s="7"/>
      <c r="P519" s="7">
        <v>3</v>
      </c>
      <c r="Q519" s="7">
        <v>7.58</v>
      </c>
      <c r="R519" s="7"/>
      <c r="S519" s="7">
        <v>3</v>
      </c>
      <c r="T519" s="7">
        <v>0.14000000000000001</v>
      </c>
      <c r="U519" s="7">
        <v>0.05</v>
      </c>
      <c r="V519" s="7">
        <f t="shared" si="44"/>
        <v>0.11006225808367556</v>
      </c>
      <c r="W519" s="7">
        <f t="shared" si="45"/>
        <v>1.5621204472809918E-4</v>
      </c>
      <c r="X519" t="s">
        <v>819</v>
      </c>
      <c r="Y519" t="s">
        <v>380</v>
      </c>
      <c r="Z519" t="s">
        <v>381</v>
      </c>
      <c r="AA519" t="s">
        <v>1063</v>
      </c>
      <c r="AB519" t="s">
        <v>92</v>
      </c>
    </row>
    <row r="520" spans="1:28">
      <c r="A520" t="s">
        <v>1039</v>
      </c>
      <c r="B520" t="s">
        <v>1064</v>
      </c>
      <c r="C520" t="s">
        <v>1041</v>
      </c>
      <c r="D520" t="s">
        <v>1042</v>
      </c>
      <c r="E520" t="s">
        <v>96</v>
      </c>
      <c r="F520">
        <v>20</v>
      </c>
      <c r="G520" t="s">
        <v>185</v>
      </c>
      <c r="H520" t="s">
        <v>376</v>
      </c>
      <c r="I520" t="s">
        <v>377</v>
      </c>
      <c r="J520" t="s">
        <v>963</v>
      </c>
      <c r="K520" t="s">
        <v>29</v>
      </c>
      <c r="L520" t="s">
        <v>337</v>
      </c>
      <c r="M520" t="s">
        <v>188</v>
      </c>
      <c r="N520" s="7">
        <v>4.16</v>
      </c>
      <c r="O520" s="7"/>
      <c r="P520" s="7">
        <v>3</v>
      </c>
      <c r="Q520" s="7">
        <v>4.88</v>
      </c>
      <c r="R520" s="7"/>
      <c r="S520" s="7">
        <v>3</v>
      </c>
      <c r="T520" s="7">
        <v>0.16</v>
      </c>
      <c r="U520" s="7">
        <v>0.11</v>
      </c>
      <c r="V520" s="7">
        <f t="shared" si="44"/>
        <v>0.15963014559188374</v>
      </c>
      <c r="W520" s="7">
        <f t="shared" si="45"/>
        <v>6.6246196092649683E-4</v>
      </c>
      <c r="X520" t="s">
        <v>819</v>
      </c>
      <c r="Y520" t="s">
        <v>380</v>
      </c>
      <c r="Z520" t="s">
        <v>381</v>
      </c>
      <c r="AA520" t="s">
        <v>1065</v>
      </c>
      <c r="AB520" t="s">
        <v>92</v>
      </c>
    </row>
    <row r="521" spans="1:28">
      <c r="A521" t="s">
        <v>1066</v>
      </c>
      <c r="B521" t="s">
        <v>1067</v>
      </c>
      <c r="C521" t="s">
        <v>655</v>
      </c>
      <c r="D521" t="s">
        <v>1068</v>
      </c>
      <c r="E521" t="s">
        <v>96</v>
      </c>
      <c r="F521">
        <v>1</v>
      </c>
      <c r="G521" t="s">
        <v>185</v>
      </c>
      <c r="H521" t="s">
        <v>675</v>
      </c>
      <c r="I521" t="s">
        <v>377</v>
      </c>
      <c r="J521" t="s">
        <v>1069</v>
      </c>
      <c r="K521" t="s">
        <v>29</v>
      </c>
      <c r="L521" t="s">
        <v>40</v>
      </c>
      <c r="M521" t="s">
        <v>1070</v>
      </c>
      <c r="N521" s="7">
        <v>3500</v>
      </c>
      <c r="O521" s="7">
        <v>180</v>
      </c>
      <c r="P521" s="7">
        <v>4</v>
      </c>
      <c r="Q521" s="7">
        <v>3600</v>
      </c>
      <c r="R521" s="7">
        <v>180</v>
      </c>
      <c r="S521" s="7">
        <v>4</v>
      </c>
      <c r="T521" s="7">
        <f t="shared" ref="T521:T538" si="46">O521*SQRT(P521)</f>
        <v>360</v>
      </c>
      <c r="U521" s="7">
        <f t="shared" ref="U521:U538" si="47">R521*SQRT(S521)</f>
        <v>360</v>
      </c>
      <c r="V521" s="7">
        <f t="shared" si="44"/>
        <v>2.8170876966696224E-2</v>
      </c>
      <c r="W521" s="7">
        <f t="shared" si="45"/>
        <v>5.1448979591836742E-3</v>
      </c>
      <c r="X521" t="s">
        <v>550</v>
      </c>
      <c r="Y521" t="s">
        <v>89</v>
      </c>
      <c r="Z521" t="s">
        <v>515</v>
      </c>
      <c r="AA521" t="s">
        <v>1071</v>
      </c>
      <c r="AB521" t="s">
        <v>92</v>
      </c>
    </row>
    <row r="522" spans="1:28">
      <c r="A522" t="s">
        <v>1066</v>
      </c>
      <c r="B522" t="s">
        <v>1072</v>
      </c>
      <c r="C522" t="s">
        <v>655</v>
      </c>
      <c r="D522" t="s">
        <v>1068</v>
      </c>
      <c r="E522" t="s">
        <v>96</v>
      </c>
      <c r="F522">
        <v>10</v>
      </c>
      <c r="G522" t="s">
        <v>185</v>
      </c>
      <c r="H522" t="s">
        <v>675</v>
      </c>
      <c r="I522" t="s">
        <v>377</v>
      </c>
      <c r="J522" t="s">
        <v>1069</v>
      </c>
      <c r="K522" t="s">
        <v>29</v>
      </c>
      <c r="L522" t="s">
        <v>40</v>
      </c>
      <c r="M522" t="s">
        <v>1070</v>
      </c>
      <c r="N522" s="7">
        <v>3500</v>
      </c>
      <c r="O522" s="7">
        <v>180</v>
      </c>
      <c r="P522" s="7">
        <v>4</v>
      </c>
      <c r="Q522" s="7">
        <v>3500</v>
      </c>
      <c r="R522" s="7">
        <v>180</v>
      </c>
      <c r="S522" s="7">
        <v>4</v>
      </c>
      <c r="T522" s="7">
        <f t="shared" si="46"/>
        <v>360</v>
      </c>
      <c r="U522" s="7">
        <f t="shared" si="47"/>
        <v>360</v>
      </c>
      <c r="V522" s="7">
        <f t="shared" si="44"/>
        <v>0</v>
      </c>
      <c r="W522" s="7">
        <f t="shared" si="45"/>
        <v>5.2897959183673474E-3</v>
      </c>
      <c r="X522" t="s">
        <v>550</v>
      </c>
      <c r="Y522" t="s">
        <v>89</v>
      </c>
      <c r="Z522" t="s">
        <v>515</v>
      </c>
      <c r="AA522" t="s">
        <v>1071</v>
      </c>
      <c r="AB522" t="s">
        <v>92</v>
      </c>
    </row>
    <row r="523" spans="1:28">
      <c r="A523" t="s">
        <v>1066</v>
      </c>
      <c r="B523" t="s">
        <v>1073</v>
      </c>
      <c r="C523" t="s">
        <v>655</v>
      </c>
      <c r="D523" t="s">
        <v>1068</v>
      </c>
      <c r="E523" t="s">
        <v>96</v>
      </c>
      <c r="F523">
        <v>20</v>
      </c>
      <c r="G523" t="s">
        <v>185</v>
      </c>
      <c r="H523" t="s">
        <v>675</v>
      </c>
      <c r="I523" t="s">
        <v>377</v>
      </c>
      <c r="J523" t="s">
        <v>1069</v>
      </c>
      <c r="K523" t="s">
        <v>29</v>
      </c>
      <c r="L523" t="s">
        <v>40</v>
      </c>
      <c r="M523" t="s">
        <v>1070</v>
      </c>
      <c r="N523" s="7">
        <v>3500</v>
      </c>
      <c r="O523" s="7">
        <v>180</v>
      </c>
      <c r="P523" s="7">
        <v>4</v>
      </c>
      <c r="Q523" s="7">
        <v>3200</v>
      </c>
      <c r="R523" s="7">
        <v>180</v>
      </c>
      <c r="S523" s="7">
        <v>4</v>
      </c>
      <c r="T523" s="7">
        <f t="shared" si="46"/>
        <v>360</v>
      </c>
      <c r="U523" s="7">
        <f t="shared" si="47"/>
        <v>360</v>
      </c>
      <c r="V523" s="7">
        <f t="shared" si="44"/>
        <v>-8.9612158689687166E-2</v>
      </c>
      <c r="W523" s="7">
        <f t="shared" si="45"/>
        <v>5.8089604591836739E-3</v>
      </c>
      <c r="X523" t="s">
        <v>550</v>
      </c>
      <c r="Y523" t="s">
        <v>89</v>
      </c>
      <c r="Z523" t="s">
        <v>515</v>
      </c>
      <c r="AA523" t="s">
        <v>1071</v>
      </c>
      <c r="AB523" t="s">
        <v>92</v>
      </c>
    </row>
    <row r="524" spans="1:28">
      <c r="A524" t="s">
        <v>1066</v>
      </c>
      <c r="B524" t="s">
        <v>1074</v>
      </c>
      <c r="C524" t="s">
        <v>655</v>
      </c>
      <c r="D524" t="s">
        <v>1068</v>
      </c>
      <c r="E524" t="s">
        <v>96</v>
      </c>
      <c r="F524">
        <v>1</v>
      </c>
      <c r="G524" t="s">
        <v>185</v>
      </c>
      <c r="H524" t="s">
        <v>675</v>
      </c>
      <c r="I524" t="s">
        <v>377</v>
      </c>
      <c r="J524" t="s">
        <v>1069</v>
      </c>
      <c r="K524" t="s">
        <v>41</v>
      </c>
      <c r="L524" t="s">
        <v>40</v>
      </c>
      <c r="M524" t="s">
        <v>1070</v>
      </c>
      <c r="N524" s="7">
        <v>15000</v>
      </c>
      <c r="O524" s="7">
        <v>700</v>
      </c>
      <c r="P524" s="7">
        <v>4</v>
      </c>
      <c r="Q524" s="7">
        <v>12500</v>
      </c>
      <c r="R524" s="7">
        <v>600</v>
      </c>
      <c r="S524" s="7">
        <v>4</v>
      </c>
      <c r="T524" s="7">
        <f t="shared" si="46"/>
        <v>1400</v>
      </c>
      <c r="U524" s="7">
        <f t="shared" si="47"/>
        <v>1200</v>
      </c>
      <c r="V524" s="7">
        <f t="shared" si="44"/>
        <v>-0.18232155679395459</v>
      </c>
      <c r="W524" s="7">
        <f t="shared" si="45"/>
        <v>4.4817777777777772E-3</v>
      </c>
      <c r="X524" t="s">
        <v>550</v>
      </c>
      <c r="Y524" t="s">
        <v>89</v>
      </c>
      <c r="Z524" t="s">
        <v>515</v>
      </c>
      <c r="AA524" t="s">
        <v>1075</v>
      </c>
      <c r="AB524" t="s">
        <v>92</v>
      </c>
    </row>
    <row r="525" spans="1:28">
      <c r="A525" t="s">
        <v>1066</v>
      </c>
      <c r="B525" t="s">
        <v>1076</v>
      </c>
      <c r="C525" t="s">
        <v>655</v>
      </c>
      <c r="D525" t="s">
        <v>1068</v>
      </c>
      <c r="E525" t="s">
        <v>96</v>
      </c>
      <c r="F525">
        <v>10</v>
      </c>
      <c r="G525" t="s">
        <v>185</v>
      </c>
      <c r="H525" t="s">
        <v>675</v>
      </c>
      <c r="I525" t="s">
        <v>377</v>
      </c>
      <c r="J525" t="s">
        <v>1069</v>
      </c>
      <c r="K525" t="s">
        <v>41</v>
      </c>
      <c r="L525" t="s">
        <v>40</v>
      </c>
      <c r="M525" t="s">
        <v>1070</v>
      </c>
      <c r="N525" s="7">
        <v>15000</v>
      </c>
      <c r="O525" s="7">
        <v>700</v>
      </c>
      <c r="P525" s="7">
        <v>4</v>
      </c>
      <c r="Q525" s="7">
        <v>2500</v>
      </c>
      <c r="R525" s="7">
        <v>250</v>
      </c>
      <c r="S525" s="7">
        <v>4</v>
      </c>
      <c r="T525" s="7">
        <f t="shared" si="46"/>
        <v>1400</v>
      </c>
      <c r="U525" s="7">
        <f t="shared" si="47"/>
        <v>500</v>
      </c>
      <c r="V525" s="7">
        <f t="shared" si="44"/>
        <v>-1.791759469228055</v>
      </c>
      <c r="W525" s="7">
        <f t="shared" si="45"/>
        <v>1.2177777777777777E-2</v>
      </c>
      <c r="X525" t="s">
        <v>550</v>
      </c>
      <c r="Y525" t="s">
        <v>89</v>
      </c>
      <c r="Z525" t="s">
        <v>515</v>
      </c>
      <c r="AA525" t="s">
        <v>1075</v>
      </c>
      <c r="AB525" t="s">
        <v>92</v>
      </c>
    </row>
    <row r="526" spans="1:28">
      <c r="A526" t="s">
        <v>1066</v>
      </c>
      <c r="B526" t="s">
        <v>1077</v>
      </c>
      <c r="C526" t="s">
        <v>655</v>
      </c>
      <c r="D526" t="s">
        <v>1068</v>
      </c>
      <c r="E526" t="s">
        <v>96</v>
      </c>
      <c r="F526">
        <v>20</v>
      </c>
      <c r="G526" t="s">
        <v>185</v>
      </c>
      <c r="H526" t="s">
        <v>675</v>
      </c>
      <c r="I526" t="s">
        <v>377</v>
      </c>
      <c r="J526" t="s">
        <v>1069</v>
      </c>
      <c r="K526" t="s">
        <v>41</v>
      </c>
      <c r="L526" t="s">
        <v>40</v>
      </c>
      <c r="M526" t="s">
        <v>1070</v>
      </c>
      <c r="N526" s="7">
        <v>15000</v>
      </c>
      <c r="O526" s="7">
        <v>700</v>
      </c>
      <c r="P526" s="7">
        <v>4</v>
      </c>
      <c r="Q526" s="7">
        <v>11000</v>
      </c>
      <c r="R526" s="7">
        <v>600</v>
      </c>
      <c r="S526" s="7">
        <v>4</v>
      </c>
      <c r="T526" s="7">
        <f t="shared" si="46"/>
        <v>1400</v>
      </c>
      <c r="U526" s="7">
        <f t="shared" si="47"/>
        <v>1200</v>
      </c>
      <c r="V526" s="7">
        <f t="shared" si="44"/>
        <v>-0.31015492830383962</v>
      </c>
      <c r="W526" s="7">
        <f t="shared" si="45"/>
        <v>5.1529843893480254E-3</v>
      </c>
      <c r="X526" t="s">
        <v>550</v>
      </c>
      <c r="Y526" t="s">
        <v>89</v>
      </c>
      <c r="Z526" t="s">
        <v>515</v>
      </c>
      <c r="AA526" t="s">
        <v>1075</v>
      </c>
      <c r="AB526" t="s">
        <v>92</v>
      </c>
    </row>
    <row r="527" spans="1:28">
      <c r="A527" t="s">
        <v>1066</v>
      </c>
      <c r="B527" t="s">
        <v>1078</v>
      </c>
      <c r="C527" t="s">
        <v>655</v>
      </c>
      <c r="D527" t="s">
        <v>1068</v>
      </c>
      <c r="E527" t="s">
        <v>96</v>
      </c>
      <c r="F527">
        <v>1</v>
      </c>
      <c r="G527" t="s">
        <v>185</v>
      </c>
      <c r="H527" t="s">
        <v>675</v>
      </c>
      <c r="I527" t="s">
        <v>377</v>
      </c>
      <c r="J527" t="s">
        <v>1069</v>
      </c>
      <c r="K527" t="s">
        <v>29</v>
      </c>
      <c r="L527" t="s">
        <v>30</v>
      </c>
      <c r="M527" t="s">
        <v>1070</v>
      </c>
      <c r="N527" s="7">
        <v>2050</v>
      </c>
      <c r="O527" s="7">
        <v>100</v>
      </c>
      <c r="P527" s="7">
        <v>4</v>
      </c>
      <c r="Q527" s="7">
        <v>1850</v>
      </c>
      <c r="R527" s="7">
        <v>90</v>
      </c>
      <c r="S527" s="7">
        <v>4</v>
      </c>
      <c r="T527" s="7">
        <f t="shared" si="46"/>
        <v>200</v>
      </c>
      <c r="U527" s="7">
        <f t="shared" si="47"/>
        <v>180</v>
      </c>
      <c r="V527" s="7">
        <f t="shared" si="44"/>
        <v>-0.10265415406008334</v>
      </c>
      <c r="W527" s="7">
        <f t="shared" si="45"/>
        <v>4.7462270058215208E-3</v>
      </c>
      <c r="X527" t="s">
        <v>550</v>
      </c>
      <c r="Y527" t="s">
        <v>89</v>
      </c>
      <c r="Z527" t="s">
        <v>515</v>
      </c>
      <c r="AA527" t="s">
        <v>1079</v>
      </c>
      <c r="AB527" t="s">
        <v>92</v>
      </c>
    </row>
    <row r="528" spans="1:28">
      <c r="A528" t="s">
        <v>1066</v>
      </c>
      <c r="B528" t="s">
        <v>1080</v>
      </c>
      <c r="C528" t="s">
        <v>655</v>
      </c>
      <c r="D528" t="s">
        <v>1068</v>
      </c>
      <c r="E528" t="s">
        <v>96</v>
      </c>
      <c r="F528">
        <v>10</v>
      </c>
      <c r="G528" t="s">
        <v>185</v>
      </c>
      <c r="H528" t="s">
        <v>675</v>
      </c>
      <c r="I528" t="s">
        <v>377</v>
      </c>
      <c r="J528" t="s">
        <v>1069</v>
      </c>
      <c r="K528" t="s">
        <v>29</v>
      </c>
      <c r="L528" t="s">
        <v>30</v>
      </c>
      <c r="M528" t="s">
        <v>1070</v>
      </c>
      <c r="N528" s="7">
        <v>2050</v>
      </c>
      <c r="O528" s="7">
        <v>100</v>
      </c>
      <c r="P528" s="7">
        <v>4</v>
      </c>
      <c r="Q528" s="7">
        <v>1950</v>
      </c>
      <c r="R528" s="7">
        <v>100</v>
      </c>
      <c r="S528" s="7">
        <v>4</v>
      </c>
      <c r="T528" s="7">
        <f t="shared" si="46"/>
        <v>200</v>
      </c>
      <c r="U528" s="7">
        <f t="shared" si="47"/>
        <v>200</v>
      </c>
      <c r="V528" s="7">
        <f t="shared" si="44"/>
        <v>-5.0010420574661422E-2</v>
      </c>
      <c r="W528" s="7">
        <f t="shared" si="45"/>
        <v>5.0093847741767943E-3</v>
      </c>
      <c r="X528" t="s">
        <v>550</v>
      </c>
      <c r="Y528" t="s">
        <v>89</v>
      </c>
      <c r="Z528" t="s">
        <v>515</v>
      </c>
      <c r="AA528" t="s">
        <v>1079</v>
      </c>
      <c r="AB528" t="s">
        <v>92</v>
      </c>
    </row>
    <row r="529" spans="1:28">
      <c r="A529" t="s">
        <v>1066</v>
      </c>
      <c r="B529" t="s">
        <v>1081</v>
      </c>
      <c r="C529" t="s">
        <v>655</v>
      </c>
      <c r="D529" t="s">
        <v>1068</v>
      </c>
      <c r="E529" t="s">
        <v>96</v>
      </c>
      <c r="F529">
        <v>20</v>
      </c>
      <c r="G529" t="s">
        <v>185</v>
      </c>
      <c r="H529" t="s">
        <v>675</v>
      </c>
      <c r="I529" t="s">
        <v>377</v>
      </c>
      <c r="J529" t="s">
        <v>1069</v>
      </c>
      <c r="K529" t="s">
        <v>29</v>
      </c>
      <c r="L529" t="s">
        <v>30</v>
      </c>
      <c r="M529" t="s">
        <v>1070</v>
      </c>
      <c r="N529" s="7">
        <v>2050</v>
      </c>
      <c r="O529" s="7">
        <v>100</v>
      </c>
      <c r="P529" s="7">
        <v>4</v>
      </c>
      <c r="Q529" s="7">
        <v>1950</v>
      </c>
      <c r="R529" s="7">
        <v>100</v>
      </c>
      <c r="S529" s="7">
        <v>4</v>
      </c>
      <c r="T529" s="7">
        <f t="shared" si="46"/>
        <v>200</v>
      </c>
      <c r="U529" s="7">
        <f t="shared" si="47"/>
        <v>200</v>
      </c>
      <c r="V529" s="7">
        <f t="shared" si="44"/>
        <v>-5.0010420574661422E-2</v>
      </c>
      <c r="W529" s="7">
        <f t="shared" si="45"/>
        <v>5.0093847741767943E-3</v>
      </c>
      <c r="X529" t="s">
        <v>550</v>
      </c>
      <c r="Y529" t="s">
        <v>89</v>
      </c>
      <c r="Z529" t="s">
        <v>515</v>
      </c>
      <c r="AA529" t="s">
        <v>1079</v>
      </c>
      <c r="AB529" t="s">
        <v>92</v>
      </c>
    </row>
    <row r="530" spans="1:28">
      <c r="A530" t="s">
        <v>1066</v>
      </c>
      <c r="B530" t="s">
        <v>1082</v>
      </c>
      <c r="C530" t="s">
        <v>655</v>
      </c>
      <c r="D530" t="s">
        <v>1068</v>
      </c>
      <c r="E530" t="s">
        <v>96</v>
      </c>
      <c r="F530">
        <v>1</v>
      </c>
      <c r="G530" t="s">
        <v>185</v>
      </c>
      <c r="H530" t="s">
        <v>675</v>
      </c>
      <c r="I530" t="s">
        <v>377</v>
      </c>
      <c r="J530" t="s">
        <v>1069</v>
      </c>
      <c r="K530" t="s">
        <v>41</v>
      </c>
      <c r="L530" t="s">
        <v>30</v>
      </c>
      <c r="M530" t="s">
        <v>1070</v>
      </c>
      <c r="N530" s="7">
        <v>1750</v>
      </c>
      <c r="O530" s="7">
        <v>90</v>
      </c>
      <c r="P530" s="7">
        <v>4</v>
      </c>
      <c r="Q530" s="7">
        <v>1750</v>
      </c>
      <c r="R530" s="7">
        <v>90</v>
      </c>
      <c r="S530" s="7">
        <v>4</v>
      </c>
      <c r="T530" s="7">
        <f t="shared" si="46"/>
        <v>180</v>
      </c>
      <c r="U530" s="7">
        <f t="shared" si="47"/>
        <v>180</v>
      </c>
      <c r="V530" s="7">
        <f t="shared" si="44"/>
        <v>0</v>
      </c>
      <c r="W530" s="7">
        <f t="shared" si="45"/>
        <v>5.2897959183673474E-3</v>
      </c>
      <c r="X530" t="s">
        <v>550</v>
      </c>
      <c r="Y530" t="s">
        <v>89</v>
      </c>
      <c r="Z530" t="s">
        <v>515</v>
      </c>
      <c r="AA530" t="s">
        <v>1083</v>
      </c>
      <c r="AB530" t="s">
        <v>92</v>
      </c>
    </row>
    <row r="531" spans="1:28">
      <c r="A531" t="s">
        <v>1066</v>
      </c>
      <c r="B531" t="s">
        <v>1084</v>
      </c>
      <c r="C531" t="s">
        <v>655</v>
      </c>
      <c r="D531" t="s">
        <v>1068</v>
      </c>
      <c r="E531" t="s">
        <v>96</v>
      </c>
      <c r="F531">
        <v>10</v>
      </c>
      <c r="G531" t="s">
        <v>185</v>
      </c>
      <c r="H531" t="s">
        <v>675</v>
      </c>
      <c r="I531" t="s">
        <v>377</v>
      </c>
      <c r="J531" t="s">
        <v>1069</v>
      </c>
      <c r="K531" t="s">
        <v>41</v>
      </c>
      <c r="L531" t="s">
        <v>30</v>
      </c>
      <c r="M531" t="s">
        <v>1070</v>
      </c>
      <c r="N531" s="7">
        <v>1750</v>
      </c>
      <c r="O531" s="7">
        <v>90</v>
      </c>
      <c r="P531" s="7">
        <v>4</v>
      </c>
      <c r="Q531" s="7">
        <v>1800</v>
      </c>
      <c r="R531" s="7">
        <v>90</v>
      </c>
      <c r="S531" s="7">
        <v>4</v>
      </c>
      <c r="T531" s="7">
        <f t="shared" si="46"/>
        <v>180</v>
      </c>
      <c r="U531" s="7">
        <f t="shared" si="47"/>
        <v>180</v>
      </c>
      <c r="V531" s="7">
        <f t="shared" si="44"/>
        <v>2.8170876966696224E-2</v>
      </c>
      <c r="W531" s="7">
        <f t="shared" si="45"/>
        <v>5.1448979591836742E-3</v>
      </c>
      <c r="X531" t="s">
        <v>550</v>
      </c>
      <c r="Y531" t="s">
        <v>89</v>
      </c>
      <c r="Z531" t="s">
        <v>515</v>
      </c>
      <c r="AA531" t="s">
        <v>1083</v>
      </c>
      <c r="AB531" t="s">
        <v>92</v>
      </c>
    </row>
    <row r="532" spans="1:28">
      <c r="A532" t="s">
        <v>1066</v>
      </c>
      <c r="B532" t="s">
        <v>1085</v>
      </c>
      <c r="C532" t="s">
        <v>655</v>
      </c>
      <c r="D532" t="s">
        <v>1068</v>
      </c>
      <c r="E532" t="s">
        <v>96</v>
      </c>
      <c r="F532">
        <v>20</v>
      </c>
      <c r="G532" t="s">
        <v>185</v>
      </c>
      <c r="H532" t="s">
        <v>675</v>
      </c>
      <c r="I532" t="s">
        <v>377</v>
      </c>
      <c r="J532" t="s">
        <v>1069</v>
      </c>
      <c r="K532" t="s">
        <v>41</v>
      </c>
      <c r="L532" t="s">
        <v>30</v>
      </c>
      <c r="M532" t="s">
        <v>1070</v>
      </c>
      <c r="N532" s="7">
        <v>1750</v>
      </c>
      <c r="O532" s="7">
        <v>90</v>
      </c>
      <c r="P532" s="7">
        <v>4</v>
      </c>
      <c r="Q532" s="7">
        <v>1750</v>
      </c>
      <c r="R532" s="7">
        <v>90</v>
      </c>
      <c r="S532" s="7">
        <v>4</v>
      </c>
      <c r="T532" s="7">
        <f t="shared" si="46"/>
        <v>180</v>
      </c>
      <c r="U532" s="7">
        <f t="shared" si="47"/>
        <v>180</v>
      </c>
      <c r="V532" s="7">
        <f t="shared" si="44"/>
        <v>0</v>
      </c>
      <c r="W532" s="7">
        <f t="shared" si="45"/>
        <v>5.2897959183673474E-3</v>
      </c>
      <c r="X532" t="s">
        <v>550</v>
      </c>
      <c r="Y532" t="s">
        <v>89</v>
      </c>
      <c r="Z532" t="s">
        <v>515</v>
      </c>
      <c r="AA532" t="s">
        <v>1083</v>
      </c>
      <c r="AB532" t="s">
        <v>92</v>
      </c>
    </row>
    <row r="533" spans="1:28">
      <c r="A533" t="s">
        <v>1066</v>
      </c>
      <c r="B533" t="s">
        <v>1086</v>
      </c>
      <c r="C533" t="s">
        <v>655</v>
      </c>
      <c r="D533" t="s">
        <v>1068</v>
      </c>
      <c r="E533" t="s">
        <v>96</v>
      </c>
      <c r="F533">
        <v>1</v>
      </c>
      <c r="G533" t="s">
        <v>185</v>
      </c>
      <c r="H533" t="s">
        <v>675</v>
      </c>
      <c r="I533" t="s">
        <v>377</v>
      </c>
      <c r="J533" t="s">
        <v>1069</v>
      </c>
      <c r="K533" t="s">
        <v>29</v>
      </c>
      <c r="L533" t="s">
        <v>337</v>
      </c>
      <c r="M533" t="s">
        <v>1070</v>
      </c>
      <c r="N533" s="7">
        <v>1850</v>
      </c>
      <c r="O533" s="7">
        <v>100</v>
      </c>
      <c r="P533" s="7">
        <v>4</v>
      </c>
      <c r="Q533" s="7">
        <v>1950</v>
      </c>
      <c r="R533" s="7">
        <v>100</v>
      </c>
      <c r="S533" s="7">
        <v>4</v>
      </c>
      <c r="T533" s="7">
        <f t="shared" si="46"/>
        <v>200</v>
      </c>
      <c r="U533" s="7">
        <f t="shared" si="47"/>
        <v>200</v>
      </c>
      <c r="V533" s="7">
        <f t="shared" si="44"/>
        <v>5.2643733485421881E-2</v>
      </c>
      <c r="W533" s="7">
        <f t="shared" si="45"/>
        <v>5.5516895433735357E-3</v>
      </c>
      <c r="X533" t="s">
        <v>550</v>
      </c>
      <c r="Y533" t="s">
        <v>89</v>
      </c>
      <c r="Z533" t="s">
        <v>515</v>
      </c>
      <c r="AA533" t="s">
        <v>1087</v>
      </c>
      <c r="AB533" t="s">
        <v>92</v>
      </c>
    </row>
    <row r="534" spans="1:28">
      <c r="A534" t="s">
        <v>1066</v>
      </c>
      <c r="B534" t="s">
        <v>1088</v>
      </c>
      <c r="C534" t="s">
        <v>655</v>
      </c>
      <c r="D534" t="s">
        <v>1068</v>
      </c>
      <c r="E534" t="s">
        <v>96</v>
      </c>
      <c r="F534">
        <v>10</v>
      </c>
      <c r="G534" t="s">
        <v>185</v>
      </c>
      <c r="H534" t="s">
        <v>675</v>
      </c>
      <c r="I534" t="s">
        <v>377</v>
      </c>
      <c r="J534" t="s">
        <v>1069</v>
      </c>
      <c r="K534" t="s">
        <v>29</v>
      </c>
      <c r="L534" t="s">
        <v>337</v>
      </c>
      <c r="M534" t="s">
        <v>1070</v>
      </c>
      <c r="N534" s="7">
        <v>1850</v>
      </c>
      <c r="O534" s="7">
        <v>100</v>
      </c>
      <c r="P534" s="7">
        <v>4</v>
      </c>
      <c r="Q534" s="7">
        <v>2050</v>
      </c>
      <c r="R534" s="7">
        <v>110</v>
      </c>
      <c r="S534" s="7">
        <v>4</v>
      </c>
      <c r="T534" s="7">
        <f t="shared" si="46"/>
        <v>200</v>
      </c>
      <c r="U534" s="7">
        <f t="shared" si="47"/>
        <v>220</v>
      </c>
      <c r="V534" s="7">
        <f t="shared" si="44"/>
        <v>0.10265415406008337</v>
      </c>
      <c r="W534" s="7">
        <f t="shared" si="45"/>
        <v>5.8010793081616436E-3</v>
      </c>
      <c r="X534" t="s">
        <v>550</v>
      </c>
      <c r="Y534" t="s">
        <v>89</v>
      </c>
      <c r="Z534" t="s">
        <v>515</v>
      </c>
      <c r="AA534" t="s">
        <v>1087</v>
      </c>
      <c r="AB534" t="s">
        <v>92</v>
      </c>
    </row>
    <row r="535" spans="1:28">
      <c r="A535" t="s">
        <v>1066</v>
      </c>
      <c r="B535" t="s">
        <v>1089</v>
      </c>
      <c r="C535" t="s">
        <v>655</v>
      </c>
      <c r="D535" t="s">
        <v>1068</v>
      </c>
      <c r="E535" t="s">
        <v>96</v>
      </c>
      <c r="F535">
        <v>20</v>
      </c>
      <c r="G535" t="s">
        <v>185</v>
      </c>
      <c r="H535" t="s">
        <v>675</v>
      </c>
      <c r="I535" t="s">
        <v>377</v>
      </c>
      <c r="J535" t="s">
        <v>1069</v>
      </c>
      <c r="K535" t="s">
        <v>29</v>
      </c>
      <c r="L535" t="s">
        <v>337</v>
      </c>
      <c r="M535" t="s">
        <v>1070</v>
      </c>
      <c r="N535" s="7">
        <v>1850</v>
      </c>
      <c r="O535" s="7">
        <v>100</v>
      </c>
      <c r="P535" s="7">
        <v>4</v>
      </c>
      <c r="Q535" s="7">
        <v>2050</v>
      </c>
      <c r="R535" s="7">
        <v>100</v>
      </c>
      <c r="S535" s="7">
        <v>4</v>
      </c>
      <c r="T535" s="7">
        <f t="shared" si="46"/>
        <v>200</v>
      </c>
      <c r="U535" s="7">
        <f t="shared" si="47"/>
        <v>200</v>
      </c>
      <c r="V535" s="7">
        <f t="shared" si="44"/>
        <v>0.10265415406008337</v>
      </c>
      <c r="W535" s="7">
        <f t="shared" si="45"/>
        <v>5.3013767501604537E-3</v>
      </c>
      <c r="X535" t="s">
        <v>550</v>
      </c>
      <c r="Y535" t="s">
        <v>89</v>
      </c>
      <c r="Z535" t="s">
        <v>515</v>
      </c>
      <c r="AA535" t="s">
        <v>1087</v>
      </c>
      <c r="AB535" t="s">
        <v>92</v>
      </c>
    </row>
    <row r="536" spans="1:28">
      <c r="A536" t="s">
        <v>1066</v>
      </c>
      <c r="B536" t="s">
        <v>1090</v>
      </c>
      <c r="C536" t="s">
        <v>655</v>
      </c>
      <c r="D536" t="s">
        <v>1068</v>
      </c>
      <c r="E536" t="s">
        <v>96</v>
      </c>
      <c r="F536">
        <v>1</v>
      </c>
      <c r="G536" t="s">
        <v>185</v>
      </c>
      <c r="H536" t="s">
        <v>675</v>
      </c>
      <c r="I536" t="s">
        <v>377</v>
      </c>
      <c r="J536" t="s">
        <v>1069</v>
      </c>
      <c r="K536" t="s">
        <v>41</v>
      </c>
      <c r="L536" t="s">
        <v>337</v>
      </c>
      <c r="M536" t="s">
        <v>1070</v>
      </c>
      <c r="N536" s="7">
        <v>2250</v>
      </c>
      <c r="O536" s="7">
        <v>120</v>
      </c>
      <c r="P536" s="7">
        <v>4</v>
      </c>
      <c r="Q536" s="7">
        <v>2250</v>
      </c>
      <c r="R536" s="7">
        <v>120</v>
      </c>
      <c r="S536" s="7">
        <v>4</v>
      </c>
      <c r="T536" s="7">
        <f t="shared" si="46"/>
        <v>240</v>
      </c>
      <c r="U536" s="7">
        <f t="shared" si="47"/>
        <v>240</v>
      </c>
      <c r="V536" s="7">
        <f t="shared" si="44"/>
        <v>0</v>
      </c>
      <c r="W536" s="7">
        <f t="shared" si="45"/>
        <v>5.6888888888888892E-3</v>
      </c>
      <c r="X536" t="s">
        <v>550</v>
      </c>
      <c r="Y536" t="s">
        <v>89</v>
      </c>
      <c r="Z536" t="s">
        <v>515</v>
      </c>
      <c r="AA536" t="s">
        <v>1091</v>
      </c>
      <c r="AB536" t="s">
        <v>92</v>
      </c>
    </row>
    <row r="537" spans="1:28">
      <c r="A537" t="s">
        <v>1066</v>
      </c>
      <c r="B537" t="s">
        <v>1092</v>
      </c>
      <c r="C537" t="s">
        <v>655</v>
      </c>
      <c r="D537" t="s">
        <v>1068</v>
      </c>
      <c r="E537" t="s">
        <v>96</v>
      </c>
      <c r="F537">
        <v>10</v>
      </c>
      <c r="G537" t="s">
        <v>185</v>
      </c>
      <c r="H537" t="s">
        <v>675</v>
      </c>
      <c r="I537" t="s">
        <v>377</v>
      </c>
      <c r="J537" t="s">
        <v>1069</v>
      </c>
      <c r="K537" t="s">
        <v>41</v>
      </c>
      <c r="L537" t="s">
        <v>337</v>
      </c>
      <c r="M537" t="s">
        <v>1070</v>
      </c>
      <c r="N537" s="7">
        <v>2250</v>
      </c>
      <c r="O537" s="7">
        <v>120</v>
      </c>
      <c r="P537" s="7">
        <v>4</v>
      </c>
      <c r="Q537" s="7">
        <v>2200</v>
      </c>
      <c r="R537" s="7">
        <v>120</v>
      </c>
      <c r="S537" s="7">
        <v>4</v>
      </c>
      <c r="T537" s="7">
        <f t="shared" si="46"/>
        <v>240</v>
      </c>
      <c r="U537" s="7">
        <f t="shared" si="47"/>
        <v>240</v>
      </c>
      <c r="V537" s="7">
        <f t="shared" si="44"/>
        <v>-2.2472855852058628E-2</v>
      </c>
      <c r="W537" s="7">
        <f t="shared" si="45"/>
        <v>5.8196510560146924E-3</v>
      </c>
      <c r="X537" t="s">
        <v>550</v>
      </c>
      <c r="Y537" t="s">
        <v>89</v>
      </c>
      <c r="Z537" t="s">
        <v>515</v>
      </c>
      <c r="AA537" t="s">
        <v>1091</v>
      </c>
      <c r="AB537" t="s">
        <v>92</v>
      </c>
    </row>
    <row r="538" spans="1:28">
      <c r="A538" t="s">
        <v>1066</v>
      </c>
      <c r="B538" t="s">
        <v>1093</v>
      </c>
      <c r="C538" t="s">
        <v>655</v>
      </c>
      <c r="D538" t="s">
        <v>1068</v>
      </c>
      <c r="E538" t="s">
        <v>96</v>
      </c>
      <c r="F538">
        <v>20</v>
      </c>
      <c r="G538" t="s">
        <v>185</v>
      </c>
      <c r="H538" t="s">
        <v>675</v>
      </c>
      <c r="I538" t="s">
        <v>377</v>
      </c>
      <c r="J538" t="s">
        <v>1069</v>
      </c>
      <c r="K538" t="s">
        <v>41</v>
      </c>
      <c r="L538" t="s">
        <v>337</v>
      </c>
      <c r="M538" t="s">
        <v>1070</v>
      </c>
      <c r="N538" s="7">
        <v>2250</v>
      </c>
      <c r="O538" s="7">
        <v>120</v>
      </c>
      <c r="P538" s="7">
        <v>4</v>
      </c>
      <c r="Q538" s="7">
        <v>2000</v>
      </c>
      <c r="R538" s="7">
        <v>110</v>
      </c>
      <c r="S538" s="7">
        <v>4</v>
      </c>
      <c r="T538" s="7">
        <f t="shared" si="46"/>
        <v>240</v>
      </c>
      <c r="U538" s="7">
        <f t="shared" si="47"/>
        <v>220</v>
      </c>
      <c r="V538" s="7">
        <f t="shared" si="44"/>
        <v>-0.11778303565638351</v>
      </c>
      <c r="W538" s="7">
        <f t="shared" si="45"/>
        <v>5.8694444444444445E-3</v>
      </c>
      <c r="X538" t="s">
        <v>550</v>
      </c>
      <c r="Y538" t="s">
        <v>89</v>
      </c>
      <c r="Z538" t="s">
        <v>515</v>
      </c>
      <c r="AA538" t="s">
        <v>1091</v>
      </c>
      <c r="AB538" t="s">
        <v>92</v>
      </c>
    </row>
    <row r="539" spans="1:28">
      <c r="A539" t="s">
        <v>1094</v>
      </c>
      <c r="B539" t="s">
        <v>1095</v>
      </c>
      <c r="C539" t="s">
        <v>1096</v>
      </c>
      <c r="D539" t="s">
        <v>1097</v>
      </c>
      <c r="E539" t="s">
        <v>750</v>
      </c>
      <c r="F539">
        <v>150</v>
      </c>
      <c r="G539" t="s">
        <v>83</v>
      </c>
      <c r="H539" t="s">
        <v>84</v>
      </c>
      <c r="I539" t="s">
        <v>186</v>
      </c>
      <c r="J539" t="s">
        <v>1098</v>
      </c>
      <c r="K539" t="s">
        <v>149</v>
      </c>
      <c r="L539" t="s">
        <v>40</v>
      </c>
      <c r="M539" t="s">
        <v>423</v>
      </c>
      <c r="N539" s="7">
        <v>1.2529999999999999</v>
      </c>
      <c r="O539" s="7"/>
      <c r="P539" s="7">
        <v>3</v>
      </c>
      <c r="Q539" s="7">
        <v>0.52500000000000002</v>
      </c>
      <c r="R539" s="7"/>
      <c r="S539" s="7">
        <v>3</v>
      </c>
      <c r="T539" s="7">
        <v>0.1</v>
      </c>
      <c r="U539" s="7">
        <v>0.1</v>
      </c>
      <c r="V539" s="7">
        <f t="shared" si="44"/>
        <v>-0.86989769230444447</v>
      </c>
      <c r="W539" s="7">
        <f t="shared" si="45"/>
        <v>1.421685645916208E-2</v>
      </c>
      <c r="X539" t="s">
        <v>1099</v>
      </c>
      <c r="Y539" t="s">
        <v>1100</v>
      </c>
      <c r="Z539" t="s">
        <v>1101</v>
      </c>
      <c r="AA539" t="s">
        <v>1102</v>
      </c>
      <c r="AB539" t="s">
        <v>92</v>
      </c>
    </row>
    <row r="540" spans="1:28">
      <c r="A540" t="s">
        <v>1094</v>
      </c>
      <c r="B540" t="s">
        <v>1103</v>
      </c>
      <c r="C540" t="s">
        <v>1096</v>
      </c>
      <c r="D540" t="s">
        <v>1097</v>
      </c>
      <c r="E540" t="s">
        <v>750</v>
      </c>
      <c r="F540">
        <v>300</v>
      </c>
      <c r="G540" t="s">
        <v>83</v>
      </c>
      <c r="H540" t="s">
        <v>84</v>
      </c>
      <c r="I540" t="s">
        <v>186</v>
      </c>
      <c r="J540" t="s">
        <v>1098</v>
      </c>
      <c r="K540" t="s">
        <v>149</v>
      </c>
      <c r="L540" t="s">
        <v>40</v>
      </c>
      <c r="M540" t="s">
        <v>423</v>
      </c>
      <c r="N540" s="7">
        <v>1.2529999999999999</v>
      </c>
      <c r="O540" s="7"/>
      <c r="P540" s="7">
        <v>3</v>
      </c>
      <c r="Q540" s="7">
        <v>1.1379999999999999</v>
      </c>
      <c r="R540" s="7"/>
      <c r="S540" s="7">
        <v>3</v>
      </c>
      <c r="T540" s="7">
        <v>0.1</v>
      </c>
      <c r="U540" s="7">
        <v>0.1</v>
      </c>
      <c r="V540" s="7">
        <f t="shared" si="44"/>
        <v>-9.6268340209792108E-2</v>
      </c>
      <c r="W540" s="7">
        <f t="shared" si="45"/>
        <v>4.6970452002372664E-3</v>
      </c>
      <c r="X540" t="s">
        <v>1099</v>
      </c>
      <c r="Y540" t="s">
        <v>1100</v>
      </c>
      <c r="Z540" t="s">
        <v>1101</v>
      </c>
      <c r="AA540" t="s">
        <v>1102</v>
      </c>
      <c r="AB540" t="s">
        <v>92</v>
      </c>
    </row>
    <row r="541" spans="1:28">
      <c r="A541" t="s">
        <v>1094</v>
      </c>
      <c r="B541" t="s">
        <v>1104</v>
      </c>
      <c r="C541" t="s">
        <v>1096</v>
      </c>
      <c r="D541" t="s">
        <v>1097</v>
      </c>
      <c r="E541" t="s">
        <v>1105</v>
      </c>
      <c r="F541">
        <v>150</v>
      </c>
      <c r="G541" t="s">
        <v>83</v>
      </c>
      <c r="H541" t="s">
        <v>84</v>
      </c>
      <c r="I541" t="s">
        <v>186</v>
      </c>
      <c r="J541" t="s">
        <v>1098</v>
      </c>
      <c r="K541" t="s">
        <v>149</v>
      </c>
      <c r="L541" t="s">
        <v>40</v>
      </c>
      <c r="M541" t="s">
        <v>423</v>
      </c>
      <c r="N541" s="7">
        <v>1.2529999999999999</v>
      </c>
      <c r="O541" s="7"/>
      <c r="P541" s="7">
        <v>3</v>
      </c>
      <c r="Q541" s="7">
        <v>1.288</v>
      </c>
      <c r="R541" s="7"/>
      <c r="S541" s="7">
        <v>3</v>
      </c>
      <c r="T541" s="7">
        <v>0.1</v>
      </c>
      <c r="U541" s="7">
        <v>0.1</v>
      </c>
      <c r="V541" s="7">
        <f t="shared" si="44"/>
        <v>2.7549951768230649E-2</v>
      </c>
      <c r="W541" s="7">
        <f t="shared" si="45"/>
        <v>4.1324404201146586E-3</v>
      </c>
      <c r="X541" t="s">
        <v>1099</v>
      </c>
      <c r="Y541" t="s">
        <v>1100</v>
      </c>
      <c r="Z541" t="s">
        <v>1101</v>
      </c>
      <c r="AA541" t="s">
        <v>1102</v>
      </c>
      <c r="AB541" t="s">
        <v>92</v>
      </c>
    </row>
    <row r="542" spans="1:28">
      <c r="A542" t="s">
        <v>1094</v>
      </c>
      <c r="B542" t="s">
        <v>1106</v>
      </c>
      <c r="C542" t="s">
        <v>1096</v>
      </c>
      <c r="D542" t="s">
        <v>1097</v>
      </c>
      <c r="E542" t="s">
        <v>1107</v>
      </c>
      <c r="F542" t="s">
        <v>1108</v>
      </c>
      <c r="G542" t="s">
        <v>1109</v>
      </c>
      <c r="H542" t="s">
        <v>84</v>
      </c>
      <c r="I542" t="s">
        <v>186</v>
      </c>
      <c r="J542" t="s">
        <v>1098</v>
      </c>
      <c r="K542" t="s">
        <v>149</v>
      </c>
      <c r="L542" t="s">
        <v>40</v>
      </c>
      <c r="M542" t="s">
        <v>423</v>
      </c>
      <c r="N542" s="7">
        <v>1.2529999999999999</v>
      </c>
      <c r="O542" s="7"/>
      <c r="P542" s="7">
        <v>3</v>
      </c>
      <c r="Q542" s="7">
        <v>0.995</v>
      </c>
      <c r="R542" s="7"/>
      <c r="S542" s="7">
        <v>3</v>
      </c>
      <c r="T542" s="7">
        <v>0.1</v>
      </c>
      <c r="U542" s="7">
        <v>0.1</v>
      </c>
      <c r="V542" s="7">
        <f t="shared" si="44"/>
        <v>-0.23055321773747545</v>
      </c>
      <c r="W542" s="7">
        <f t="shared" si="45"/>
        <v>5.4900484235342797E-3</v>
      </c>
      <c r="X542" t="s">
        <v>1099</v>
      </c>
      <c r="Y542" t="s">
        <v>1100</v>
      </c>
      <c r="Z542" t="s">
        <v>1101</v>
      </c>
      <c r="AA542" t="s">
        <v>1102</v>
      </c>
      <c r="AB542" t="s">
        <v>92</v>
      </c>
    </row>
    <row r="543" spans="1:28">
      <c r="A543" t="s">
        <v>1094</v>
      </c>
      <c r="B543" t="s">
        <v>1110</v>
      </c>
      <c r="C543" t="s">
        <v>1096</v>
      </c>
      <c r="D543" t="s">
        <v>1097</v>
      </c>
      <c r="E543" t="s">
        <v>1107</v>
      </c>
      <c r="F543" t="s">
        <v>1111</v>
      </c>
      <c r="G543" t="s">
        <v>1109</v>
      </c>
      <c r="H543" t="s">
        <v>84</v>
      </c>
      <c r="I543" t="s">
        <v>186</v>
      </c>
      <c r="J543" t="s">
        <v>1098</v>
      </c>
      <c r="K543" t="s">
        <v>149</v>
      </c>
      <c r="L543" t="s">
        <v>40</v>
      </c>
      <c r="M543" t="s">
        <v>423</v>
      </c>
      <c r="N543" s="7">
        <v>1.2529999999999999</v>
      </c>
      <c r="O543" s="7"/>
      <c r="P543" s="7">
        <v>3</v>
      </c>
      <c r="Q543" s="7">
        <v>1.373</v>
      </c>
      <c r="R543" s="7"/>
      <c r="S543" s="7">
        <v>3</v>
      </c>
      <c r="T543" s="7">
        <v>0.1</v>
      </c>
      <c r="U543" s="7">
        <v>0.1</v>
      </c>
      <c r="V543" s="7">
        <f t="shared" si="44"/>
        <v>9.1457450871902921E-2</v>
      </c>
      <c r="W543" s="7">
        <f t="shared" si="45"/>
        <v>3.8913556671126906E-3</v>
      </c>
      <c r="X543" t="s">
        <v>1099</v>
      </c>
      <c r="Y543" t="s">
        <v>1100</v>
      </c>
      <c r="Z543" t="s">
        <v>1101</v>
      </c>
      <c r="AA543" t="s">
        <v>1102</v>
      </c>
      <c r="AB543" t="s">
        <v>92</v>
      </c>
    </row>
    <row r="544" spans="1:28">
      <c r="A544" t="s">
        <v>1094</v>
      </c>
      <c r="B544" t="s">
        <v>1112</v>
      </c>
      <c r="C544" t="s">
        <v>1096</v>
      </c>
      <c r="D544" t="s">
        <v>1097</v>
      </c>
      <c r="E544" t="s">
        <v>1105</v>
      </c>
      <c r="F544">
        <v>300</v>
      </c>
      <c r="G544" t="s">
        <v>83</v>
      </c>
      <c r="H544" t="s">
        <v>84</v>
      </c>
      <c r="I544" t="s">
        <v>186</v>
      </c>
      <c r="J544" t="s">
        <v>1098</v>
      </c>
      <c r="K544" t="s">
        <v>149</v>
      </c>
      <c r="L544" t="s">
        <v>40</v>
      </c>
      <c r="M544" t="s">
        <v>423</v>
      </c>
      <c r="N544" s="7">
        <v>1.2529999999999999</v>
      </c>
      <c r="O544" s="7"/>
      <c r="P544" s="7">
        <v>3</v>
      </c>
      <c r="Q544" s="7">
        <v>1.093</v>
      </c>
      <c r="R544" s="7"/>
      <c r="S544" s="7">
        <v>3</v>
      </c>
      <c r="T544" s="7">
        <v>0.1</v>
      </c>
      <c r="U544" s="7">
        <v>0.1</v>
      </c>
      <c r="V544" s="7">
        <f t="shared" si="44"/>
        <v>-0.13661446671952965</v>
      </c>
      <c r="W544" s="7">
        <f t="shared" si="45"/>
        <v>4.9133499127713993E-3</v>
      </c>
      <c r="X544" t="s">
        <v>1099</v>
      </c>
      <c r="Y544" t="s">
        <v>1100</v>
      </c>
      <c r="Z544" t="s">
        <v>1101</v>
      </c>
      <c r="AA544" t="s">
        <v>1102</v>
      </c>
      <c r="AB544" t="s">
        <v>92</v>
      </c>
    </row>
    <row r="545" spans="1:28">
      <c r="A545" t="s">
        <v>1094</v>
      </c>
      <c r="B545" t="s">
        <v>1113</v>
      </c>
      <c r="C545" t="s">
        <v>1096</v>
      </c>
      <c r="D545" t="s">
        <v>1097</v>
      </c>
      <c r="E545" t="s">
        <v>1107</v>
      </c>
      <c r="F545" t="s">
        <v>1114</v>
      </c>
      <c r="G545" t="s">
        <v>1109</v>
      </c>
      <c r="H545" t="s">
        <v>84</v>
      </c>
      <c r="I545" t="s">
        <v>186</v>
      </c>
      <c r="J545" t="s">
        <v>1098</v>
      </c>
      <c r="K545" t="s">
        <v>149</v>
      </c>
      <c r="L545" t="s">
        <v>40</v>
      </c>
      <c r="M545" t="s">
        <v>423</v>
      </c>
      <c r="N545" s="7">
        <v>1.2529999999999999</v>
      </c>
      <c r="O545" s="7"/>
      <c r="P545" s="7">
        <v>3</v>
      </c>
      <c r="Q545" s="7">
        <v>1.198</v>
      </c>
      <c r="R545" s="7"/>
      <c r="S545" s="7">
        <v>3</v>
      </c>
      <c r="T545" s="7">
        <v>0.1</v>
      </c>
      <c r="U545" s="7">
        <v>0.1</v>
      </c>
      <c r="V545" s="7">
        <f t="shared" si="44"/>
        <v>-4.4887176220673584E-2</v>
      </c>
      <c r="W545" s="7">
        <f t="shared" si="45"/>
        <v>4.4456802769988263E-3</v>
      </c>
      <c r="X545" t="s">
        <v>1099</v>
      </c>
      <c r="Y545" t="s">
        <v>1100</v>
      </c>
      <c r="Z545" t="s">
        <v>1101</v>
      </c>
      <c r="AA545" t="s">
        <v>1102</v>
      </c>
      <c r="AB545" t="s">
        <v>92</v>
      </c>
    </row>
    <row r="546" spans="1:28">
      <c r="A546" t="s">
        <v>1094</v>
      </c>
      <c r="B546" t="s">
        <v>1115</v>
      </c>
      <c r="C546" t="s">
        <v>1096</v>
      </c>
      <c r="D546" t="s">
        <v>1097</v>
      </c>
      <c r="E546" t="s">
        <v>1107</v>
      </c>
      <c r="F546" t="s">
        <v>1116</v>
      </c>
      <c r="G546" t="s">
        <v>1109</v>
      </c>
      <c r="H546" t="s">
        <v>84</v>
      </c>
      <c r="I546" t="s">
        <v>186</v>
      </c>
      <c r="J546" t="s">
        <v>1098</v>
      </c>
      <c r="K546" t="s">
        <v>149</v>
      </c>
      <c r="L546" t="s">
        <v>40</v>
      </c>
      <c r="M546" t="s">
        <v>423</v>
      </c>
      <c r="N546" s="7">
        <v>1.2529999999999999</v>
      </c>
      <c r="O546" s="7"/>
      <c r="P546" s="7">
        <v>3</v>
      </c>
      <c r="Q546" s="7">
        <v>1.07</v>
      </c>
      <c r="R546" s="7"/>
      <c r="S546" s="7">
        <v>3</v>
      </c>
      <c r="T546" s="7">
        <v>0.1</v>
      </c>
      <c r="U546" s="7">
        <v>0.1</v>
      </c>
      <c r="V546" s="7">
        <f t="shared" si="44"/>
        <v>-0.15788202744011628</v>
      </c>
      <c r="W546" s="7">
        <f t="shared" si="45"/>
        <v>5.0345925072987846E-3</v>
      </c>
      <c r="X546" t="s">
        <v>1099</v>
      </c>
      <c r="Y546" t="s">
        <v>1100</v>
      </c>
      <c r="Z546" t="s">
        <v>1101</v>
      </c>
      <c r="AA546" t="s">
        <v>1102</v>
      </c>
      <c r="AB546" t="s">
        <v>92</v>
      </c>
    </row>
    <row r="547" spans="1:28">
      <c r="A547" t="s">
        <v>1094</v>
      </c>
      <c r="B547" t="s">
        <v>1117</v>
      </c>
      <c r="C547" t="s">
        <v>1096</v>
      </c>
      <c r="D547" t="s">
        <v>1097</v>
      </c>
      <c r="E547" t="s">
        <v>750</v>
      </c>
      <c r="F547">
        <v>150</v>
      </c>
      <c r="G547" t="s">
        <v>83</v>
      </c>
      <c r="H547" t="s">
        <v>84</v>
      </c>
      <c r="I547" t="s">
        <v>186</v>
      </c>
      <c r="J547" t="s">
        <v>1118</v>
      </c>
      <c r="K547" t="s">
        <v>149</v>
      </c>
      <c r="L547" t="s">
        <v>40</v>
      </c>
      <c r="M547" t="s">
        <v>423</v>
      </c>
      <c r="N547" s="7">
        <v>0.88300000000000001</v>
      </c>
      <c r="O547" s="7"/>
      <c r="P547" s="7">
        <v>3</v>
      </c>
      <c r="Q547" s="7">
        <v>0.36499999999999999</v>
      </c>
      <c r="R547" s="7"/>
      <c r="S547" s="7">
        <v>3</v>
      </c>
      <c r="T547" s="7">
        <v>0.1</v>
      </c>
      <c r="U547" s="7">
        <v>0.1</v>
      </c>
      <c r="V547" s="7">
        <f t="shared" si="44"/>
        <v>-0.88342784702146848</v>
      </c>
      <c r="W547" s="7">
        <f t="shared" si="45"/>
        <v>2.9295537893344246E-2</v>
      </c>
      <c r="X547" t="s">
        <v>1099</v>
      </c>
      <c r="Y547" t="s">
        <v>1100</v>
      </c>
      <c r="Z547" t="s">
        <v>1101</v>
      </c>
      <c r="AA547" t="s">
        <v>1119</v>
      </c>
      <c r="AB547" t="s">
        <v>92</v>
      </c>
    </row>
    <row r="548" spans="1:28">
      <c r="A548" t="s">
        <v>1094</v>
      </c>
      <c r="B548" t="s">
        <v>1120</v>
      </c>
      <c r="C548" t="s">
        <v>1096</v>
      </c>
      <c r="D548" t="s">
        <v>1097</v>
      </c>
      <c r="E548" t="s">
        <v>750</v>
      </c>
      <c r="F548">
        <v>300</v>
      </c>
      <c r="G548" t="s">
        <v>83</v>
      </c>
      <c r="H548" t="s">
        <v>84</v>
      </c>
      <c r="I548" t="s">
        <v>186</v>
      </c>
      <c r="J548" t="s">
        <v>1118</v>
      </c>
      <c r="K548" t="s">
        <v>149</v>
      </c>
      <c r="L548" t="s">
        <v>40</v>
      </c>
      <c r="M548" t="s">
        <v>423</v>
      </c>
      <c r="N548" s="7">
        <v>0.88300000000000001</v>
      </c>
      <c r="O548" s="7"/>
      <c r="P548" s="7">
        <v>3</v>
      </c>
      <c r="Q548" s="7">
        <v>0.51</v>
      </c>
      <c r="R548" s="7"/>
      <c r="S548" s="7">
        <v>3</v>
      </c>
      <c r="T548" s="7">
        <v>0.1</v>
      </c>
      <c r="U548" s="7">
        <v>0.1</v>
      </c>
      <c r="V548" s="7">
        <f t="shared" si="44"/>
        <v>-0.54891447488558853</v>
      </c>
      <c r="W548" s="7">
        <f t="shared" si="45"/>
        <v>1.709079262585747E-2</v>
      </c>
      <c r="X548" t="s">
        <v>1099</v>
      </c>
      <c r="Y548" t="s">
        <v>1100</v>
      </c>
      <c r="Z548" t="s">
        <v>1101</v>
      </c>
      <c r="AA548" t="s">
        <v>1119</v>
      </c>
      <c r="AB548" t="s">
        <v>92</v>
      </c>
    </row>
    <row r="549" spans="1:28">
      <c r="A549" t="s">
        <v>1094</v>
      </c>
      <c r="B549" t="s">
        <v>1121</v>
      </c>
      <c r="C549" t="s">
        <v>1096</v>
      </c>
      <c r="D549" t="s">
        <v>1097</v>
      </c>
      <c r="E549" t="s">
        <v>1105</v>
      </c>
      <c r="F549">
        <v>150</v>
      </c>
      <c r="G549" t="s">
        <v>83</v>
      </c>
      <c r="H549" t="s">
        <v>84</v>
      </c>
      <c r="I549" t="s">
        <v>186</v>
      </c>
      <c r="J549" t="s">
        <v>1118</v>
      </c>
      <c r="K549" t="s">
        <v>149</v>
      </c>
      <c r="L549" t="s">
        <v>40</v>
      </c>
      <c r="M549" t="s">
        <v>423</v>
      </c>
      <c r="N549" s="7">
        <v>0.88300000000000001</v>
      </c>
      <c r="O549" s="7"/>
      <c r="P549" s="7">
        <v>3</v>
      </c>
      <c r="Q549" s="7">
        <v>0.48299999999999998</v>
      </c>
      <c r="R549" s="7"/>
      <c r="S549" s="7">
        <v>3</v>
      </c>
      <c r="T549" s="7">
        <v>0.1</v>
      </c>
      <c r="U549" s="7">
        <v>0.1</v>
      </c>
      <c r="V549" s="7">
        <f t="shared" si="44"/>
        <v>-0.60330854695138736</v>
      </c>
      <c r="W549" s="7">
        <f t="shared" si="45"/>
        <v>1.8563637963258526E-2</v>
      </c>
      <c r="X549" t="s">
        <v>1099</v>
      </c>
      <c r="Y549" t="s">
        <v>1100</v>
      </c>
      <c r="Z549" t="s">
        <v>1101</v>
      </c>
      <c r="AA549" t="s">
        <v>1119</v>
      </c>
      <c r="AB549" t="s">
        <v>92</v>
      </c>
    </row>
    <row r="550" spans="1:28">
      <c r="A550" t="s">
        <v>1094</v>
      </c>
      <c r="B550" t="s">
        <v>1122</v>
      </c>
      <c r="C550" t="s">
        <v>1096</v>
      </c>
      <c r="D550" t="s">
        <v>1097</v>
      </c>
      <c r="E550" t="s">
        <v>1107</v>
      </c>
      <c r="F550" t="s">
        <v>1108</v>
      </c>
      <c r="G550" t="s">
        <v>1109</v>
      </c>
      <c r="H550" t="s">
        <v>84</v>
      </c>
      <c r="I550" t="s">
        <v>186</v>
      </c>
      <c r="J550" t="s">
        <v>1118</v>
      </c>
      <c r="K550" t="s">
        <v>149</v>
      </c>
      <c r="L550" t="s">
        <v>40</v>
      </c>
      <c r="M550" t="s">
        <v>423</v>
      </c>
      <c r="N550" s="7">
        <v>0.88300000000000001</v>
      </c>
      <c r="O550" s="7"/>
      <c r="P550" s="7">
        <v>3</v>
      </c>
      <c r="Q550" s="7">
        <v>0.48299999999999998</v>
      </c>
      <c r="R550" s="7"/>
      <c r="S550" s="7">
        <v>3</v>
      </c>
      <c r="T550" s="7">
        <v>0.1</v>
      </c>
      <c r="U550" s="7">
        <v>0.1</v>
      </c>
      <c r="V550" s="7">
        <f t="shared" si="44"/>
        <v>-0.60330854695138736</v>
      </c>
      <c r="W550" s="7">
        <f t="shared" si="45"/>
        <v>1.8563637963258526E-2</v>
      </c>
      <c r="X550" t="s">
        <v>1099</v>
      </c>
      <c r="Y550" t="s">
        <v>1100</v>
      </c>
      <c r="Z550" t="s">
        <v>1101</v>
      </c>
      <c r="AA550" t="s">
        <v>1119</v>
      </c>
      <c r="AB550" t="s">
        <v>92</v>
      </c>
    </row>
    <row r="551" spans="1:28">
      <c r="A551" t="s">
        <v>1094</v>
      </c>
      <c r="B551" t="s">
        <v>1123</v>
      </c>
      <c r="C551" t="s">
        <v>1096</v>
      </c>
      <c r="D551" t="s">
        <v>1097</v>
      </c>
      <c r="E551" t="s">
        <v>1107</v>
      </c>
      <c r="F551" t="s">
        <v>1111</v>
      </c>
      <c r="G551" t="s">
        <v>1109</v>
      </c>
      <c r="H551" t="s">
        <v>84</v>
      </c>
      <c r="I551" t="s">
        <v>186</v>
      </c>
      <c r="J551" t="s">
        <v>1118</v>
      </c>
      <c r="K551" t="s">
        <v>149</v>
      </c>
      <c r="L551" t="s">
        <v>40</v>
      </c>
      <c r="M551" t="s">
        <v>423</v>
      </c>
      <c r="N551" s="7">
        <v>0.88300000000000001</v>
      </c>
      <c r="O551" s="7"/>
      <c r="P551" s="7">
        <v>3</v>
      </c>
      <c r="Q551" s="7">
        <v>0.46</v>
      </c>
      <c r="R551" s="7"/>
      <c r="S551" s="7">
        <v>3</v>
      </c>
      <c r="T551" s="7">
        <v>0.1</v>
      </c>
      <c r="U551" s="7">
        <v>0.1</v>
      </c>
      <c r="V551" s="7">
        <f t="shared" si="44"/>
        <v>-0.65209871112081941</v>
      </c>
      <c r="W551" s="7">
        <f t="shared" si="45"/>
        <v>2.0028201944700712E-2</v>
      </c>
      <c r="X551" t="s">
        <v>1099</v>
      </c>
      <c r="Y551" t="s">
        <v>1100</v>
      </c>
      <c r="Z551" t="s">
        <v>1101</v>
      </c>
      <c r="AA551" t="s">
        <v>1119</v>
      </c>
      <c r="AB551" t="s">
        <v>92</v>
      </c>
    </row>
    <row r="552" spans="1:28">
      <c r="A552" t="s">
        <v>1094</v>
      </c>
      <c r="B552" t="s">
        <v>1124</v>
      </c>
      <c r="C552" t="s">
        <v>1096</v>
      </c>
      <c r="D552" t="s">
        <v>1097</v>
      </c>
      <c r="E552" t="s">
        <v>1105</v>
      </c>
      <c r="F552">
        <v>300</v>
      </c>
      <c r="G552" t="s">
        <v>83</v>
      </c>
      <c r="H552" t="s">
        <v>84</v>
      </c>
      <c r="I552" t="s">
        <v>186</v>
      </c>
      <c r="J552" t="s">
        <v>1118</v>
      </c>
      <c r="K552" t="s">
        <v>149</v>
      </c>
      <c r="L552" t="s">
        <v>40</v>
      </c>
      <c r="M552" t="s">
        <v>423</v>
      </c>
      <c r="N552" s="7">
        <v>0.88300000000000001</v>
      </c>
      <c r="O552" s="7"/>
      <c r="P552" s="7">
        <v>3</v>
      </c>
      <c r="Q552" s="7">
        <v>0.66500000000000004</v>
      </c>
      <c r="R552" s="7"/>
      <c r="S552" s="7">
        <v>3</v>
      </c>
      <c r="T552" s="7">
        <v>0.1</v>
      </c>
      <c r="U552" s="7">
        <v>0.1</v>
      </c>
      <c r="V552" s="7">
        <f t="shared" si="44"/>
        <v>-0.28353815994810583</v>
      </c>
      <c r="W552" s="7">
        <f t="shared" si="45"/>
        <v>1.1812849971236914E-2</v>
      </c>
      <c r="X552" t="s">
        <v>1099</v>
      </c>
      <c r="Y552" t="s">
        <v>1100</v>
      </c>
      <c r="Z552" t="s">
        <v>1101</v>
      </c>
      <c r="AA552" t="s">
        <v>1119</v>
      </c>
      <c r="AB552" t="s">
        <v>92</v>
      </c>
    </row>
    <row r="553" spans="1:28">
      <c r="A553" t="s">
        <v>1094</v>
      </c>
      <c r="B553" t="s">
        <v>1125</v>
      </c>
      <c r="C553" t="s">
        <v>1096</v>
      </c>
      <c r="D553" t="s">
        <v>1097</v>
      </c>
      <c r="E553" t="s">
        <v>1107</v>
      </c>
      <c r="F553" t="s">
        <v>1114</v>
      </c>
      <c r="G553" t="s">
        <v>1109</v>
      </c>
      <c r="H553" t="s">
        <v>84</v>
      </c>
      <c r="I553" t="s">
        <v>186</v>
      </c>
      <c r="J553" t="s">
        <v>1118</v>
      </c>
      <c r="K553" t="s">
        <v>149</v>
      </c>
      <c r="L553" t="s">
        <v>40</v>
      </c>
      <c r="M553" t="s">
        <v>423</v>
      </c>
      <c r="N553" s="7">
        <v>0.88300000000000001</v>
      </c>
      <c r="O553" s="7"/>
      <c r="P553" s="7">
        <v>3</v>
      </c>
      <c r="Q553" s="7">
        <v>0.56799999999999995</v>
      </c>
      <c r="R553" s="7"/>
      <c r="S553" s="7">
        <v>3</v>
      </c>
      <c r="T553" s="7">
        <v>0.1</v>
      </c>
      <c r="U553" s="7">
        <v>0.1</v>
      </c>
      <c r="V553" s="7">
        <f t="shared" si="44"/>
        <v>-0.44120378188280873</v>
      </c>
      <c r="W553" s="7">
        <f t="shared" si="45"/>
        <v>1.4607153595980634E-2</v>
      </c>
      <c r="X553" t="s">
        <v>1099</v>
      </c>
      <c r="Y553" t="s">
        <v>1100</v>
      </c>
      <c r="Z553" t="s">
        <v>1101</v>
      </c>
      <c r="AA553" t="s">
        <v>1119</v>
      </c>
      <c r="AB553" t="s">
        <v>92</v>
      </c>
    </row>
    <row r="554" spans="1:28">
      <c r="A554" t="s">
        <v>1094</v>
      </c>
      <c r="B554" t="s">
        <v>1126</v>
      </c>
      <c r="C554" t="s">
        <v>1096</v>
      </c>
      <c r="D554" t="s">
        <v>1097</v>
      </c>
      <c r="E554" t="s">
        <v>1107</v>
      </c>
      <c r="F554" t="s">
        <v>1116</v>
      </c>
      <c r="G554" t="s">
        <v>1109</v>
      </c>
      <c r="H554" t="s">
        <v>84</v>
      </c>
      <c r="I554" t="s">
        <v>186</v>
      </c>
      <c r="J554" t="s">
        <v>1118</v>
      </c>
      <c r="K554" t="s">
        <v>149</v>
      </c>
      <c r="L554" t="s">
        <v>40</v>
      </c>
      <c r="M554" t="s">
        <v>423</v>
      </c>
      <c r="N554" s="7">
        <v>0.88300000000000001</v>
      </c>
      <c r="O554" s="7"/>
      <c r="P554" s="7">
        <v>3</v>
      </c>
      <c r="Q554" s="7">
        <v>0.86799999999999999</v>
      </c>
      <c r="R554" s="7"/>
      <c r="S554" s="7">
        <v>3</v>
      </c>
      <c r="T554" s="7">
        <v>0.1</v>
      </c>
      <c r="U554" s="7">
        <v>0.1</v>
      </c>
      <c r="V554" s="7">
        <f t="shared" si="44"/>
        <v>-1.7133485943609812E-2</v>
      </c>
      <c r="W554" s="7">
        <f t="shared" si="45"/>
        <v>8.6994551614204794E-3</v>
      </c>
      <c r="X554" t="s">
        <v>1099</v>
      </c>
      <c r="Y554" t="s">
        <v>1100</v>
      </c>
      <c r="Z554" t="s">
        <v>1101</v>
      </c>
      <c r="AA554" t="s">
        <v>1119</v>
      </c>
      <c r="AB554" t="s">
        <v>92</v>
      </c>
    </row>
    <row r="555" spans="1:28">
      <c r="A555" t="s">
        <v>1127</v>
      </c>
      <c r="B555" t="s">
        <v>1128</v>
      </c>
      <c r="C555" t="s">
        <v>1129</v>
      </c>
      <c r="D555" t="s">
        <v>1130</v>
      </c>
      <c r="E555" t="s">
        <v>96</v>
      </c>
      <c r="F555">
        <v>10</v>
      </c>
      <c r="G555" t="s">
        <v>185</v>
      </c>
      <c r="H555" t="s">
        <v>84</v>
      </c>
      <c r="I555" t="s">
        <v>186</v>
      </c>
      <c r="J555" t="s">
        <v>1131</v>
      </c>
      <c r="K555" t="s">
        <v>149</v>
      </c>
      <c r="L555" t="s">
        <v>42</v>
      </c>
      <c r="M555" t="s">
        <v>482</v>
      </c>
      <c r="N555" s="7">
        <v>14500</v>
      </c>
      <c r="O555" s="7">
        <v>1200</v>
      </c>
      <c r="P555" s="7">
        <v>3</v>
      </c>
      <c r="Q555" s="7">
        <v>20500</v>
      </c>
      <c r="R555" s="7">
        <v>1200</v>
      </c>
      <c r="S555" s="7">
        <v>3</v>
      </c>
      <c r="T555" s="7">
        <f t="shared" ref="T555:T576" si="48">O555*SQRT(P555)</f>
        <v>2078.4609690826528</v>
      </c>
      <c r="U555" s="7">
        <f t="shared" ref="U555:U576" si="49">R555*SQRT(S555)</f>
        <v>2078.4609690826528</v>
      </c>
      <c r="V555" s="7">
        <f t="shared" si="44"/>
        <v>0.34627623671783375</v>
      </c>
      <c r="W555" s="7">
        <f t="shared" si="45"/>
        <v>1.0275521124748093E-2</v>
      </c>
      <c r="X555" t="s">
        <v>1132</v>
      </c>
      <c r="Y555" t="s">
        <v>89</v>
      </c>
      <c r="Z555" t="s">
        <v>515</v>
      </c>
      <c r="AA555" t="s">
        <v>1133</v>
      </c>
      <c r="AB555" t="s">
        <v>92</v>
      </c>
    </row>
    <row r="556" spans="1:28">
      <c r="A556" t="s">
        <v>1127</v>
      </c>
      <c r="B556" t="s">
        <v>1134</v>
      </c>
      <c r="C556" t="s">
        <v>1129</v>
      </c>
      <c r="D556" t="s">
        <v>1130</v>
      </c>
      <c r="E556" t="s">
        <v>96</v>
      </c>
      <c r="F556">
        <v>10</v>
      </c>
      <c r="G556" t="s">
        <v>185</v>
      </c>
      <c r="H556" t="s">
        <v>84</v>
      </c>
      <c r="I556" t="s">
        <v>186</v>
      </c>
      <c r="J556" t="s">
        <v>1131</v>
      </c>
      <c r="K556" t="s">
        <v>149</v>
      </c>
      <c r="L556" t="s">
        <v>53</v>
      </c>
      <c r="M556" t="s">
        <v>482</v>
      </c>
      <c r="N556" s="7">
        <v>2800</v>
      </c>
      <c r="O556" s="7">
        <v>220</v>
      </c>
      <c r="P556" s="7">
        <v>3</v>
      </c>
      <c r="Q556" s="7">
        <v>2850</v>
      </c>
      <c r="R556" s="7">
        <v>220</v>
      </c>
      <c r="S556" s="7">
        <v>3</v>
      </c>
      <c r="T556" s="7">
        <f t="shared" si="48"/>
        <v>381.05117766515298</v>
      </c>
      <c r="U556" s="7">
        <f t="shared" si="49"/>
        <v>381.05117766515298</v>
      </c>
      <c r="V556" s="7">
        <f t="shared" si="44"/>
        <v>1.7699577099400857E-2</v>
      </c>
      <c r="W556" s="7">
        <f t="shared" si="45"/>
        <v>1.2132225928229091E-2</v>
      </c>
      <c r="X556" t="s">
        <v>1132</v>
      </c>
      <c r="Y556" t="s">
        <v>89</v>
      </c>
      <c r="Z556" t="s">
        <v>515</v>
      </c>
      <c r="AA556" t="s">
        <v>1135</v>
      </c>
      <c r="AB556" t="s">
        <v>92</v>
      </c>
    </row>
    <row r="557" spans="1:28">
      <c r="A557" t="s">
        <v>1127</v>
      </c>
      <c r="B557" t="s">
        <v>1136</v>
      </c>
      <c r="C557" t="s">
        <v>1129</v>
      </c>
      <c r="D557" t="s">
        <v>1130</v>
      </c>
      <c r="E557" t="s">
        <v>96</v>
      </c>
      <c r="F557">
        <v>10</v>
      </c>
      <c r="G557" t="s">
        <v>185</v>
      </c>
      <c r="H557" t="s">
        <v>84</v>
      </c>
      <c r="I557" t="s">
        <v>186</v>
      </c>
      <c r="J557" t="s">
        <v>1131</v>
      </c>
      <c r="K557" t="s">
        <v>149</v>
      </c>
      <c r="L557" t="s">
        <v>40</v>
      </c>
      <c r="M557" t="s">
        <v>482</v>
      </c>
      <c r="N557" s="7">
        <v>40000</v>
      </c>
      <c r="O557" s="7">
        <v>2500</v>
      </c>
      <c r="P557" s="7">
        <v>3</v>
      </c>
      <c r="Q557" s="7">
        <v>55000</v>
      </c>
      <c r="R557" s="7">
        <v>2500</v>
      </c>
      <c r="S557" s="7">
        <v>3</v>
      </c>
      <c r="T557" s="7">
        <f t="shared" si="48"/>
        <v>4330.1270189221932</v>
      </c>
      <c r="U557" s="7">
        <f t="shared" si="49"/>
        <v>4330.1270189221932</v>
      </c>
      <c r="V557" s="7">
        <f t="shared" si="44"/>
        <v>0.31845373111853459</v>
      </c>
      <c r="W557" s="7">
        <f t="shared" si="45"/>
        <v>5.9723657024793389E-3</v>
      </c>
      <c r="X557" t="s">
        <v>1132</v>
      </c>
      <c r="Y557" t="s">
        <v>89</v>
      </c>
      <c r="Z557" t="s">
        <v>515</v>
      </c>
      <c r="AA557" t="s">
        <v>1137</v>
      </c>
      <c r="AB557" t="s">
        <v>92</v>
      </c>
    </row>
    <row r="558" spans="1:28">
      <c r="A558" t="s">
        <v>1127</v>
      </c>
      <c r="B558" t="s">
        <v>1138</v>
      </c>
      <c r="C558" t="s">
        <v>1129</v>
      </c>
      <c r="D558" t="s">
        <v>1130</v>
      </c>
      <c r="E558" t="s">
        <v>96</v>
      </c>
      <c r="F558">
        <v>10</v>
      </c>
      <c r="G558" t="s">
        <v>185</v>
      </c>
      <c r="H558" t="s">
        <v>84</v>
      </c>
      <c r="I558" t="s">
        <v>186</v>
      </c>
      <c r="J558" t="s">
        <v>1131</v>
      </c>
      <c r="K558" t="s">
        <v>149</v>
      </c>
      <c r="L558" t="s">
        <v>30</v>
      </c>
      <c r="M558" t="s">
        <v>482</v>
      </c>
      <c r="N558" s="7">
        <v>19500</v>
      </c>
      <c r="O558" s="7">
        <v>1000</v>
      </c>
      <c r="P558" s="7">
        <v>3</v>
      </c>
      <c r="Q558" s="7">
        <v>25000</v>
      </c>
      <c r="R558" s="7">
        <v>1200</v>
      </c>
      <c r="S558" s="7">
        <v>3</v>
      </c>
      <c r="T558" s="7">
        <f t="shared" si="48"/>
        <v>1732.0508075688772</v>
      </c>
      <c r="U558" s="7">
        <f t="shared" si="49"/>
        <v>2078.4609690826528</v>
      </c>
      <c r="V558" s="7">
        <f t="shared" si="44"/>
        <v>0.24846135929849972</v>
      </c>
      <c r="W558" s="7">
        <f t="shared" si="45"/>
        <v>4.9338487836949373E-3</v>
      </c>
      <c r="X558" t="s">
        <v>1132</v>
      </c>
      <c r="Y558" t="s">
        <v>89</v>
      </c>
      <c r="Z558" t="s">
        <v>515</v>
      </c>
      <c r="AA558" t="s">
        <v>1139</v>
      </c>
      <c r="AB558" t="s">
        <v>92</v>
      </c>
    </row>
    <row r="559" spans="1:28">
      <c r="A559" t="s">
        <v>1127</v>
      </c>
      <c r="B559" t="s">
        <v>1140</v>
      </c>
      <c r="C559" t="s">
        <v>1129</v>
      </c>
      <c r="D559" t="s">
        <v>1130</v>
      </c>
      <c r="E559" t="s">
        <v>96</v>
      </c>
      <c r="F559">
        <v>10</v>
      </c>
      <c r="G559" t="s">
        <v>185</v>
      </c>
      <c r="H559" t="s">
        <v>84</v>
      </c>
      <c r="I559" t="s">
        <v>186</v>
      </c>
      <c r="J559" t="s">
        <v>1131</v>
      </c>
      <c r="K559" t="s">
        <v>149</v>
      </c>
      <c r="L559" t="s">
        <v>337</v>
      </c>
      <c r="M559" t="s">
        <v>482</v>
      </c>
      <c r="N559" s="7">
        <v>8200</v>
      </c>
      <c r="O559" s="7">
        <v>700</v>
      </c>
      <c r="P559" s="7">
        <v>3</v>
      </c>
      <c r="Q559" s="7">
        <v>16500</v>
      </c>
      <c r="R559" s="7">
        <v>1400</v>
      </c>
      <c r="S559" s="7">
        <v>3</v>
      </c>
      <c r="T559" s="7">
        <f t="shared" si="48"/>
        <v>1212.435565298214</v>
      </c>
      <c r="U559" s="7">
        <f t="shared" si="49"/>
        <v>2424.871130596428</v>
      </c>
      <c r="V559" s="7">
        <f t="shared" si="44"/>
        <v>0.6992262266363275</v>
      </c>
      <c r="W559" s="7">
        <f t="shared" si="45"/>
        <v>1.4486594351934244E-2</v>
      </c>
      <c r="X559" t="s">
        <v>1132</v>
      </c>
      <c r="Y559" t="s">
        <v>89</v>
      </c>
      <c r="Z559" t="s">
        <v>515</v>
      </c>
      <c r="AA559" t="s">
        <v>1141</v>
      </c>
      <c r="AB559" t="s">
        <v>92</v>
      </c>
    </row>
    <row r="560" spans="1:28">
      <c r="A560" t="s">
        <v>1127</v>
      </c>
      <c r="B560" t="s">
        <v>1142</v>
      </c>
      <c r="C560" t="s">
        <v>1129</v>
      </c>
      <c r="D560" t="s">
        <v>1130</v>
      </c>
      <c r="E560" t="s">
        <v>96</v>
      </c>
      <c r="F560">
        <v>10</v>
      </c>
      <c r="G560" t="s">
        <v>185</v>
      </c>
      <c r="H560" t="s">
        <v>84</v>
      </c>
      <c r="I560" t="s">
        <v>186</v>
      </c>
      <c r="J560" t="s">
        <v>1131</v>
      </c>
      <c r="K560" t="s">
        <v>149</v>
      </c>
      <c r="L560" t="s">
        <v>34</v>
      </c>
      <c r="M560" t="s">
        <v>482</v>
      </c>
      <c r="N560" s="7">
        <v>4300</v>
      </c>
      <c r="O560" s="7">
        <v>350</v>
      </c>
      <c r="P560" s="7">
        <v>3</v>
      </c>
      <c r="Q560" s="7">
        <v>5200</v>
      </c>
      <c r="R560" s="7">
        <v>400</v>
      </c>
      <c r="S560" s="7">
        <v>3</v>
      </c>
      <c r="T560" s="7">
        <f t="shared" si="48"/>
        <v>606.21778264910699</v>
      </c>
      <c r="U560" s="7">
        <f t="shared" si="49"/>
        <v>692.8203230275509</v>
      </c>
      <c r="V560" s="7">
        <f t="shared" si="44"/>
        <v>0.19004360288786487</v>
      </c>
      <c r="W560" s="7">
        <f t="shared" si="45"/>
        <v>1.2542362575644599E-2</v>
      </c>
      <c r="X560" t="s">
        <v>1132</v>
      </c>
      <c r="Y560" t="s">
        <v>89</v>
      </c>
      <c r="Z560" t="s">
        <v>515</v>
      </c>
      <c r="AA560" t="s">
        <v>1143</v>
      </c>
      <c r="AB560" t="s">
        <v>92</v>
      </c>
    </row>
    <row r="561" spans="1:28">
      <c r="A561" t="s">
        <v>1127</v>
      </c>
      <c r="B561" t="s">
        <v>1144</v>
      </c>
      <c r="C561" t="s">
        <v>1129</v>
      </c>
      <c r="D561" t="s">
        <v>1130</v>
      </c>
      <c r="E561" t="s">
        <v>96</v>
      </c>
      <c r="F561">
        <v>10</v>
      </c>
      <c r="G561" t="s">
        <v>185</v>
      </c>
      <c r="H561" t="s">
        <v>84</v>
      </c>
      <c r="I561" t="s">
        <v>186</v>
      </c>
      <c r="J561" t="s">
        <v>1131</v>
      </c>
      <c r="K561" t="s">
        <v>149</v>
      </c>
      <c r="L561" t="s">
        <v>1145</v>
      </c>
      <c r="M561" t="s">
        <v>482</v>
      </c>
      <c r="N561" s="7">
        <v>125</v>
      </c>
      <c r="O561" s="7">
        <v>7</v>
      </c>
      <c r="P561" s="7">
        <v>3</v>
      </c>
      <c r="Q561" s="7">
        <v>140</v>
      </c>
      <c r="R561" s="7">
        <v>7</v>
      </c>
      <c r="S561" s="7">
        <v>3</v>
      </c>
      <c r="T561" s="7">
        <f t="shared" si="48"/>
        <v>12.124355652982141</v>
      </c>
      <c r="U561" s="7">
        <f t="shared" si="49"/>
        <v>12.124355652982141</v>
      </c>
      <c r="V561" s="7">
        <f t="shared" si="44"/>
        <v>0.11332868530700327</v>
      </c>
      <c r="W561" s="7">
        <f t="shared" si="45"/>
        <v>5.6360000000000004E-3</v>
      </c>
      <c r="X561" t="s">
        <v>1132</v>
      </c>
      <c r="Y561" t="s">
        <v>89</v>
      </c>
      <c r="Z561" t="s">
        <v>515</v>
      </c>
      <c r="AA561" t="s">
        <v>1146</v>
      </c>
      <c r="AB561" t="s">
        <v>92</v>
      </c>
    </row>
    <row r="562" spans="1:28">
      <c r="A562" t="s">
        <v>1127</v>
      </c>
      <c r="B562" t="s">
        <v>1147</v>
      </c>
      <c r="C562" t="s">
        <v>1129</v>
      </c>
      <c r="D562" t="s">
        <v>1130</v>
      </c>
      <c r="E562" t="s">
        <v>96</v>
      </c>
      <c r="F562">
        <v>10</v>
      </c>
      <c r="G562" t="s">
        <v>185</v>
      </c>
      <c r="H562" t="s">
        <v>84</v>
      </c>
      <c r="I562" t="s">
        <v>186</v>
      </c>
      <c r="J562" t="s">
        <v>1131</v>
      </c>
      <c r="K562" t="s">
        <v>149</v>
      </c>
      <c r="L562" t="s">
        <v>481</v>
      </c>
      <c r="M562" t="s">
        <v>482</v>
      </c>
      <c r="N562" s="7">
        <v>43</v>
      </c>
      <c r="O562" s="7">
        <v>4</v>
      </c>
      <c r="P562" s="7">
        <v>3</v>
      </c>
      <c r="Q562" s="7">
        <v>38</v>
      </c>
      <c r="R562" s="7">
        <v>3</v>
      </c>
      <c r="S562" s="7">
        <v>3</v>
      </c>
      <c r="T562" s="7">
        <f t="shared" si="48"/>
        <v>6.9282032302755088</v>
      </c>
      <c r="U562" s="7">
        <f t="shared" si="49"/>
        <v>5.196152422706632</v>
      </c>
      <c r="V562" s="7">
        <f t="shared" si="44"/>
        <v>-0.12361395596717664</v>
      </c>
      <c r="W562" s="7">
        <f t="shared" si="45"/>
        <v>1.4886013102837648E-2</v>
      </c>
      <c r="X562" t="s">
        <v>1132</v>
      </c>
      <c r="Y562" t="s">
        <v>89</v>
      </c>
      <c r="Z562" t="s">
        <v>515</v>
      </c>
      <c r="AA562" t="s">
        <v>1148</v>
      </c>
      <c r="AB562" t="s">
        <v>92</v>
      </c>
    </row>
    <row r="563" spans="1:28">
      <c r="A563" t="s">
        <v>1127</v>
      </c>
      <c r="B563" t="s">
        <v>1149</v>
      </c>
      <c r="C563" t="s">
        <v>1129</v>
      </c>
      <c r="D563" t="s">
        <v>1130</v>
      </c>
      <c r="E563" t="s">
        <v>96</v>
      </c>
      <c r="F563">
        <v>10</v>
      </c>
      <c r="G563" t="s">
        <v>185</v>
      </c>
      <c r="H563" t="s">
        <v>84</v>
      </c>
      <c r="I563" t="s">
        <v>186</v>
      </c>
      <c r="J563" t="s">
        <v>1131</v>
      </c>
      <c r="K563" t="s">
        <v>149</v>
      </c>
      <c r="L563" t="s">
        <v>489</v>
      </c>
      <c r="M563" t="s">
        <v>482</v>
      </c>
      <c r="N563" s="7">
        <v>92</v>
      </c>
      <c r="O563" s="7">
        <v>7</v>
      </c>
      <c r="P563" s="7">
        <v>3</v>
      </c>
      <c r="Q563" s="7">
        <v>122</v>
      </c>
      <c r="R563" s="7">
        <v>8</v>
      </c>
      <c r="S563" s="7">
        <v>3</v>
      </c>
      <c r="T563" s="7">
        <f t="shared" si="48"/>
        <v>12.124355652982141</v>
      </c>
      <c r="U563" s="7">
        <f t="shared" si="49"/>
        <v>13.856406460551018</v>
      </c>
      <c r="V563" s="7">
        <f t="shared" si="44"/>
        <v>0.28223246768421617</v>
      </c>
      <c r="W563" s="7">
        <f t="shared" si="45"/>
        <v>1.008914432925271E-2</v>
      </c>
      <c r="X563" t="s">
        <v>1132</v>
      </c>
      <c r="Y563" t="s">
        <v>89</v>
      </c>
      <c r="Z563" t="s">
        <v>515</v>
      </c>
      <c r="AA563" t="s">
        <v>1150</v>
      </c>
      <c r="AB563" t="s">
        <v>92</v>
      </c>
    </row>
    <row r="564" spans="1:28">
      <c r="A564" t="s">
        <v>1127</v>
      </c>
      <c r="B564" t="s">
        <v>1151</v>
      </c>
      <c r="C564" t="s">
        <v>1129</v>
      </c>
      <c r="D564" t="s">
        <v>1130</v>
      </c>
      <c r="E564" t="s">
        <v>96</v>
      </c>
      <c r="F564">
        <v>10</v>
      </c>
      <c r="G564" t="s">
        <v>185</v>
      </c>
      <c r="H564" t="s">
        <v>84</v>
      </c>
      <c r="I564" t="s">
        <v>186</v>
      </c>
      <c r="J564" t="s">
        <v>1131</v>
      </c>
      <c r="K564" t="s">
        <v>149</v>
      </c>
      <c r="L564" t="s">
        <v>496</v>
      </c>
      <c r="M564" t="s">
        <v>482</v>
      </c>
      <c r="N564" s="7">
        <v>23</v>
      </c>
      <c r="O564" s="7">
        <v>2</v>
      </c>
      <c r="P564" s="7">
        <v>3</v>
      </c>
      <c r="Q564" s="7">
        <v>45</v>
      </c>
      <c r="R564" s="7">
        <v>4</v>
      </c>
      <c r="S564" s="7">
        <v>3</v>
      </c>
      <c r="T564" s="7">
        <f t="shared" si="48"/>
        <v>3.4641016151377544</v>
      </c>
      <c r="U564" s="7">
        <f t="shared" si="49"/>
        <v>6.9282032302755088</v>
      </c>
      <c r="V564" s="7">
        <f t="shared" si="44"/>
        <v>0.67116827384117006</v>
      </c>
      <c r="W564" s="7">
        <f t="shared" si="45"/>
        <v>1.5462671240869096E-2</v>
      </c>
      <c r="X564" t="s">
        <v>1132</v>
      </c>
      <c r="Y564" t="s">
        <v>89</v>
      </c>
      <c r="Z564" t="s">
        <v>515</v>
      </c>
      <c r="AA564" t="s">
        <v>1152</v>
      </c>
      <c r="AB564" t="s">
        <v>92</v>
      </c>
    </row>
    <row r="565" spans="1:28">
      <c r="A565" t="s">
        <v>1127</v>
      </c>
      <c r="B565" t="s">
        <v>1153</v>
      </c>
      <c r="C565" t="s">
        <v>1129</v>
      </c>
      <c r="D565" t="s">
        <v>1130</v>
      </c>
      <c r="E565" t="s">
        <v>96</v>
      </c>
      <c r="F565">
        <v>10</v>
      </c>
      <c r="G565" t="s">
        <v>185</v>
      </c>
      <c r="H565" t="s">
        <v>84</v>
      </c>
      <c r="I565" t="s">
        <v>186</v>
      </c>
      <c r="J565" t="s">
        <v>1131</v>
      </c>
      <c r="K565" t="s">
        <v>149</v>
      </c>
      <c r="L565" t="s">
        <v>503</v>
      </c>
      <c r="M565" t="s">
        <v>482</v>
      </c>
      <c r="N565" s="7">
        <v>62</v>
      </c>
      <c r="O565" s="7">
        <v>5</v>
      </c>
      <c r="P565" s="7">
        <v>3</v>
      </c>
      <c r="Q565" s="7">
        <v>32</v>
      </c>
      <c r="R565" s="7">
        <v>4</v>
      </c>
      <c r="S565" s="7">
        <v>3</v>
      </c>
      <c r="T565" s="7">
        <f t="shared" si="48"/>
        <v>8.6602540378443855</v>
      </c>
      <c r="U565" s="7">
        <f t="shared" si="49"/>
        <v>6.9282032302755088</v>
      </c>
      <c r="V565" s="7">
        <f t="shared" si="44"/>
        <v>-0.66139848224536502</v>
      </c>
      <c r="W565" s="7">
        <f t="shared" si="45"/>
        <v>2.2128642039542141E-2</v>
      </c>
      <c r="X565" t="s">
        <v>1132</v>
      </c>
      <c r="Y565" t="s">
        <v>89</v>
      </c>
      <c r="Z565" t="s">
        <v>515</v>
      </c>
      <c r="AA565" t="s">
        <v>1154</v>
      </c>
      <c r="AB565" t="s">
        <v>92</v>
      </c>
    </row>
    <row r="566" spans="1:28">
      <c r="A566" t="s">
        <v>1127</v>
      </c>
      <c r="B566" t="s">
        <v>1155</v>
      </c>
      <c r="C566" t="s">
        <v>1129</v>
      </c>
      <c r="D566" t="s">
        <v>1156</v>
      </c>
      <c r="E566" t="s">
        <v>96</v>
      </c>
      <c r="F566">
        <v>10</v>
      </c>
      <c r="G566" t="s">
        <v>185</v>
      </c>
      <c r="H566" t="s">
        <v>84</v>
      </c>
      <c r="I566" t="s">
        <v>186</v>
      </c>
      <c r="J566" t="s">
        <v>1131</v>
      </c>
      <c r="K566" t="s">
        <v>149</v>
      </c>
      <c r="L566" t="s">
        <v>42</v>
      </c>
      <c r="M566" t="s">
        <v>482</v>
      </c>
      <c r="N566" s="7">
        <v>15000</v>
      </c>
      <c r="O566" s="7">
        <v>1200</v>
      </c>
      <c r="P566" s="7">
        <v>3</v>
      </c>
      <c r="Q566" s="7">
        <v>19000</v>
      </c>
      <c r="R566" s="7">
        <v>900</v>
      </c>
      <c r="S566" s="7">
        <v>3</v>
      </c>
      <c r="T566" s="7">
        <f t="shared" si="48"/>
        <v>2078.4609690826528</v>
      </c>
      <c r="U566" s="7">
        <f t="shared" si="49"/>
        <v>1558.8457268119894</v>
      </c>
      <c r="V566" s="7">
        <f t="shared" si="44"/>
        <v>0.23638877806423034</v>
      </c>
      <c r="W566" s="7">
        <f t="shared" si="45"/>
        <v>8.64376731301939E-3</v>
      </c>
      <c r="X566" t="s">
        <v>1132</v>
      </c>
      <c r="Y566" t="s">
        <v>89</v>
      </c>
      <c r="Z566" t="s">
        <v>515</v>
      </c>
      <c r="AA566" t="s">
        <v>1157</v>
      </c>
      <c r="AB566" t="s">
        <v>92</v>
      </c>
    </row>
    <row r="567" spans="1:28">
      <c r="A567" t="s">
        <v>1127</v>
      </c>
      <c r="B567" t="s">
        <v>1158</v>
      </c>
      <c r="C567" t="s">
        <v>1129</v>
      </c>
      <c r="D567" t="s">
        <v>1156</v>
      </c>
      <c r="E567" t="s">
        <v>96</v>
      </c>
      <c r="F567">
        <v>10</v>
      </c>
      <c r="G567" t="s">
        <v>185</v>
      </c>
      <c r="H567" t="s">
        <v>84</v>
      </c>
      <c r="I567" t="s">
        <v>186</v>
      </c>
      <c r="J567" t="s">
        <v>1131</v>
      </c>
      <c r="K567" t="s">
        <v>149</v>
      </c>
      <c r="L567" t="s">
        <v>53</v>
      </c>
      <c r="M567" t="s">
        <v>482</v>
      </c>
      <c r="N567" s="7">
        <v>2700</v>
      </c>
      <c r="O567" s="7">
        <v>220</v>
      </c>
      <c r="P567" s="7">
        <v>3</v>
      </c>
      <c r="Q567" s="7">
        <v>2800</v>
      </c>
      <c r="R567" s="7">
        <v>220</v>
      </c>
      <c r="S567" s="7">
        <v>3</v>
      </c>
      <c r="T567" s="7">
        <f t="shared" si="48"/>
        <v>381.05117766515298</v>
      </c>
      <c r="U567" s="7">
        <f t="shared" si="49"/>
        <v>381.05117766515298</v>
      </c>
      <c r="V567" s="7">
        <f t="shared" si="44"/>
        <v>3.6367644170874791E-2</v>
      </c>
      <c r="W567" s="7">
        <f t="shared" si="45"/>
        <v>1.2812701212172109E-2</v>
      </c>
      <c r="X567" t="s">
        <v>1132</v>
      </c>
      <c r="Y567" t="s">
        <v>89</v>
      </c>
      <c r="Z567" t="s">
        <v>515</v>
      </c>
      <c r="AA567" t="s">
        <v>1159</v>
      </c>
      <c r="AB567" t="s">
        <v>92</v>
      </c>
    </row>
    <row r="568" spans="1:28">
      <c r="A568" t="s">
        <v>1127</v>
      </c>
      <c r="B568" t="s">
        <v>1160</v>
      </c>
      <c r="C568" t="s">
        <v>1129</v>
      </c>
      <c r="D568" t="s">
        <v>1156</v>
      </c>
      <c r="E568" t="s">
        <v>96</v>
      </c>
      <c r="F568">
        <v>10</v>
      </c>
      <c r="G568" t="s">
        <v>185</v>
      </c>
      <c r="H568" t="s">
        <v>84</v>
      </c>
      <c r="I568" t="s">
        <v>186</v>
      </c>
      <c r="J568" t="s">
        <v>1131</v>
      </c>
      <c r="K568" t="s">
        <v>149</v>
      </c>
      <c r="L568" t="s">
        <v>40</v>
      </c>
      <c r="M568" t="s">
        <v>482</v>
      </c>
      <c r="N568" s="7">
        <v>27000</v>
      </c>
      <c r="O568" s="7">
        <v>1700</v>
      </c>
      <c r="P568" s="7">
        <v>3</v>
      </c>
      <c r="Q568" s="7">
        <v>39000</v>
      </c>
      <c r="R568" s="7">
        <v>2200</v>
      </c>
      <c r="S568" s="7">
        <v>3</v>
      </c>
      <c r="T568" s="7">
        <f t="shared" si="48"/>
        <v>2944.4863728670912</v>
      </c>
      <c r="U568" s="7">
        <f t="shared" si="49"/>
        <v>3810.51177665153</v>
      </c>
      <c r="V568" s="7">
        <f t="shared" si="44"/>
        <v>0.36772478012531734</v>
      </c>
      <c r="W568" s="7">
        <f t="shared" si="45"/>
        <v>7.1464517333463193E-3</v>
      </c>
      <c r="X568" t="s">
        <v>1132</v>
      </c>
      <c r="Y568" t="s">
        <v>89</v>
      </c>
      <c r="Z568" t="s">
        <v>515</v>
      </c>
      <c r="AA568" t="s">
        <v>1161</v>
      </c>
      <c r="AB568" t="s">
        <v>92</v>
      </c>
    </row>
    <row r="569" spans="1:28">
      <c r="A569" t="s">
        <v>1127</v>
      </c>
      <c r="B569" t="s">
        <v>1162</v>
      </c>
      <c r="C569" t="s">
        <v>1129</v>
      </c>
      <c r="D569" t="s">
        <v>1156</v>
      </c>
      <c r="E569" t="s">
        <v>96</v>
      </c>
      <c r="F569">
        <v>10</v>
      </c>
      <c r="G569" t="s">
        <v>185</v>
      </c>
      <c r="H569" t="s">
        <v>84</v>
      </c>
      <c r="I569" t="s">
        <v>186</v>
      </c>
      <c r="J569" t="s">
        <v>1131</v>
      </c>
      <c r="K569" t="s">
        <v>149</v>
      </c>
      <c r="L569" t="s">
        <v>30</v>
      </c>
      <c r="M569" t="s">
        <v>482</v>
      </c>
      <c r="N569" s="7">
        <v>20000</v>
      </c>
      <c r="O569" s="7">
        <v>900</v>
      </c>
      <c r="P569" s="7">
        <v>3</v>
      </c>
      <c r="Q569" s="7">
        <v>23500</v>
      </c>
      <c r="R569" s="7">
        <v>1100</v>
      </c>
      <c r="S569" s="7">
        <v>3</v>
      </c>
      <c r="T569" s="7">
        <f t="shared" si="48"/>
        <v>1558.8457268119894</v>
      </c>
      <c r="U569" s="7">
        <f t="shared" si="49"/>
        <v>1905.255888325765</v>
      </c>
      <c r="V569" s="7">
        <f t="shared" si="44"/>
        <v>0.16126814759612232</v>
      </c>
      <c r="W569" s="7">
        <f t="shared" si="45"/>
        <v>4.2160366681756444E-3</v>
      </c>
      <c r="X569" t="s">
        <v>1132</v>
      </c>
      <c r="Y569" t="s">
        <v>89</v>
      </c>
      <c r="Z569" t="s">
        <v>515</v>
      </c>
      <c r="AA569" t="s">
        <v>1163</v>
      </c>
      <c r="AB569" t="s">
        <v>92</v>
      </c>
    </row>
    <row r="570" spans="1:28">
      <c r="A570" t="s">
        <v>1127</v>
      </c>
      <c r="B570" t="s">
        <v>1164</v>
      </c>
      <c r="C570" t="s">
        <v>1129</v>
      </c>
      <c r="D570" t="s">
        <v>1156</v>
      </c>
      <c r="E570" t="s">
        <v>96</v>
      </c>
      <c r="F570">
        <v>10</v>
      </c>
      <c r="G570" t="s">
        <v>185</v>
      </c>
      <c r="H570" t="s">
        <v>84</v>
      </c>
      <c r="I570" t="s">
        <v>186</v>
      </c>
      <c r="J570" t="s">
        <v>1131</v>
      </c>
      <c r="K570" t="s">
        <v>149</v>
      </c>
      <c r="L570" t="s">
        <v>337</v>
      </c>
      <c r="M570" t="s">
        <v>482</v>
      </c>
      <c r="N570" s="7">
        <v>9500</v>
      </c>
      <c r="O570" s="7">
        <v>800</v>
      </c>
      <c r="P570" s="7">
        <v>3</v>
      </c>
      <c r="Q570" s="7">
        <v>10800</v>
      </c>
      <c r="R570" s="7">
        <v>900</v>
      </c>
      <c r="S570" s="7">
        <v>3</v>
      </c>
      <c r="T570" s="7">
        <f t="shared" si="48"/>
        <v>1385.6406460551018</v>
      </c>
      <c r="U570" s="7">
        <f t="shared" si="49"/>
        <v>1558.8457268119894</v>
      </c>
      <c r="V570" s="7">
        <f t="shared" si="44"/>
        <v>0.12825433552367885</v>
      </c>
      <c r="W570" s="7">
        <f t="shared" si="45"/>
        <v>1.4035857186826714E-2</v>
      </c>
      <c r="X570" t="s">
        <v>1132</v>
      </c>
      <c r="Y570" t="s">
        <v>89</v>
      </c>
      <c r="Z570" t="s">
        <v>515</v>
      </c>
      <c r="AA570" t="s">
        <v>1165</v>
      </c>
      <c r="AB570" t="s">
        <v>92</v>
      </c>
    </row>
    <row r="571" spans="1:28">
      <c r="A571" t="s">
        <v>1127</v>
      </c>
      <c r="B571" t="s">
        <v>1166</v>
      </c>
      <c r="C571" t="s">
        <v>1129</v>
      </c>
      <c r="D571" t="s">
        <v>1156</v>
      </c>
      <c r="E571" t="s">
        <v>96</v>
      </c>
      <c r="F571">
        <v>10</v>
      </c>
      <c r="G571" t="s">
        <v>185</v>
      </c>
      <c r="H571" t="s">
        <v>84</v>
      </c>
      <c r="I571" t="s">
        <v>186</v>
      </c>
      <c r="J571" t="s">
        <v>1131</v>
      </c>
      <c r="K571" t="s">
        <v>149</v>
      </c>
      <c r="L571" t="s">
        <v>34</v>
      </c>
      <c r="M571" t="s">
        <v>482</v>
      </c>
      <c r="N571" s="7">
        <v>4500</v>
      </c>
      <c r="O571" s="7">
        <v>350</v>
      </c>
      <c r="P571" s="7">
        <v>3</v>
      </c>
      <c r="Q571" s="7">
        <v>4700</v>
      </c>
      <c r="R571" s="7">
        <v>350</v>
      </c>
      <c r="S571" s="7">
        <v>3</v>
      </c>
      <c r="T571" s="7">
        <f t="shared" si="48"/>
        <v>606.21778264910699</v>
      </c>
      <c r="U571" s="7">
        <f t="shared" si="49"/>
        <v>606.21778264910699</v>
      </c>
      <c r="V571" s="7">
        <f t="shared" si="44"/>
        <v>4.3485111939738891E-2</v>
      </c>
      <c r="W571" s="7">
        <f t="shared" si="45"/>
        <v>1.159487841546088E-2</v>
      </c>
      <c r="X571" t="s">
        <v>1132</v>
      </c>
      <c r="Y571" t="s">
        <v>89</v>
      </c>
      <c r="Z571" t="s">
        <v>515</v>
      </c>
      <c r="AA571" t="s">
        <v>1167</v>
      </c>
      <c r="AB571" t="s">
        <v>92</v>
      </c>
    </row>
    <row r="572" spans="1:28">
      <c r="A572" t="s">
        <v>1127</v>
      </c>
      <c r="B572" t="s">
        <v>1168</v>
      </c>
      <c r="C572" t="s">
        <v>1129</v>
      </c>
      <c r="D572" t="s">
        <v>1156</v>
      </c>
      <c r="E572" t="s">
        <v>96</v>
      </c>
      <c r="F572">
        <v>10</v>
      </c>
      <c r="G572" t="s">
        <v>185</v>
      </c>
      <c r="H572" t="s">
        <v>84</v>
      </c>
      <c r="I572" t="s">
        <v>186</v>
      </c>
      <c r="J572" t="s">
        <v>1131</v>
      </c>
      <c r="K572" t="s">
        <v>149</v>
      </c>
      <c r="L572" t="s">
        <v>1145</v>
      </c>
      <c r="M572" t="s">
        <v>482</v>
      </c>
      <c r="N572" s="7">
        <v>115</v>
      </c>
      <c r="O572" s="7">
        <v>7</v>
      </c>
      <c r="P572" s="7">
        <v>3</v>
      </c>
      <c r="Q572" s="7">
        <v>140</v>
      </c>
      <c r="R572" s="7">
        <v>7</v>
      </c>
      <c r="S572" s="7">
        <v>3</v>
      </c>
      <c r="T572" s="7">
        <f t="shared" si="48"/>
        <v>12.124355652982141</v>
      </c>
      <c r="U572" s="7">
        <f t="shared" si="49"/>
        <v>12.124355652982141</v>
      </c>
      <c r="V572" s="7">
        <f t="shared" si="44"/>
        <v>0.1967102942460543</v>
      </c>
      <c r="W572" s="7">
        <f t="shared" si="45"/>
        <v>6.2051039697542535E-3</v>
      </c>
      <c r="X572" t="s">
        <v>1132</v>
      </c>
      <c r="Y572" t="s">
        <v>89</v>
      </c>
      <c r="Z572" t="s">
        <v>515</v>
      </c>
      <c r="AA572" t="s">
        <v>1169</v>
      </c>
      <c r="AB572" t="s">
        <v>92</v>
      </c>
    </row>
    <row r="573" spans="1:28">
      <c r="A573" t="s">
        <v>1127</v>
      </c>
      <c r="B573" t="s">
        <v>1170</v>
      </c>
      <c r="C573" t="s">
        <v>1129</v>
      </c>
      <c r="D573" t="s">
        <v>1156</v>
      </c>
      <c r="E573" t="s">
        <v>96</v>
      </c>
      <c r="F573">
        <v>10</v>
      </c>
      <c r="G573" t="s">
        <v>185</v>
      </c>
      <c r="H573" t="s">
        <v>84</v>
      </c>
      <c r="I573" t="s">
        <v>186</v>
      </c>
      <c r="J573" t="s">
        <v>1131</v>
      </c>
      <c r="K573" t="s">
        <v>149</v>
      </c>
      <c r="L573" t="s">
        <v>481</v>
      </c>
      <c r="M573" t="s">
        <v>482</v>
      </c>
      <c r="N573" s="7">
        <v>55</v>
      </c>
      <c r="O573" s="7">
        <v>4</v>
      </c>
      <c r="P573" s="7">
        <v>3</v>
      </c>
      <c r="Q573" s="7">
        <v>78</v>
      </c>
      <c r="R573" s="7">
        <v>5</v>
      </c>
      <c r="S573" s="7">
        <v>3</v>
      </c>
      <c r="T573" s="7">
        <f t="shared" si="48"/>
        <v>6.9282032302755088</v>
      </c>
      <c r="U573" s="7">
        <f t="shared" si="49"/>
        <v>8.6602540378443855</v>
      </c>
      <c r="V573" s="7">
        <f t="shared" si="44"/>
        <v>0.34937564145712086</v>
      </c>
      <c r="W573" s="7">
        <f t="shared" si="45"/>
        <v>9.3983949228704459E-3</v>
      </c>
      <c r="X573" t="s">
        <v>1132</v>
      </c>
      <c r="Y573" t="s">
        <v>89</v>
      </c>
      <c r="Z573" t="s">
        <v>515</v>
      </c>
      <c r="AA573" t="s">
        <v>1171</v>
      </c>
      <c r="AB573" t="s">
        <v>92</v>
      </c>
    </row>
    <row r="574" spans="1:28">
      <c r="A574" t="s">
        <v>1127</v>
      </c>
      <c r="B574" t="s">
        <v>1172</v>
      </c>
      <c r="C574" t="s">
        <v>1129</v>
      </c>
      <c r="D574" t="s">
        <v>1156</v>
      </c>
      <c r="E574" t="s">
        <v>96</v>
      </c>
      <c r="F574">
        <v>10</v>
      </c>
      <c r="G574" t="s">
        <v>185</v>
      </c>
      <c r="H574" t="s">
        <v>84</v>
      </c>
      <c r="I574" t="s">
        <v>186</v>
      </c>
      <c r="J574" t="s">
        <v>1131</v>
      </c>
      <c r="K574" t="s">
        <v>149</v>
      </c>
      <c r="L574" t="s">
        <v>489</v>
      </c>
      <c r="M574" t="s">
        <v>482</v>
      </c>
      <c r="N574" s="7">
        <v>28</v>
      </c>
      <c r="O574" s="7">
        <v>3</v>
      </c>
      <c r="P574" s="7">
        <v>3</v>
      </c>
      <c r="Q574" s="7">
        <v>73</v>
      </c>
      <c r="R574" s="7">
        <v>6</v>
      </c>
      <c r="S574" s="7">
        <v>3</v>
      </c>
      <c r="T574" s="7">
        <f t="shared" si="48"/>
        <v>5.196152422706632</v>
      </c>
      <c r="U574" s="7">
        <f t="shared" si="49"/>
        <v>10.392304845413264</v>
      </c>
      <c r="V574" s="7">
        <f t="shared" si="44"/>
        <v>0.95825493097318726</v>
      </c>
      <c r="W574" s="7">
        <f t="shared" si="45"/>
        <v>1.823508067141287E-2</v>
      </c>
      <c r="X574" t="s">
        <v>1132</v>
      </c>
      <c r="Y574" t="s">
        <v>89</v>
      </c>
      <c r="Z574" t="s">
        <v>515</v>
      </c>
      <c r="AA574" t="s">
        <v>1173</v>
      </c>
      <c r="AB574" t="s">
        <v>92</v>
      </c>
    </row>
    <row r="575" spans="1:28">
      <c r="A575" t="s">
        <v>1127</v>
      </c>
      <c r="B575" t="s">
        <v>1174</v>
      </c>
      <c r="C575" t="s">
        <v>1129</v>
      </c>
      <c r="D575" t="s">
        <v>1156</v>
      </c>
      <c r="E575" t="s">
        <v>96</v>
      </c>
      <c r="F575">
        <v>10</v>
      </c>
      <c r="G575" t="s">
        <v>185</v>
      </c>
      <c r="H575" t="s">
        <v>84</v>
      </c>
      <c r="I575" t="s">
        <v>186</v>
      </c>
      <c r="J575" t="s">
        <v>1131</v>
      </c>
      <c r="K575" t="s">
        <v>149</v>
      </c>
      <c r="L575" t="s">
        <v>496</v>
      </c>
      <c r="M575" t="s">
        <v>482</v>
      </c>
      <c r="N575" s="7">
        <v>30</v>
      </c>
      <c r="O575" s="7">
        <v>3</v>
      </c>
      <c r="P575" s="7">
        <v>3</v>
      </c>
      <c r="Q575" s="7">
        <v>65</v>
      </c>
      <c r="R575" s="7">
        <v>4</v>
      </c>
      <c r="S575" s="7">
        <v>3</v>
      </c>
      <c r="T575" s="7">
        <f t="shared" si="48"/>
        <v>5.196152422706632</v>
      </c>
      <c r="U575" s="7">
        <f t="shared" si="49"/>
        <v>6.9282032302755088</v>
      </c>
      <c r="V575" s="7">
        <f t="shared" si="44"/>
        <v>0.77318988823348167</v>
      </c>
      <c r="W575" s="7">
        <f t="shared" si="45"/>
        <v>1.3786982248520711E-2</v>
      </c>
      <c r="X575" t="s">
        <v>1132</v>
      </c>
      <c r="Y575" t="s">
        <v>89</v>
      </c>
      <c r="Z575" t="s">
        <v>515</v>
      </c>
      <c r="AA575" t="s">
        <v>1175</v>
      </c>
      <c r="AB575" t="s">
        <v>92</v>
      </c>
    </row>
    <row r="576" spans="1:28">
      <c r="A576" t="s">
        <v>1127</v>
      </c>
      <c r="B576" t="s">
        <v>1176</v>
      </c>
      <c r="C576" t="s">
        <v>1129</v>
      </c>
      <c r="D576" t="s">
        <v>1156</v>
      </c>
      <c r="E576" t="s">
        <v>96</v>
      </c>
      <c r="F576">
        <v>10</v>
      </c>
      <c r="G576" t="s">
        <v>185</v>
      </c>
      <c r="H576" t="s">
        <v>84</v>
      </c>
      <c r="I576" t="s">
        <v>186</v>
      </c>
      <c r="J576" t="s">
        <v>1131</v>
      </c>
      <c r="K576" t="s">
        <v>149</v>
      </c>
      <c r="L576" t="s">
        <v>503</v>
      </c>
      <c r="M576" t="s">
        <v>482</v>
      </c>
      <c r="N576" s="7">
        <v>37</v>
      </c>
      <c r="O576" s="7">
        <v>4</v>
      </c>
      <c r="P576" s="7">
        <v>3</v>
      </c>
      <c r="Q576" s="7">
        <v>80</v>
      </c>
      <c r="R576" s="7">
        <v>6</v>
      </c>
      <c r="S576" s="7">
        <v>3</v>
      </c>
      <c r="T576" s="7">
        <f t="shared" si="48"/>
        <v>6.9282032302755088</v>
      </c>
      <c r="U576" s="7">
        <f t="shared" si="49"/>
        <v>10.392304845413264</v>
      </c>
      <c r="V576" s="7">
        <f t="shared" si="44"/>
        <v>0.77110872202965719</v>
      </c>
      <c r="W576" s="7">
        <f t="shared" si="45"/>
        <v>1.731236303871439E-2</v>
      </c>
      <c r="X576" t="s">
        <v>1132</v>
      </c>
      <c r="Y576" t="s">
        <v>89</v>
      </c>
      <c r="Z576" t="s">
        <v>515</v>
      </c>
      <c r="AA576" t="s">
        <v>1177</v>
      </c>
      <c r="AB576" t="s">
        <v>92</v>
      </c>
    </row>
    <row r="577" spans="1:28" ht="40.5">
      <c r="A577" s="2" t="s">
        <v>1178</v>
      </c>
      <c r="B577" s="2" t="s">
        <v>1179</v>
      </c>
      <c r="C577" s="2" t="s">
        <v>1180</v>
      </c>
      <c r="D577" s="2" t="s">
        <v>1181</v>
      </c>
      <c r="E577" s="2" t="s">
        <v>96</v>
      </c>
      <c r="F577" s="2">
        <v>10</v>
      </c>
      <c r="G577" s="2" t="s">
        <v>185</v>
      </c>
      <c r="H577" s="2" t="s">
        <v>376</v>
      </c>
      <c r="I577" s="2" t="s">
        <v>85</v>
      </c>
      <c r="J577" s="2" t="s">
        <v>880</v>
      </c>
      <c r="K577" s="2" t="s">
        <v>41</v>
      </c>
      <c r="L577" s="2" t="s">
        <v>40</v>
      </c>
      <c r="M577" s="2" t="s">
        <v>1182</v>
      </c>
      <c r="N577" s="55">
        <v>20</v>
      </c>
      <c r="O577" s="55"/>
      <c r="P577" s="55">
        <v>5</v>
      </c>
      <c r="Q577" s="55">
        <v>17.5</v>
      </c>
      <c r="R577" s="55"/>
      <c r="S577" s="55">
        <v>5</v>
      </c>
      <c r="T577" s="55">
        <v>1</v>
      </c>
      <c r="U577" s="55">
        <v>0.8</v>
      </c>
      <c r="V577" s="55">
        <f t="shared" si="44"/>
        <v>-0.13353139262452263</v>
      </c>
      <c r="W577" s="55">
        <f t="shared" ref="W577:W589" si="50">(T577^2/(P577*N577^2))+(U577^2/(S577*Q577^2))</f>
        <v>9.1795918367346954E-4</v>
      </c>
      <c r="X577" s="2" t="s">
        <v>1183</v>
      </c>
      <c r="Y577" s="2" t="s">
        <v>89</v>
      </c>
      <c r="Z577" s="2" t="s">
        <v>1184</v>
      </c>
      <c r="AA577" s="2" t="s">
        <v>1185</v>
      </c>
      <c r="AB577" s="2" t="s">
        <v>92</v>
      </c>
    </row>
    <row r="578" spans="1:28" ht="40.5">
      <c r="A578" s="2" t="s">
        <v>1178</v>
      </c>
      <c r="B578" s="2" t="s">
        <v>1186</v>
      </c>
      <c r="C578" s="2" t="s">
        <v>1180</v>
      </c>
      <c r="D578" s="2" t="s">
        <v>1181</v>
      </c>
      <c r="E578" s="2" t="s">
        <v>96</v>
      </c>
      <c r="F578" s="2">
        <v>10</v>
      </c>
      <c r="G578" s="2" t="s">
        <v>185</v>
      </c>
      <c r="H578" s="2" t="s">
        <v>376</v>
      </c>
      <c r="I578" s="2" t="s">
        <v>85</v>
      </c>
      <c r="J578" s="2" t="s">
        <v>880</v>
      </c>
      <c r="K578" s="2" t="s">
        <v>29</v>
      </c>
      <c r="L578" s="2" t="s">
        <v>40</v>
      </c>
      <c r="M578" s="2" t="s">
        <v>1182</v>
      </c>
      <c r="N578" s="55">
        <v>20</v>
      </c>
      <c r="O578" s="55"/>
      <c r="P578" s="55">
        <v>5</v>
      </c>
      <c r="Q578" s="55">
        <v>11</v>
      </c>
      <c r="R578" s="55"/>
      <c r="S578" s="55">
        <v>5</v>
      </c>
      <c r="T578" s="55">
        <v>0.9</v>
      </c>
      <c r="U578" s="55">
        <v>0.7</v>
      </c>
      <c r="V578" s="55">
        <f t="shared" ref="V578:V589" si="51">LN(Q578/N578)</f>
        <v>-0.59783700075562041</v>
      </c>
      <c r="W578" s="55">
        <f t="shared" si="50"/>
        <v>1.2149173553719008E-3</v>
      </c>
      <c r="X578" s="2" t="s">
        <v>1183</v>
      </c>
      <c r="Y578" s="2" t="s">
        <v>89</v>
      </c>
      <c r="Z578" s="2" t="s">
        <v>1184</v>
      </c>
      <c r="AA578" s="2" t="s">
        <v>1185</v>
      </c>
      <c r="AB578" s="2" t="s">
        <v>92</v>
      </c>
    </row>
    <row r="579" spans="1:28" ht="40.5">
      <c r="A579" s="2" t="s">
        <v>1178</v>
      </c>
      <c r="B579" s="2" t="s">
        <v>1187</v>
      </c>
      <c r="C579" s="2" t="s">
        <v>1180</v>
      </c>
      <c r="D579" s="2" t="s">
        <v>1188</v>
      </c>
      <c r="E579" s="2" t="s">
        <v>96</v>
      </c>
      <c r="F579" s="2">
        <v>10</v>
      </c>
      <c r="G579" s="2" t="s">
        <v>185</v>
      </c>
      <c r="H579" s="2" t="s">
        <v>376</v>
      </c>
      <c r="I579" s="2" t="s">
        <v>85</v>
      </c>
      <c r="J579" s="2" t="s">
        <v>880</v>
      </c>
      <c r="K579" s="2" t="s">
        <v>41</v>
      </c>
      <c r="L579" s="2" t="s">
        <v>40</v>
      </c>
      <c r="M579" s="2" t="s">
        <v>1182</v>
      </c>
      <c r="N579" s="55">
        <v>14.5</v>
      </c>
      <c r="O579" s="55"/>
      <c r="P579" s="55">
        <v>5</v>
      </c>
      <c r="Q579" s="55">
        <v>21</v>
      </c>
      <c r="R579" s="55"/>
      <c r="S579" s="55">
        <v>5</v>
      </c>
      <c r="T579" s="55">
        <v>0.8</v>
      </c>
      <c r="U579" s="55">
        <v>0.9</v>
      </c>
      <c r="V579" s="55">
        <f t="shared" si="51"/>
        <v>0.37037378829689427</v>
      </c>
      <c r="W579" s="55">
        <f t="shared" si="50"/>
        <v>9.7614598752699669E-4</v>
      </c>
      <c r="X579" s="2" t="s">
        <v>1183</v>
      </c>
      <c r="Y579" s="2" t="s">
        <v>89</v>
      </c>
      <c r="Z579" s="2" t="s">
        <v>1184</v>
      </c>
      <c r="AA579" s="2" t="s">
        <v>1189</v>
      </c>
      <c r="AB579" s="2" t="s">
        <v>92</v>
      </c>
    </row>
    <row r="580" spans="1:28" ht="40.5">
      <c r="A580" s="2" t="s">
        <v>1178</v>
      </c>
      <c r="B580" s="2" t="s">
        <v>1190</v>
      </c>
      <c r="C580" s="2" t="s">
        <v>1180</v>
      </c>
      <c r="D580" s="2" t="s">
        <v>1188</v>
      </c>
      <c r="E580" s="2" t="s">
        <v>96</v>
      </c>
      <c r="F580" s="2">
        <v>10</v>
      </c>
      <c r="G580" s="2" t="s">
        <v>185</v>
      </c>
      <c r="H580" s="2" t="s">
        <v>376</v>
      </c>
      <c r="I580" s="2" t="s">
        <v>85</v>
      </c>
      <c r="J580" s="2" t="s">
        <v>880</v>
      </c>
      <c r="K580" s="2" t="s">
        <v>29</v>
      </c>
      <c r="L580" s="2" t="s">
        <v>40</v>
      </c>
      <c r="M580" s="2" t="s">
        <v>1182</v>
      </c>
      <c r="N580" s="55">
        <v>16</v>
      </c>
      <c r="O580" s="55"/>
      <c r="P580" s="55">
        <v>5</v>
      </c>
      <c r="Q580" s="55">
        <v>14</v>
      </c>
      <c r="R580" s="55"/>
      <c r="S580" s="55">
        <v>5</v>
      </c>
      <c r="T580" s="55">
        <v>1</v>
      </c>
      <c r="U580" s="55">
        <v>0.8</v>
      </c>
      <c r="V580" s="55">
        <f t="shared" si="51"/>
        <v>-0.13353139262452263</v>
      </c>
      <c r="W580" s="55">
        <f t="shared" si="50"/>
        <v>1.4343112244897961E-3</v>
      </c>
      <c r="X580" s="2" t="s">
        <v>1183</v>
      </c>
      <c r="Y580" s="2" t="s">
        <v>89</v>
      </c>
      <c r="Z580" s="2" t="s">
        <v>1184</v>
      </c>
      <c r="AA580" s="2" t="s">
        <v>1189</v>
      </c>
      <c r="AB580" s="2" t="s">
        <v>92</v>
      </c>
    </row>
    <row r="581" spans="1:28" ht="40.5">
      <c r="A581" s="2" t="s">
        <v>1191</v>
      </c>
      <c r="B581" s="2" t="s">
        <v>1192</v>
      </c>
      <c r="C581" s="2" t="s">
        <v>1193</v>
      </c>
      <c r="D581" s="2" t="s">
        <v>1194</v>
      </c>
      <c r="E581" s="2" t="s">
        <v>96</v>
      </c>
      <c r="F581" s="2">
        <v>150</v>
      </c>
      <c r="G581" s="2" t="s">
        <v>185</v>
      </c>
      <c r="H581" s="2" t="s">
        <v>879</v>
      </c>
      <c r="I581" s="2" t="s">
        <v>85</v>
      </c>
      <c r="J581" s="2" t="s">
        <v>86</v>
      </c>
      <c r="K581" s="2" t="s">
        <v>29</v>
      </c>
      <c r="L581" s="2" t="s">
        <v>40</v>
      </c>
      <c r="M581" s="2" t="s">
        <v>188</v>
      </c>
      <c r="N581" s="55">
        <v>38</v>
      </c>
      <c r="O581" s="55"/>
      <c r="P581" s="55">
        <v>3</v>
      </c>
      <c r="Q581" s="55">
        <v>21</v>
      </c>
      <c r="R581" s="55"/>
      <c r="S581" s="55">
        <v>3</v>
      </c>
      <c r="T581" s="55">
        <v>8</v>
      </c>
      <c r="U581" s="55">
        <v>2</v>
      </c>
      <c r="V581" s="55">
        <f t="shared" si="51"/>
        <v>-0.59306372200296265</v>
      </c>
      <c r="W581" s="55">
        <f t="shared" si="50"/>
        <v>1.7797208141489898E-2</v>
      </c>
      <c r="X581" s="2" t="s">
        <v>898</v>
      </c>
      <c r="Y581" s="2" t="s">
        <v>89</v>
      </c>
      <c r="Z581" s="2" t="s">
        <v>1184</v>
      </c>
      <c r="AA581" s="2" t="s">
        <v>1195</v>
      </c>
      <c r="AB581" s="2" t="s">
        <v>92</v>
      </c>
    </row>
    <row r="582" spans="1:28" ht="40.5">
      <c r="A582" s="2" t="s">
        <v>1191</v>
      </c>
      <c r="B582" s="2" t="s">
        <v>1196</v>
      </c>
      <c r="C582" s="2" t="s">
        <v>1193</v>
      </c>
      <c r="D582" s="2" t="s">
        <v>1194</v>
      </c>
      <c r="E582" s="2" t="s">
        <v>96</v>
      </c>
      <c r="F582" s="2">
        <v>150</v>
      </c>
      <c r="G582" s="2" t="s">
        <v>185</v>
      </c>
      <c r="H582" s="2" t="s">
        <v>879</v>
      </c>
      <c r="I582" s="2" t="s">
        <v>85</v>
      </c>
      <c r="J582" s="2" t="s">
        <v>86</v>
      </c>
      <c r="K582" s="2" t="s">
        <v>1197</v>
      </c>
      <c r="L582" s="2" t="s">
        <v>40</v>
      </c>
      <c r="M582" s="2" t="s">
        <v>188</v>
      </c>
      <c r="N582" s="55">
        <v>7.5</v>
      </c>
      <c r="O582" s="55"/>
      <c r="P582" s="55">
        <v>3</v>
      </c>
      <c r="Q582" s="55">
        <v>7</v>
      </c>
      <c r="R582" s="55"/>
      <c r="S582" s="55">
        <v>3</v>
      </c>
      <c r="T582" s="55">
        <v>0.8</v>
      </c>
      <c r="U582" s="55">
        <v>0.6</v>
      </c>
      <c r="V582" s="55">
        <f t="shared" si="51"/>
        <v>-6.8992871486951435E-2</v>
      </c>
      <c r="W582" s="55">
        <f t="shared" si="50"/>
        <v>6.2415721844293285E-3</v>
      </c>
      <c r="X582" s="2" t="s">
        <v>898</v>
      </c>
      <c r="Y582" s="2" t="s">
        <v>89</v>
      </c>
      <c r="Z582" s="2" t="s">
        <v>1184</v>
      </c>
      <c r="AA582" s="2" t="s">
        <v>1195</v>
      </c>
      <c r="AB582" s="2" t="s">
        <v>92</v>
      </c>
    </row>
    <row r="583" spans="1:28" ht="40.5">
      <c r="A583" s="2" t="s">
        <v>1191</v>
      </c>
      <c r="B583" s="2" t="s">
        <v>1198</v>
      </c>
      <c r="C583" s="2" t="s">
        <v>1193</v>
      </c>
      <c r="D583" s="2" t="s">
        <v>1194</v>
      </c>
      <c r="E583" s="2" t="s">
        <v>96</v>
      </c>
      <c r="F583" s="2">
        <v>150</v>
      </c>
      <c r="G583" s="2" t="s">
        <v>185</v>
      </c>
      <c r="H583" s="2" t="s">
        <v>879</v>
      </c>
      <c r="I583" s="2" t="s">
        <v>85</v>
      </c>
      <c r="J583" s="2" t="s">
        <v>86</v>
      </c>
      <c r="K583" s="2" t="s">
        <v>149</v>
      </c>
      <c r="L583" s="2" t="s">
        <v>40</v>
      </c>
      <c r="M583" s="2" t="s">
        <v>188</v>
      </c>
      <c r="N583" s="55">
        <v>11</v>
      </c>
      <c r="O583" s="55"/>
      <c r="P583" s="55">
        <v>3</v>
      </c>
      <c r="Q583" s="55">
        <v>18.5</v>
      </c>
      <c r="R583" s="55"/>
      <c r="S583" s="55">
        <v>3</v>
      </c>
      <c r="T583" s="55">
        <v>1.5</v>
      </c>
      <c r="U583" s="55">
        <v>1</v>
      </c>
      <c r="V583" s="55">
        <f t="shared" si="51"/>
        <v>0.51987545928590861</v>
      </c>
      <c r="W583" s="55">
        <f t="shared" si="50"/>
        <v>7.1722940273308824E-3</v>
      </c>
      <c r="X583" s="2" t="s">
        <v>898</v>
      </c>
      <c r="Y583" s="2" t="s">
        <v>89</v>
      </c>
      <c r="Z583" s="2" t="s">
        <v>1184</v>
      </c>
      <c r="AA583" s="2" t="s">
        <v>1195</v>
      </c>
      <c r="AB583" s="2" t="s">
        <v>92</v>
      </c>
    </row>
    <row r="584" spans="1:28" ht="40.5">
      <c r="A584" s="2" t="s">
        <v>1191</v>
      </c>
      <c r="B584" s="2" t="s">
        <v>1199</v>
      </c>
      <c r="C584" s="2" t="s">
        <v>1193</v>
      </c>
      <c r="D584" s="2" t="s">
        <v>1194</v>
      </c>
      <c r="E584" s="2" t="s">
        <v>96</v>
      </c>
      <c r="F584" s="2">
        <v>150</v>
      </c>
      <c r="G584" s="2" t="s">
        <v>185</v>
      </c>
      <c r="H584" s="2" t="s">
        <v>879</v>
      </c>
      <c r="I584" s="2" t="s">
        <v>85</v>
      </c>
      <c r="J584" s="2" t="s">
        <v>86</v>
      </c>
      <c r="K584" s="2" t="s">
        <v>29</v>
      </c>
      <c r="L584" s="2" t="s">
        <v>337</v>
      </c>
      <c r="M584" s="2" t="s">
        <v>188</v>
      </c>
      <c r="N584" s="55">
        <v>11.5</v>
      </c>
      <c r="O584" s="55"/>
      <c r="P584" s="55">
        <v>3</v>
      </c>
      <c r="Q584" s="55">
        <v>6.8</v>
      </c>
      <c r="R584" s="55"/>
      <c r="S584" s="55">
        <v>3</v>
      </c>
      <c r="T584" s="55">
        <v>0.8</v>
      </c>
      <c r="U584" s="55">
        <v>0.8</v>
      </c>
      <c r="V584" s="55">
        <f t="shared" si="51"/>
        <v>-0.52542442318714333</v>
      </c>
      <c r="W584" s="55">
        <f t="shared" si="50"/>
        <v>6.2267166401754762E-3</v>
      </c>
      <c r="X584" s="2" t="s">
        <v>1200</v>
      </c>
      <c r="Y584" s="2" t="s">
        <v>89</v>
      </c>
      <c r="Z584" s="2" t="s">
        <v>1184</v>
      </c>
      <c r="AA584" s="2" t="s">
        <v>1195</v>
      </c>
      <c r="AB584" s="2" t="s">
        <v>92</v>
      </c>
    </row>
    <row r="585" spans="1:28" ht="40.5">
      <c r="A585" s="2" t="s">
        <v>1191</v>
      </c>
      <c r="B585" s="2" t="s">
        <v>1201</v>
      </c>
      <c r="C585" s="2" t="s">
        <v>1193</v>
      </c>
      <c r="D585" s="2" t="s">
        <v>1194</v>
      </c>
      <c r="E585" s="2" t="s">
        <v>96</v>
      </c>
      <c r="F585" s="2">
        <v>150</v>
      </c>
      <c r="G585" s="2" t="s">
        <v>185</v>
      </c>
      <c r="H585" s="2" t="s">
        <v>879</v>
      </c>
      <c r="I585" s="2" t="s">
        <v>85</v>
      </c>
      <c r="J585" s="2" t="s">
        <v>86</v>
      </c>
      <c r="K585" s="2" t="s">
        <v>1197</v>
      </c>
      <c r="L585" s="2" t="s">
        <v>337</v>
      </c>
      <c r="M585" s="2" t="s">
        <v>188</v>
      </c>
      <c r="N585" s="55">
        <v>3</v>
      </c>
      <c r="O585" s="55"/>
      <c r="P585" s="55">
        <v>3</v>
      </c>
      <c r="Q585" s="55">
        <v>3.2</v>
      </c>
      <c r="R585" s="55"/>
      <c r="S585" s="55">
        <v>3</v>
      </c>
      <c r="T585" s="55">
        <v>0.3</v>
      </c>
      <c r="U585" s="55">
        <v>0.5</v>
      </c>
      <c r="V585" s="55">
        <f t="shared" si="51"/>
        <v>6.4538521137571164E-2</v>
      </c>
      <c r="W585" s="55">
        <f t="shared" si="50"/>
        <v>1.1471354166666666E-2</v>
      </c>
      <c r="X585" s="2" t="s">
        <v>1200</v>
      </c>
      <c r="Y585" s="2" t="s">
        <v>89</v>
      </c>
      <c r="Z585" s="2" t="s">
        <v>1184</v>
      </c>
      <c r="AA585" s="2" t="s">
        <v>1195</v>
      </c>
      <c r="AB585" s="2" t="s">
        <v>92</v>
      </c>
    </row>
    <row r="586" spans="1:28" ht="40.5">
      <c r="A586" s="2" t="s">
        <v>1191</v>
      </c>
      <c r="B586" s="2" t="s">
        <v>1202</v>
      </c>
      <c r="C586" s="2" t="s">
        <v>1193</v>
      </c>
      <c r="D586" s="2" t="s">
        <v>1194</v>
      </c>
      <c r="E586" s="2" t="s">
        <v>96</v>
      </c>
      <c r="F586" s="2">
        <v>150</v>
      </c>
      <c r="G586" s="2" t="s">
        <v>185</v>
      </c>
      <c r="H586" s="2" t="s">
        <v>879</v>
      </c>
      <c r="I586" s="2" t="s">
        <v>85</v>
      </c>
      <c r="J586" s="2" t="s">
        <v>86</v>
      </c>
      <c r="K586" s="2" t="s">
        <v>149</v>
      </c>
      <c r="L586" s="2" t="s">
        <v>337</v>
      </c>
      <c r="M586" s="2" t="s">
        <v>188</v>
      </c>
      <c r="N586" s="55">
        <v>2.5</v>
      </c>
      <c r="O586" s="55"/>
      <c r="P586" s="55">
        <v>3</v>
      </c>
      <c r="Q586" s="55">
        <v>3.2</v>
      </c>
      <c r="R586" s="55"/>
      <c r="S586" s="55">
        <v>3</v>
      </c>
      <c r="T586" s="55">
        <v>0.3</v>
      </c>
      <c r="U586" s="55">
        <v>0.3</v>
      </c>
      <c r="V586" s="55">
        <f t="shared" si="51"/>
        <v>0.24686007793152581</v>
      </c>
      <c r="W586" s="55">
        <f t="shared" si="50"/>
        <v>7.7296874999999987E-3</v>
      </c>
      <c r="X586" s="2" t="s">
        <v>1200</v>
      </c>
      <c r="Y586" s="2" t="s">
        <v>89</v>
      </c>
      <c r="Z586" s="2" t="s">
        <v>1184</v>
      </c>
      <c r="AA586" s="2" t="s">
        <v>1195</v>
      </c>
      <c r="AB586" s="2" t="s">
        <v>92</v>
      </c>
    </row>
    <row r="587" spans="1:28" ht="40.5">
      <c r="A587" s="2" t="s">
        <v>1191</v>
      </c>
      <c r="B587" s="2" t="s">
        <v>1203</v>
      </c>
      <c r="C587" s="2" t="s">
        <v>1193</v>
      </c>
      <c r="D587" s="2" t="s">
        <v>1194</v>
      </c>
      <c r="E587" s="2" t="s">
        <v>96</v>
      </c>
      <c r="F587" s="2">
        <v>150</v>
      </c>
      <c r="G587" s="2" t="s">
        <v>185</v>
      </c>
      <c r="H587" s="2" t="s">
        <v>879</v>
      </c>
      <c r="I587" s="2" t="s">
        <v>85</v>
      </c>
      <c r="J587" s="2" t="s">
        <v>86</v>
      </c>
      <c r="K587" s="2" t="s">
        <v>29</v>
      </c>
      <c r="L587" s="2" t="s">
        <v>30</v>
      </c>
      <c r="M587" s="2" t="s">
        <v>188</v>
      </c>
      <c r="N587" s="55">
        <v>4.1100000000000003</v>
      </c>
      <c r="O587" s="55"/>
      <c r="P587" s="55">
        <v>3</v>
      </c>
      <c r="Q587" s="55">
        <v>2.8</v>
      </c>
      <c r="R587" s="55"/>
      <c r="S587" s="55">
        <v>3</v>
      </c>
      <c r="T587" s="55">
        <v>1.3</v>
      </c>
      <c r="U587" s="55">
        <v>0.4</v>
      </c>
      <c r="V587" s="55">
        <f t="shared" si="51"/>
        <v>-0.38380361132698509</v>
      </c>
      <c r="W587" s="55">
        <f t="shared" si="50"/>
        <v>4.0151643563043814E-2</v>
      </c>
      <c r="X587" s="2" t="s">
        <v>1204</v>
      </c>
      <c r="Y587" s="2" t="s">
        <v>89</v>
      </c>
      <c r="Z587" s="2" t="s">
        <v>1184</v>
      </c>
      <c r="AA587" s="2" t="s">
        <v>1195</v>
      </c>
      <c r="AB587" s="2" t="s">
        <v>92</v>
      </c>
    </row>
    <row r="588" spans="1:28" ht="40.5">
      <c r="A588" s="2" t="s">
        <v>1191</v>
      </c>
      <c r="B588" s="2" t="s">
        <v>1205</v>
      </c>
      <c r="C588" s="2" t="s">
        <v>1193</v>
      </c>
      <c r="D588" s="2" t="s">
        <v>1194</v>
      </c>
      <c r="E588" s="2" t="s">
        <v>96</v>
      </c>
      <c r="F588" s="2">
        <v>150</v>
      </c>
      <c r="G588" s="2" t="s">
        <v>185</v>
      </c>
      <c r="H588" s="2" t="s">
        <v>879</v>
      </c>
      <c r="I588" s="2" t="s">
        <v>85</v>
      </c>
      <c r="J588" s="2" t="s">
        <v>86</v>
      </c>
      <c r="K588" s="2" t="s">
        <v>1197</v>
      </c>
      <c r="L588" s="2" t="s">
        <v>30</v>
      </c>
      <c r="M588" s="2" t="s">
        <v>188</v>
      </c>
      <c r="N588" s="55">
        <v>1.7</v>
      </c>
      <c r="O588" s="55"/>
      <c r="P588" s="55">
        <v>3</v>
      </c>
      <c r="Q588" s="55">
        <v>1.5</v>
      </c>
      <c r="R588" s="55"/>
      <c r="S588" s="55">
        <v>3</v>
      </c>
      <c r="T588" s="55">
        <v>0.25</v>
      </c>
      <c r="U588" s="55">
        <v>0.2</v>
      </c>
      <c r="V588" s="55">
        <f t="shared" si="51"/>
        <v>-0.12516314295400605</v>
      </c>
      <c r="W588" s="55">
        <f t="shared" si="50"/>
        <v>1.313469178521082E-2</v>
      </c>
      <c r="X588" s="2" t="s">
        <v>1204</v>
      </c>
      <c r="Y588" s="2" t="s">
        <v>89</v>
      </c>
      <c r="Z588" s="2" t="s">
        <v>1184</v>
      </c>
      <c r="AA588" s="2" t="s">
        <v>1195</v>
      </c>
      <c r="AB588" s="2" t="s">
        <v>92</v>
      </c>
    </row>
    <row r="589" spans="1:28" ht="40.5">
      <c r="A589" s="2" t="s">
        <v>1191</v>
      </c>
      <c r="B589" s="2" t="s">
        <v>1206</v>
      </c>
      <c r="C589" s="2" t="s">
        <v>1193</v>
      </c>
      <c r="D589" s="2" t="s">
        <v>1194</v>
      </c>
      <c r="E589" s="2" t="s">
        <v>96</v>
      </c>
      <c r="F589" s="2">
        <v>150</v>
      </c>
      <c r="G589" s="2" t="s">
        <v>185</v>
      </c>
      <c r="H589" s="2" t="s">
        <v>879</v>
      </c>
      <c r="I589" s="2" t="s">
        <v>85</v>
      </c>
      <c r="J589" s="2" t="s">
        <v>86</v>
      </c>
      <c r="K589" s="2" t="s">
        <v>149</v>
      </c>
      <c r="L589" s="2" t="s">
        <v>30</v>
      </c>
      <c r="M589" s="2" t="s">
        <v>188</v>
      </c>
      <c r="N589" s="55">
        <v>0.8</v>
      </c>
      <c r="O589" s="55"/>
      <c r="P589" s="55">
        <v>3</v>
      </c>
      <c r="Q589" s="55">
        <v>1.4</v>
      </c>
      <c r="R589" s="55"/>
      <c r="S589" s="55">
        <v>3</v>
      </c>
      <c r="T589" s="55">
        <v>0.12</v>
      </c>
      <c r="U589" s="55">
        <v>0.15</v>
      </c>
      <c r="V589" s="55">
        <f t="shared" si="51"/>
        <v>0.55961578793542255</v>
      </c>
      <c r="W589" s="55">
        <f t="shared" si="50"/>
        <v>1.1326530612244897E-2</v>
      </c>
      <c r="X589" s="2" t="s">
        <v>1204</v>
      </c>
      <c r="Y589" s="2" t="s">
        <v>89</v>
      </c>
      <c r="Z589" s="2" t="s">
        <v>1184</v>
      </c>
      <c r="AA589" s="2" t="s">
        <v>1195</v>
      </c>
      <c r="AB589" s="2" t="s">
        <v>92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baseColWidth="10" defaultColWidth="9" defaultRowHeight="13.5"/>
  <cols>
    <col min="1" max="1" width="14.75" customWidth="1"/>
    <col min="2" max="2" width="24" customWidth="1"/>
    <col min="3" max="3" width="19.125" customWidth="1"/>
    <col min="4" max="4" width="1.5" customWidth="1"/>
    <col min="5" max="5" width="4.375" customWidth="1"/>
    <col min="6" max="6" width="34" customWidth="1"/>
  </cols>
  <sheetData>
    <row r="1" spans="1:6" ht="27.75">
      <c r="A1" s="9" t="s">
        <v>54</v>
      </c>
      <c r="B1" s="9" t="s">
        <v>1207</v>
      </c>
      <c r="C1" s="9" t="s">
        <v>1208</v>
      </c>
      <c r="D1" s="9" t="s">
        <v>1209</v>
      </c>
      <c r="E1" s="9" t="s">
        <v>1210</v>
      </c>
      <c r="F1" s="9" t="s">
        <v>1211</v>
      </c>
    </row>
    <row r="2" spans="1:6">
      <c r="A2" s="2" t="s">
        <v>181</v>
      </c>
      <c r="B2" s="2" t="s">
        <v>1212</v>
      </c>
      <c r="C2" s="2" t="s">
        <v>1213</v>
      </c>
      <c r="D2" s="2">
        <v>4</v>
      </c>
      <c r="E2" s="2" t="s">
        <v>1214</v>
      </c>
      <c r="F2" s="2" t="s">
        <v>1215</v>
      </c>
    </row>
    <row r="3" spans="1:6">
      <c r="A3" s="2" t="s">
        <v>181</v>
      </c>
      <c r="B3" s="2" t="s">
        <v>1216</v>
      </c>
      <c r="C3" s="2" t="s">
        <v>1217</v>
      </c>
      <c r="D3" s="2">
        <v>4</v>
      </c>
      <c r="E3" s="2" t="s">
        <v>1214</v>
      </c>
      <c r="F3" s="2" t="s">
        <v>1215</v>
      </c>
    </row>
    <row r="4" spans="1:6">
      <c r="A4" s="2" t="s">
        <v>181</v>
      </c>
      <c r="B4" s="2" t="s">
        <v>1218</v>
      </c>
      <c r="C4" s="2" t="s">
        <v>1219</v>
      </c>
      <c r="D4" s="2">
        <v>4</v>
      </c>
      <c r="E4" s="2" t="s">
        <v>1214</v>
      </c>
      <c r="F4" s="2" t="s">
        <v>1215</v>
      </c>
    </row>
    <row r="5" spans="1:6" ht="27">
      <c r="A5" s="2" t="s">
        <v>1220</v>
      </c>
      <c r="B5" s="2" t="s">
        <v>1221</v>
      </c>
      <c r="C5" s="2" t="s">
        <v>1222</v>
      </c>
      <c r="D5" s="2"/>
      <c r="E5" s="2"/>
      <c r="F5" s="2" t="s">
        <v>1223</v>
      </c>
    </row>
    <row r="6" spans="1:6" ht="27">
      <c r="A6" s="2" t="s">
        <v>1224</v>
      </c>
      <c r="B6" s="2" t="s">
        <v>1225</v>
      </c>
      <c r="C6" s="2"/>
      <c r="D6" s="2"/>
      <c r="E6" s="2"/>
      <c r="F6" s="2" t="s">
        <v>1226</v>
      </c>
    </row>
    <row r="7" spans="1:6" ht="27">
      <c r="A7" s="2" t="s">
        <v>1227</v>
      </c>
      <c r="B7" s="2" t="s">
        <v>1228</v>
      </c>
      <c r="C7" s="2"/>
      <c r="D7" s="2"/>
      <c r="E7" s="2"/>
      <c r="F7" s="2" t="s">
        <v>1229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81"/>
  <sheetViews>
    <sheetView workbookViewId="0"/>
  </sheetViews>
  <sheetFormatPr baseColWidth="10" defaultColWidth="9" defaultRowHeight="13.5"/>
  <cols>
    <col min="1" max="1" width="7" customWidth="1"/>
    <col min="2" max="2" width="5.125" customWidth="1"/>
    <col min="3" max="6" width="22" customWidth="1"/>
    <col min="7" max="7" width="5.625" customWidth="1"/>
    <col min="8" max="8" width="4.75" customWidth="1"/>
    <col min="9" max="9" width="1.5" customWidth="1"/>
    <col min="10" max="10" width="8.75" customWidth="1"/>
    <col min="11" max="12" width="22" customWidth="1"/>
  </cols>
  <sheetData>
    <row r="1" spans="1:12" ht="27.75">
      <c r="A1" s="8" t="s">
        <v>24</v>
      </c>
      <c r="B1" s="8" t="s">
        <v>23</v>
      </c>
      <c r="C1" s="8" t="s">
        <v>1230</v>
      </c>
      <c r="D1" s="8" t="s">
        <v>1231</v>
      </c>
      <c r="E1" s="8" t="s">
        <v>26</v>
      </c>
      <c r="F1" s="8" t="s">
        <v>1232</v>
      </c>
      <c r="G1" s="8" t="s">
        <v>1233</v>
      </c>
      <c r="H1" s="8" t="s">
        <v>1214</v>
      </c>
      <c r="I1" s="8" t="s">
        <v>1209</v>
      </c>
      <c r="J1" s="8" t="s">
        <v>1234</v>
      </c>
      <c r="K1" s="8" t="s">
        <v>74</v>
      </c>
      <c r="L1" s="8" t="s">
        <v>75</v>
      </c>
    </row>
    <row r="2" spans="1:12">
      <c r="A2" t="s">
        <v>40</v>
      </c>
      <c r="B2" t="s">
        <v>41</v>
      </c>
      <c r="C2" t="s">
        <v>1235</v>
      </c>
      <c r="D2" t="s">
        <v>1236</v>
      </c>
      <c r="E2" t="s">
        <v>184</v>
      </c>
      <c r="F2" t="s">
        <v>43</v>
      </c>
      <c r="G2" s="4">
        <v>31.029371228578324</v>
      </c>
      <c r="H2" s="4">
        <v>0.3806779507603098</v>
      </c>
      <c r="I2">
        <v>4</v>
      </c>
      <c r="J2" t="s">
        <v>1214</v>
      </c>
      <c r="K2" t="s">
        <v>752</v>
      </c>
      <c r="L2" t="s">
        <v>1237</v>
      </c>
    </row>
    <row r="3" spans="1:12">
      <c r="A3" t="s">
        <v>40</v>
      </c>
      <c r="B3" t="s">
        <v>41</v>
      </c>
      <c r="C3" t="s">
        <v>1235</v>
      </c>
      <c r="D3" t="s">
        <v>1236</v>
      </c>
      <c r="E3" t="s">
        <v>184</v>
      </c>
      <c r="F3" t="s">
        <v>1238</v>
      </c>
      <c r="G3" s="4">
        <v>17.777538619357951</v>
      </c>
      <c r="H3" s="4">
        <v>0.76017740767560527</v>
      </c>
      <c r="I3">
        <v>4</v>
      </c>
      <c r="J3" t="s">
        <v>1214</v>
      </c>
      <c r="K3" t="s">
        <v>752</v>
      </c>
      <c r="L3" t="s">
        <v>1237</v>
      </c>
    </row>
    <row r="4" spans="1:12">
      <c r="A4" t="s">
        <v>40</v>
      </c>
      <c r="B4" t="s">
        <v>41</v>
      </c>
      <c r="C4" t="s">
        <v>1235</v>
      </c>
      <c r="D4" t="s">
        <v>1236</v>
      </c>
      <c r="E4" t="s">
        <v>195</v>
      </c>
      <c r="F4" t="s">
        <v>43</v>
      </c>
      <c r="G4" s="4">
        <v>33.671723992276128</v>
      </c>
      <c r="H4" s="4">
        <v>1.1396765628771677</v>
      </c>
      <c r="I4">
        <v>4</v>
      </c>
      <c r="J4" t="s">
        <v>1214</v>
      </c>
      <c r="K4" t="s">
        <v>752</v>
      </c>
      <c r="L4" t="s">
        <v>1237</v>
      </c>
    </row>
    <row r="5" spans="1:12">
      <c r="A5" t="s">
        <v>40</v>
      </c>
      <c r="B5" t="s">
        <v>41</v>
      </c>
      <c r="C5" t="s">
        <v>1235</v>
      </c>
      <c r="D5" t="s">
        <v>1236</v>
      </c>
      <c r="E5" t="s">
        <v>195</v>
      </c>
      <c r="F5" t="s">
        <v>1238</v>
      </c>
      <c r="G5" s="4">
        <v>17.777538619357951</v>
      </c>
      <c r="H5" s="4">
        <v>1.1219979483466087</v>
      </c>
      <c r="I5">
        <v>4</v>
      </c>
      <c r="J5" t="s">
        <v>1214</v>
      </c>
      <c r="K5" t="s">
        <v>752</v>
      </c>
      <c r="L5" t="s">
        <v>1237</v>
      </c>
    </row>
    <row r="6" spans="1:12">
      <c r="A6" t="s">
        <v>40</v>
      </c>
      <c r="B6" t="s">
        <v>41</v>
      </c>
      <c r="C6" t="s">
        <v>1235</v>
      </c>
      <c r="D6" t="s">
        <v>1239</v>
      </c>
      <c r="E6" t="s">
        <v>184</v>
      </c>
      <c r="F6" t="s">
        <v>43</v>
      </c>
      <c r="G6" s="4">
        <v>31.390013878831763</v>
      </c>
      <c r="H6" s="4">
        <v>0.94167662321988088</v>
      </c>
      <c r="I6">
        <v>4</v>
      </c>
      <c r="J6" t="s">
        <v>1214</v>
      </c>
      <c r="K6" t="s">
        <v>752</v>
      </c>
      <c r="L6" t="s">
        <v>1237</v>
      </c>
    </row>
    <row r="7" spans="1:12">
      <c r="A7" t="s">
        <v>40</v>
      </c>
      <c r="B7" t="s">
        <v>41</v>
      </c>
      <c r="C7" t="s">
        <v>1235</v>
      </c>
      <c r="D7" t="s">
        <v>1239</v>
      </c>
      <c r="E7" t="s">
        <v>184</v>
      </c>
      <c r="F7" t="s">
        <v>1238</v>
      </c>
      <c r="G7" s="4">
        <v>20.818247646632873</v>
      </c>
      <c r="H7" s="4">
        <v>0.74249849143134738</v>
      </c>
      <c r="I7">
        <v>4</v>
      </c>
      <c r="J7" t="s">
        <v>1214</v>
      </c>
      <c r="K7" t="s">
        <v>752</v>
      </c>
      <c r="L7" t="s">
        <v>1237</v>
      </c>
    </row>
    <row r="8" spans="1:12">
      <c r="A8" t="s">
        <v>40</v>
      </c>
      <c r="B8" t="s">
        <v>41</v>
      </c>
      <c r="C8" t="s">
        <v>1235</v>
      </c>
      <c r="D8" t="s">
        <v>1239</v>
      </c>
      <c r="E8" t="s">
        <v>195</v>
      </c>
      <c r="F8" t="s">
        <v>43</v>
      </c>
      <c r="G8" s="4">
        <v>30.631014965001203</v>
      </c>
      <c r="H8" s="4">
        <v>1.1219979483466087</v>
      </c>
      <c r="I8">
        <v>4</v>
      </c>
      <c r="J8" t="s">
        <v>1214</v>
      </c>
      <c r="K8" t="s">
        <v>752</v>
      </c>
      <c r="L8" t="s">
        <v>1237</v>
      </c>
    </row>
    <row r="9" spans="1:12">
      <c r="A9" t="s">
        <v>40</v>
      </c>
      <c r="B9" t="s">
        <v>41</v>
      </c>
      <c r="C9" t="s">
        <v>1235</v>
      </c>
      <c r="D9" t="s">
        <v>1239</v>
      </c>
      <c r="E9" t="s">
        <v>195</v>
      </c>
      <c r="F9" t="s">
        <v>1238</v>
      </c>
      <c r="G9" s="4">
        <v>20.818247646632873</v>
      </c>
      <c r="H9" s="4">
        <v>1.1408550567221818</v>
      </c>
      <c r="I9">
        <v>4</v>
      </c>
      <c r="J9" t="s">
        <v>1214</v>
      </c>
      <c r="K9" t="s">
        <v>752</v>
      </c>
      <c r="L9" t="s">
        <v>1237</v>
      </c>
    </row>
    <row r="10" spans="1:12">
      <c r="A10" t="s">
        <v>40</v>
      </c>
      <c r="B10" t="s">
        <v>41</v>
      </c>
      <c r="C10" t="s">
        <v>1235</v>
      </c>
      <c r="D10" t="s">
        <v>1240</v>
      </c>
      <c r="E10" t="s">
        <v>184</v>
      </c>
      <c r="F10" t="s">
        <v>43</v>
      </c>
      <c r="G10" s="4">
        <v>38.558072049239676</v>
      </c>
      <c r="H10" s="4">
        <v>1.9010321626840196</v>
      </c>
      <c r="I10">
        <v>4</v>
      </c>
      <c r="J10" t="s">
        <v>1214</v>
      </c>
      <c r="K10" t="s">
        <v>752</v>
      </c>
      <c r="L10" t="s">
        <v>1237</v>
      </c>
    </row>
    <row r="11" spans="1:12">
      <c r="A11" t="s">
        <v>40</v>
      </c>
      <c r="B11" t="s">
        <v>41</v>
      </c>
      <c r="C11" t="s">
        <v>1235</v>
      </c>
      <c r="D11" t="s">
        <v>1240</v>
      </c>
      <c r="E11" t="s">
        <v>184</v>
      </c>
      <c r="F11" t="s">
        <v>1238</v>
      </c>
      <c r="G11" s="4">
        <v>24.582597755249818</v>
      </c>
      <c r="H11" s="4">
        <v>0.9416769249336141</v>
      </c>
      <c r="I11">
        <v>4</v>
      </c>
      <c r="J11" t="s">
        <v>1214</v>
      </c>
      <c r="K11" t="s">
        <v>752</v>
      </c>
      <c r="L11" t="s">
        <v>1237</v>
      </c>
    </row>
    <row r="12" spans="1:12">
      <c r="A12" t="s">
        <v>40</v>
      </c>
      <c r="B12" t="s">
        <v>41</v>
      </c>
      <c r="C12" t="s">
        <v>1235</v>
      </c>
      <c r="D12" t="s">
        <v>1240</v>
      </c>
      <c r="E12" t="s">
        <v>195</v>
      </c>
      <c r="F12" t="s">
        <v>43</v>
      </c>
      <c r="G12" s="4">
        <v>41.601138064204676</v>
      </c>
      <c r="H12" s="4">
        <v>1.1219979483466087</v>
      </c>
      <c r="I12">
        <v>4</v>
      </c>
      <c r="J12" t="s">
        <v>1214</v>
      </c>
      <c r="K12" t="s">
        <v>752</v>
      </c>
      <c r="L12" t="s">
        <v>1237</v>
      </c>
    </row>
    <row r="13" spans="1:12">
      <c r="A13" t="s">
        <v>40</v>
      </c>
      <c r="B13" t="s">
        <v>41</v>
      </c>
      <c r="C13" t="s">
        <v>1235</v>
      </c>
      <c r="D13" t="s">
        <v>1240</v>
      </c>
      <c r="E13" t="s">
        <v>195</v>
      </c>
      <c r="F13" t="s">
        <v>1238</v>
      </c>
      <c r="G13" s="4">
        <v>24.582597755249818</v>
      </c>
      <c r="H13" s="4">
        <v>0.9416769249336141</v>
      </c>
      <c r="I13">
        <v>4</v>
      </c>
      <c r="J13" t="s">
        <v>1214</v>
      </c>
      <c r="K13" t="s">
        <v>752</v>
      </c>
      <c r="L13" t="s">
        <v>1237</v>
      </c>
    </row>
    <row r="14" spans="1:12">
      <c r="A14" t="s">
        <v>40</v>
      </c>
      <c r="B14" t="s">
        <v>41</v>
      </c>
      <c r="C14" t="s">
        <v>1235</v>
      </c>
      <c r="D14" t="s">
        <v>1241</v>
      </c>
      <c r="E14" t="s">
        <v>184</v>
      </c>
      <c r="F14" t="s">
        <v>43</v>
      </c>
      <c r="G14" s="4">
        <v>36.314076152546463</v>
      </c>
      <c r="H14" s="4">
        <v>0.19917813178856775</v>
      </c>
      <c r="I14">
        <v>4</v>
      </c>
      <c r="J14" t="s">
        <v>1214</v>
      </c>
      <c r="K14" t="s">
        <v>752</v>
      </c>
      <c r="L14" t="s">
        <v>1237</v>
      </c>
    </row>
    <row r="15" spans="1:12">
      <c r="A15" t="s">
        <v>40</v>
      </c>
      <c r="B15" t="s">
        <v>41</v>
      </c>
      <c r="C15" t="s">
        <v>1235</v>
      </c>
      <c r="D15" t="s">
        <v>1241</v>
      </c>
      <c r="E15" t="s">
        <v>184</v>
      </c>
      <c r="F15" t="s">
        <v>1238</v>
      </c>
      <c r="G15" s="4">
        <v>22.701600893072651</v>
      </c>
      <c r="H15" s="4">
        <v>1.1396765628771333</v>
      </c>
      <c r="I15">
        <v>4</v>
      </c>
      <c r="J15" t="s">
        <v>1214</v>
      </c>
      <c r="K15" t="s">
        <v>752</v>
      </c>
      <c r="L15" t="s">
        <v>1237</v>
      </c>
    </row>
    <row r="16" spans="1:12">
      <c r="A16" t="s">
        <v>40</v>
      </c>
      <c r="B16" t="s">
        <v>41</v>
      </c>
      <c r="C16" t="s">
        <v>1235</v>
      </c>
      <c r="D16" t="s">
        <v>1241</v>
      </c>
      <c r="E16" t="s">
        <v>195</v>
      </c>
      <c r="F16" t="s">
        <v>43</v>
      </c>
      <c r="G16" s="4">
        <v>36.67707579048998</v>
      </c>
      <c r="H16" s="4">
        <v>1.1408550567221818</v>
      </c>
      <c r="I16">
        <v>4</v>
      </c>
      <c r="J16" t="s">
        <v>1214</v>
      </c>
      <c r="K16" t="s">
        <v>752</v>
      </c>
      <c r="L16" t="s">
        <v>1237</v>
      </c>
    </row>
    <row r="17" spans="1:12">
      <c r="A17" t="s">
        <v>40</v>
      </c>
      <c r="B17" t="s">
        <v>41</v>
      </c>
      <c r="C17" t="s">
        <v>1235</v>
      </c>
      <c r="D17" t="s">
        <v>1241</v>
      </c>
      <c r="E17" t="s">
        <v>195</v>
      </c>
      <c r="F17" t="s">
        <v>1238</v>
      </c>
      <c r="G17" s="4">
        <v>22.701600893072651</v>
      </c>
      <c r="H17" s="4">
        <v>1.1396765628771333</v>
      </c>
      <c r="I17">
        <v>4</v>
      </c>
      <c r="J17" t="s">
        <v>1214</v>
      </c>
      <c r="K17" t="s">
        <v>752</v>
      </c>
      <c r="L17" t="s">
        <v>1237</v>
      </c>
    </row>
    <row r="18" spans="1:12">
      <c r="A18" t="s">
        <v>40</v>
      </c>
      <c r="B18" t="s">
        <v>41</v>
      </c>
      <c r="C18" t="s">
        <v>1242</v>
      </c>
      <c r="D18" t="s">
        <v>1236</v>
      </c>
      <c r="E18" t="s">
        <v>184</v>
      </c>
      <c r="F18" t="s">
        <v>43</v>
      </c>
      <c r="G18" s="4">
        <v>29.869659666908035</v>
      </c>
      <c r="H18" s="4">
        <v>0.9416769249336141</v>
      </c>
      <c r="I18">
        <v>4</v>
      </c>
      <c r="J18" t="s">
        <v>1214</v>
      </c>
      <c r="K18" t="s">
        <v>752</v>
      </c>
      <c r="L18" t="s">
        <v>1237</v>
      </c>
    </row>
    <row r="19" spans="1:12">
      <c r="A19" t="s">
        <v>40</v>
      </c>
      <c r="B19" t="s">
        <v>41</v>
      </c>
      <c r="C19" t="s">
        <v>1242</v>
      </c>
      <c r="D19" t="s">
        <v>1236</v>
      </c>
      <c r="E19" t="s">
        <v>184</v>
      </c>
      <c r="F19" t="s">
        <v>1238</v>
      </c>
      <c r="G19" s="4">
        <v>17.016182717837314</v>
      </c>
      <c r="H19" s="4">
        <v>0.9416769249336141</v>
      </c>
      <c r="I19">
        <v>4</v>
      </c>
      <c r="J19" t="s">
        <v>1214</v>
      </c>
      <c r="K19" t="s">
        <v>752</v>
      </c>
      <c r="L19" t="s">
        <v>1237</v>
      </c>
    </row>
    <row r="20" spans="1:12">
      <c r="A20" t="s">
        <v>40</v>
      </c>
      <c r="B20" t="s">
        <v>41</v>
      </c>
      <c r="C20" t="s">
        <v>1242</v>
      </c>
      <c r="D20" t="s">
        <v>1236</v>
      </c>
      <c r="E20" t="s">
        <v>195</v>
      </c>
      <c r="F20" t="s">
        <v>43</v>
      </c>
      <c r="G20" s="4">
        <v>29.869659666908035</v>
      </c>
      <c r="H20" s="4">
        <v>0.9416769249336141</v>
      </c>
      <c r="I20">
        <v>4</v>
      </c>
      <c r="J20" t="s">
        <v>1214</v>
      </c>
      <c r="K20" t="s">
        <v>752</v>
      </c>
      <c r="L20" t="s">
        <v>1237</v>
      </c>
    </row>
    <row r="21" spans="1:12">
      <c r="A21" t="s">
        <v>40</v>
      </c>
      <c r="B21" t="s">
        <v>41</v>
      </c>
      <c r="C21" t="s">
        <v>1242</v>
      </c>
      <c r="D21" t="s">
        <v>1236</v>
      </c>
      <c r="E21" t="s">
        <v>195</v>
      </c>
      <c r="F21" t="s">
        <v>1238</v>
      </c>
      <c r="G21" s="4">
        <v>17.016182717837314</v>
      </c>
      <c r="H21" s="4">
        <v>0.9416769249336141</v>
      </c>
      <c r="I21">
        <v>4</v>
      </c>
      <c r="J21" t="s">
        <v>1214</v>
      </c>
      <c r="K21" t="s">
        <v>752</v>
      </c>
      <c r="L21" t="s">
        <v>1237</v>
      </c>
    </row>
    <row r="22" spans="1:12">
      <c r="A22" t="s">
        <v>40</v>
      </c>
      <c r="B22" t="s">
        <v>41</v>
      </c>
      <c r="C22" t="s">
        <v>1242</v>
      </c>
      <c r="D22" t="s">
        <v>1239</v>
      </c>
      <c r="E22" t="s">
        <v>184</v>
      </c>
      <c r="F22" t="s">
        <v>43</v>
      </c>
      <c r="G22" s="4">
        <v>32.51201182717837</v>
      </c>
      <c r="H22" s="4">
        <v>0.95935523775040554</v>
      </c>
      <c r="I22">
        <v>4</v>
      </c>
      <c r="J22" t="s">
        <v>1214</v>
      </c>
      <c r="K22" t="s">
        <v>752</v>
      </c>
      <c r="L22" t="s">
        <v>1237</v>
      </c>
    </row>
    <row r="23" spans="1:12">
      <c r="A23" t="s">
        <v>40</v>
      </c>
      <c r="B23" t="s">
        <v>41</v>
      </c>
      <c r="C23" t="s">
        <v>1242</v>
      </c>
      <c r="D23" t="s">
        <v>1239</v>
      </c>
      <c r="E23" t="s">
        <v>184</v>
      </c>
      <c r="F23" t="s">
        <v>1238</v>
      </c>
      <c r="G23" s="4">
        <v>17.777538619357951</v>
      </c>
      <c r="H23" s="4">
        <v>1.1219979483466087</v>
      </c>
      <c r="I23">
        <v>4</v>
      </c>
      <c r="J23" t="s">
        <v>1214</v>
      </c>
      <c r="K23" t="s">
        <v>752</v>
      </c>
      <c r="L23" t="s">
        <v>1237</v>
      </c>
    </row>
    <row r="24" spans="1:12">
      <c r="A24" t="s">
        <v>40</v>
      </c>
      <c r="B24" t="s">
        <v>41</v>
      </c>
      <c r="C24" t="s">
        <v>1242</v>
      </c>
      <c r="D24" t="s">
        <v>1239</v>
      </c>
      <c r="E24" t="s">
        <v>195</v>
      </c>
      <c r="F24" t="s">
        <v>43</v>
      </c>
      <c r="G24" s="4">
        <v>32.51201182717837</v>
      </c>
      <c r="H24" s="4">
        <v>0.95935523775040554</v>
      </c>
      <c r="I24">
        <v>4</v>
      </c>
      <c r="J24" t="s">
        <v>1214</v>
      </c>
      <c r="K24" t="s">
        <v>752</v>
      </c>
      <c r="L24" t="s">
        <v>1237</v>
      </c>
    </row>
    <row r="25" spans="1:12">
      <c r="A25" t="s">
        <v>40</v>
      </c>
      <c r="B25" t="s">
        <v>41</v>
      </c>
      <c r="C25" t="s">
        <v>1242</v>
      </c>
      <c r="D25" t="s">
        <v>1239</v>
      </c>
      <c r="E25" t="s">
        <v>195</v>
      </c>
      <c r="F25" t="s">
        <v>1238</v>
      </c>
      <c r="G25" s="4">
        <v>17.777538619357951</v>
      </c>
      <c r="H25" s="4">
        <v>1.1219979483466087</v>
      </c>
      <c r="I25">
        <v>4</v>
      </c>
      <c r="J25" t="s">
        <v>1214</v>
      </c>
      <c r="K25" t="s">
        <v>752</v>
      </c>
      <c r="L25" t="s">
        <v>1237</v>
      </c>
    </row>
    <row r="26" spans="1:12">
      <c r="A26" t="s">
        <v>40</v>
      </c>
      <c r="B26" t="s">
        <v>41</v>
      </c>
      <c r="C26" t="s">
        <v>1242</v>
      </c>
      <c r="D26" t="s">
        <v>1240</v>
      </c>
      <c r="E26" t="s">
        <v>184</v>
      </c>
      <c r="F26" t="s">
        <v>43</v>
      </c>
      <c r="G26" s="4">
        <v>40.476782524740521</v>
      </c>
      <c r="H26" s="4">
        <v>0.76017710596187205</v>
      </c>
      <c r="I26">
        <v>4</v>
      </c>
      <c r="J26" t="s">
        <v>1214</v>
      </c>
      <c r="K26" t="s">
        <v>752</v>
      </c>
      <c r="L26" t="s">
        <v>1237</v>
      </c>
    </row>
    <row r="27" spans="1:12">
      <c r="A27" t="s">
        <v>40</v>
      </c>
      <c r="B27" t="s">
        <v>41</v>
      </c>
      <c r="C27" t="s">
        <v>1242</v>
      </c>
      <c r="D27" t="s">
        <v>1240</v>
      </c>
      <c r="E27" t="s">
        <v>184</v>
      </c>
      <c r="F27" t="s">
        <v>1238</v>
      </c>
      <c r="G27" s="4">
        <v>23.823598841419258</v>
      </c>
      <c r="H27" s="4">
        <v>1.1219979483466087</v>
      </c>
      <c r="I27">
        <v>4</v>
      </c>
      <c r="J27" t="s">
        <v>1214</v>
      </c>
      <c r="K27" t="s">
        <v>752</v>
      </c>
      <c r="L27" t="s">
        <v>1237</v>
      </c>
    </row>
    <row r="28" spans="1:12">
      <c r="A28" t="s">
        <v>40</v>
      </c>
      <c r="B28" t="s">
        <v>41</v>
      </c>
      <c r="C28" t="s">
        <v>1242</v>
      </c>
      <c r="D28" t="s">
        <v>1240</v>
      </c>
      <c r="E28" t="s">
        <v>195</v>
      </c>
      <c r="F28" t="s">
        <v>43</v>
      </c>
      <c r="G28" s="4">
        <v>40.476782524740521</v>
      </c>
      <c r="H28" s="4">
        <v>0.76017710596187205</v>
      </c>
      <c r="I28">
        <v>4</v>
      </c>
      <c r="J28" t="s">
        <v>1214</v>
      </c>
      <c r="K28" t="s">
        <v>752</v>
      </c>
      <c r="L28" t="s">
        <v>1237</v>
      </c>
    </row>
    <row r="29" spans="1:12">
      <c r="A29" t="s">
        <v>40</v>
      </c>
      <c r="B29" t="s">
        <v>41</v>
      </c>
      <c r="C29" t="s">
        <v>1242</v>
      </c>
      <c r="D29" t="s">
        <v>1240</v>
      </c>
      <c r="E29" t="s">
        <v>195</v>
      </c>
      <c r="F29" t="s">
        <v>1238</v>
      </c>
      <c r="G29" s="4">
        <v>23.823598841419258</v>
      </c>
      <c r="H29" s="4">
        <v>1.1219979483466087</v>
      </c>
      <c r="I29">
        <v>4</v>
      </c>
      <c r="J29" t="s">
        <v>1214</v>
      </c>
      <c r="K29" t="s">
        <v>752</v>
      </c>
      <c r="L29" t="s">
        <v>1237</v>
      </c>
    </row>
    <row r="30" spans="1:12">
      <c r="A30" t="s">
        <v>40</v>
      </c>
      <c r="B30" t="s">
        <v>41</v>
      </c>
      <c r="C30" t="s">
        <v>1242</v>
      </c>
      <c r="D30" t="s">
        <v>1241</v>
      </c>
      <c r="E30" t="s">
        <v>184</v>
      </c>
      <c r="F30" t="s">
        <v>43</v>
      </c>
      <c r="G30" s="4">
        <v>36.67707579048998</v>
      </c>
      <c r="H30" s="4">
        <v>1.1408550567221818</v>
      </c>
      <c r="I30">
        <v>4</v>
      </c>
      <c r="J30" t="s">
        <v>1214</v>
      </c>
      <c r="K30" t="s">
        <v>752</v>
      </c>
      <c r="L30" t="s">
        <v>1237</v>
      </c>
    </row>
    <row r="31" spans="1:12">
      <c r="A31" t="s">
        <v>40</v>
      </c>
      <c r="B31" t="s">
        <v>41</v>
      </c>
      <c r="C31" t="s">
        <v>1242</v>
      </c>
      <c r="D31" t="s">
        <v>1241</v>
      </c>
      <c r="E31" t="s">
        <v>184</v>
      </c>
      <c r="F31" t="s">
        <v>1238</v>
      </c>
      <c r="G31" s="4">
        <v>21.940244991552014</v>
      </c>
      <c r="H31" s="4">
        <v>0.9416769249336141</v>
      </c>
      <c r="I31">
        <v>4</v>
      </c>
      <c r="J31" t="s">
        <v>1214</v>
      </c>
      <c r="K31" t="s">
        <v>752</v>
      </c>
      <c r="L31" t="s">
        <v>1237</v>
      </c>
    </row>
    <row r="32" spans="1:12">
      <c r="A32" t="s">
        <v>40</v>
      </c>
      <c r="B32" t="s">
        <v>41</v>
      </c>
      <c r="C32" t="s">
        <v>1242</v>
      </c>
      <c r="D32" t="s">
        <v>1241</v>
      </c>
      <c r="E32" t="s">
        <v>195</v>
      </c>
      <c r="F32" t="s">
        <v>43</v>
      </c>
      <c r="G32" s="4">
        <v>36.67707579048998</v>
      </c>
      <c r="H32" s="4">
        <v>1.1408550567221818</v>
      </c>
      <c r="I32">
        <v>4</v>
      </c>
      <c r="J32" t="s">
        <v>1214</v>
      </c>
      <c r="K32" t="s">
        <v>752</v>
      </c>
      <c r="L32" t="s">
        <v>1237</v>
      </c>
    </row>
    <row r="33" spans="1:12">
      <c r="A33" t="s">
        <v>40</v>
      </c>
      <c r="B33" t="s">
        <v>41</v>
      </c>
      <c r="C33" t="s">
        <v>1242</v>
      </c>
      <c r="D33" t="s">
        <v>1241</v>
      </c>
      <c r="E33" t="s">
        <v>195</v>
      </c>
      <c r="F33" t="s">
        <v>1238</v>
      </c>
      <c r="G33" s="4">
        <v>21.940244991552014</v>
      </c>
      <c r="H33" s="4">
        <v>0.9416769249336141</v>
      </c>
      <c r="I33">
        <v>4</v>
      </c>
      <c r="J33" t="s">
        <v>1214</v>
      </c>
      <c r="K33" t="s">
        <v>752</v>
      </c>
      <c r="L33" t="s">
        <v>1237</v>
      </c>
    </row>
    <row r="34" spans="1:12">
      <c r="A34" t="s">
        <v>40</v>
      </c>
      <c r="B34" t="s">
        <v>41</v>
      </c>
      <c r="C34" t="s">
        <v>1243</v>
      </c>
      <c r="D34" t="s">
        <v>1236</v>
      </c>
      <c r="E34" t="s">
        <v>184</v>
      </c>
      <c r="F34" t="s">
        <v>43</v>
      </c>
      <c r="G34" s="4">
        <v>34.793721940622731</v>
      </c>
      <c r="H34" s="4">
        <v>1.1231767439053904</v>
      </c>
      <c r="I34">
        <v>4</v>
      </c>
      <c r="J34" t="s">
        <v>1214</v>
      </c>
      <c r="K34" t="s">
        <v>752</v>
      </c>
      <c r="L34" t="s">
        <v>1237</v>
      </c>
    </row>
    <row r="35" spans="1:12">
      <c r="A35" t="s">
        <v>40</v>
      </c>
      <c r="B35" t="s">
        <v>41</v>
      </c>
      <c r="C35" t="s">
        <v>1243</v>
      </c>
      <c r="D35" t="s">
        <v>1236</v>
      </c>
      <c r="E35" t="s">
        <v>184</v>
      </c>
      <c r="F35" t="s">
        <v>1238</v>
      </c>
      <c r="G35" s="4">
        <v>18.899536567704562</v>
      </c>
      <c r="H35" s="4">
        <v>1.1408550567221818</v>
      </c>
      <c r="I35">
        <v>4</v>
      </c>
      <c r="J35" t="s">
        <v>1214</v>
      </c>
      <c r="K35" t="s">
        <v>752</v>
      </c>
      <c r="L35" t="s">
        <v>1237</v>
      </c>
    </row>
    <row r="36" spans="1:12">
      <c r="A36" t="s">
        <v>40</v>
      </c>
      <c r="B36" t="s">
        <v>41</v>
      </c>
      <c r="C36" t="s">
        <v>1243</v>
      </c>
      <c r="D36" t="s">
        <v>1236</v>
      </c>
      <c r="E36" t="s">
        <v>195</v>
      </c>
      <c r="F36" t="s">
        <v>43</v>
      </c>
      <c r="G36" s="4">
        <v>34.793721940622731</v>
      </c>
      <c r="H36" s="4">
        <v>1.1231767439053904</v>
      </c>
      <c r="I36">
        <v>4</v>
      </c>
      <c r="J36" t="s">
        <v>1214</v>
      </c>
      <c r="K36" t="s">
        <v>752</v>
      </c>
      <c r="L36" t="s">
        <v>1237</v>
      </c>
    </row>
    <row r="37" spans="1:12">
      <c r="A37" t="s">
        <v>40</v>
      </c>
      <c r="B37" t="s">
        <v>41</v>
      </c>
      <c r="C37" t="s">
        <v>1243</v>
      </c>
      <c r="D37" t="s">
        <v>1236</v>
      </c>
      <c r="E37" t="s">
        <v>195</v>
      </c>
      <c r="F37" t="s">
        <v>1238</v>
      </c>
      <c r="G37" s="4">
        <v>18.899536567704562</v>
      </c>
      <c r="H37" s="4">
        <v>1.1408550567221818</v>
      </c>
      <c r="I37">
        <v>4</v>
      </c>
      <c r="J37" t="s">
        <v>1214</v>
      </c>
      <c r="K37" t="s">
        <v>752</v>
      </c>
      <c r="L37" t="s">
        <v>1237</v>
      </c>
    </row>
    <row r="38" spans="1:12">
      <c r="A38" t="s">
        <v>40</v>
      </c>
      <c r="B38" t="s">
        <v>41</v>
      </c>
      <c r="C38" t="s">
        <v>1243</v>
      </c>
      <c r="D38" t="s">
        <v>1239</v>
      </c>
      <c r="E38" t="s">
        <v>184</v>
      </c>
      <c r="F38" t="s">
        <v>43</v>
      </c>
      <c r="G38" s="4">
        <v>29.869659666908035</v>
      </c>
      <c r="H38" s="4">
        <v>0.9416769249336141</v>
      </c>
      <c r="I38">
        <v>4</v>
      </c>
      <c r="J38" t="s">
        <v>1214</v>
      </c>
      <c r="K38" t="s">
        <v>752</v>
      </c>
      <c r="L38" t="s">
        <v>1237</v>
      </c>
    </row>
    <row r="39" spans="1:12">
      <c r="A39" t="s">
        <v>40</v>
      </c>
      <c r="B39" t="s">
        <v>41</v>
      </c>
      <c r="C39" t="s">
        <v>1243</v>
      </c>
      <c r="D39" t="s">
        <v>1239</v>
      </c>
      <c r="E39" t="s">
        <v>184</v>
      </c>
      <c r="F39" t="s">
        <v>1238</v>
      </c>
      <c r="G39" s="4">
        <v>17.777538619357951</v>
      </c>
      <c r="H39" s="4">
        <v>1.1219979483466087</v>
      </c>
      <c r="I39">
        <v>4</v>
      </c>
      <c r="J39" t="s">
        <v>1214</v>
      </c>
      <c r="K39" t="s">
        <v>752</v>
      </c>
      <c r="L39" t="s">
        <v>1237</v>
      </c>
    </row>
    <row r="40" spans="1:12">
      <c r="A40" t="s">
        <v>40</v>
      </c>
      <c r="B40" t="s">
        <v>41</v>
      </c>
      <c r="C40" t="s">
        <v>1243</v>
      </c>
      <c r="D40" t="s">
        <v>1239</v>
      </c>
      <c r="E40" t="s">
        <v>195</v>
      </c>
      <c r="F40" t="s">
        <v>43</v>
      </c>
      <c r="G40" s="4">
        <v>29.869659666908035</v>
      </c>
      <c r="H40" s="4">
        <v>0.9416769249336141</v>
      </c>
      <c r="I40">
        <v>4</v>
      </c>
      <c r="J40" t="s">
        <v>1214</v>
      </c>
      <c r="K40" t="s">
        <v>752</v>
      </c>
      <c r="L40" t="s">
        <v>1237</v>
      </c>
    </row>
    <row r="41" spans="1:12">
      <c r="A41" t="s">
        <v>40</v>
      </c>
      <c r="B41" t="s">
        <v>41</v>
      </c>
      <c r="C41" t="s">
        <v>1243</v>
      </c>
      <c r="D41" t="s">
        <v>1239</v>
      </c>
      <c r="E41" t="s">
        <v>195</v>
      </c>
      <c r="F41" t="s">
        <v>1238</v>
      </c>
      <c r="G41" s="4">
        <v>17.777538619357951</v>
      </c>
      <c r="H41" s="4">
        <v>1.1219979483466087</v>
      </c>
      <c r="I41">
        <v>4</v>
      </c>
      <c r="J41" t="s">
        <v>1214</v>
      </c>
      <c r="K41" t="s">
        <v>752</v>
      </c>
      <c r="L41" t="s">
        <v>1237</v>
      </c>
    </row>
    <row r="42" spans="1:12">
      <c r="A42" t="s">
        <v>40</v>
      </c>
      <c r="B42" t="s">
        <v>41</v>
      </c>
      <c r="C42" t="s">
        <v>1243</v>
      </c>
      <c r="D42" t="s">
        <v>1240</v>
      </c>
      <c r="E42" t="s">
        <v>184</v>
      </c>
      <c r="F42" t="s">
        <v>43</v>
      </c>
      <c r="G42" s="4">
        <v>45.002488534878104</v>
      </c>
      <c r="H42" s="4">
        <v>1.3211763818489095</v>
      </c>
      <c r="I42">
        <v>4</v>
      </c>
      <c r="J42" t="s">
        <v>1214</v>
      </c>
      <c r="K42" t="s">
        <v>752</v>
      </c>
      <c r="L42" t="s">
        <v>1237</v>
      </c>
    </row>
    <row r="43" spans="1:12">
      <c r="A43" t="s">
        <v>40</v>
      </c>
      <c r="B43" t="s">
        <v>41</v>
      </c>
      <c r="C43" t="s">
        <v>1243</v>
      </c>
      <c r="D43" t="s">
        <v>1240</v>
      </c>
      <c r="E43" t="s">
        <v>184</v>
      </c>
      <c r="F43" t="s">
        <v>1238</v>
      </c>
      <c r="G43" s="4">
        <v>24.582597755249818</v>
      </c>
      <c r="H43" s="4">
        <v>0.9416769249336141</v>
      </c>
      <c r="I43">
        <v>4</v>
      </c>
      <c r="J43" t="s">
        <v>1214</v>
      </c>
      <c r="K43" t="s">
        <v>752</v>
      </c>
      <c r="L43" t="s">
        <v>1237</v>
      </c>
    </row>
    <row r="44" spans="1:12">
      <c r="A44" t="s">
        <v>40</v>
      </c>
      <c r="B44" t="s">
        <v>41</v>
      </c>
      <c r="C44" t="s">
        <v>1243</v>
      </c>
      <c r="D44" t="s">
        <v>1240</v>
      </c>
      <c r="E44" t="s">
        <v>195</v>
      </c>
      <c r="F44" t="s">
        <v>43</v>
      </c>
      <c r="G44" s="4">
        <v>44.641846488052131</v>
      </c>
      <c r="H44" s="4">
        <v>1.1396765628771333</v>
      </c>
      <c r="I44">
        <v>4</v>
      </c>
      <c r="J44" t="s">
        <v>1214</v>
      </c>
      <c r="K44" t="s">
        <v>752</v>
      </c>
      <c r="L44" t="s">
        <v>1237</v>
      </c>
    </row>
    <row r="45" spans="1:12">
      <c r="A45" t="s">
        <v>40</v>
      </c>
      <c r="B45" t="s">
        <v>41</v>
      </c>
      <c r="C45" t="s">
        <v>1243</v>
      </c>
      <c r="D45" t="s">
        <v>1240</v>
      </c>
      <c r="E45" t="s">
        <v>195</v>
      </c>
      <c r="F45" t="s">
        <v>1238</v>
      </c>
      <c r="G45" s="4">
        <v>24.582597755249818</v>
      </c>
      <c r="H45" s="4">
        <v>0.9416769249336141</v>
      </c>
      <c r="I45">
        <v>4</v>
      </c>
      <c r="J45" t="s">
        <v>1214</v>
      </c>
      <c r="K45" t="s">
        <v>752</v>
      </c>
      <c r="L45" t="s">
        <v>1237</v>
      </c>
    </row>
    <row r="46" spans="1:12">
      <c r="A46" t="s">
        <v>40</v>
      </c>
      <c r="B46" t="s">
        <v>41</v>
      </c>
      <c r="C46" t="s">
        <v>1243</v>
      </c>
      <c r="D46" t="s">
        <v>1241</v>
      </c>
      <c r="E46" t="s">
        <v>184</v>
      </c>
      <c r="F46" t="s">
        <v>43</v>
      </c>
      <c r="G46" s="4">
        <v>38.558072049239676</v>
      </c>
      <c r="H46" s="4">
        <v>1.1396765628771333</v>
      </c>
      <c r="I46">
        <v>4</v>
      </c>
      <c r="J46" t="s">
        <v>1214</v>
      </c>
      <c r="K46" t="s">
        <v>752</v>
      </c>
      <c r="L46" t="s">
        <v>1237</v>
      </c>
    </row>
    <row r="47" spans="1:12">
      <c r="A47" t="s">
        <v>40</v>
      </c>
      <c r="B47" t="s">
        <v>41</v>
      </c>
      <c r="C47" t="s">
        <v>1243</v>
      </c>
      <c r="D47" t="s">
        <v>1241</v>
      </c>
      <c r="E47" t="s">
        <v>184</v>
      </c>
      <c r="F47" t="s">
        <v>1238</v>
      </c>
      <c r="G47" s="4">
        <v>19.658534878107652</v>
      </c>
      <c r="H47" s="4">
        <v>0.95935523775043985</v>
      </c>
      <c r="I47">
        <v>4</v>
      </c>
      <c r="J47" t="s">
        <v>1214</v>
      </c>
      <c r="K47" t="s">
        <v>752</v>
      </c>
      <c r="L47" t="s">
        <v>1237</v>
      </c>
    </row>
    <row r="48" spans="1:12">
      <c r="A48" t="s">
        <v>40</v>
      </c>
      <c r="B48" t="s">
        <v>41</v>
      </c>
      <c r="C48" t="s">
        <v>1243</v>
      </c>
      <c r="D48" t="s">
        <v>1241</v>
      </c>
      <c r="E48" t="s">
        <v>195</v>
      </c>
      <c r="F48" t="s">
        <v>43</v>
      </c>
      <c r="G48" s="4">
        <v>38.558072049239676</v>
      </c>
      <c r="H48" s="4">
        <v>1.1396765628771333</v>
      </c>
      <c r="I48">
        <v>4</v>
      </c>
      <c r="J48" t="s">
        <v>1214</v>
      </c>
      <c r="K48" t="s">
        <v>752</v>
      </c>
      <c r="L48" t="s">
        <v>1237</v>
      </c>
    </row>
    <row r="49" spans="1:12">
      <c r="A49" t="s">
        <v>40</v>
      </c>
      <c r="B49" t="s">
        <v>41</v>
      </c>
      <c r="C49" t="s">
        <v>1243</v>
      </c>
      <c r="D49" t="s">
        <v>1241</v>
      </c>
      <c r="E49" t="s">
        <v>195</v>
      </c>
      <c r="F49" t="s">
        <v>1238</v>
      </c>
      <c r="G49" s="4">
        <v>19.658534878107652</v>
      </c>
      <c r="H49" s="4">
        <v>0.95935523775043985</v>
      </c>
      <c r="I49">
        <v>4</v>
      </c>
      <c r="J49" t="s">
        <v>1214</v>
      </c>
      <c r="K49" t="s">
        <v>752</v>
      </c>
      <c r="L49" t="s">
        <v>1237</v>
      </c>
    </row>
    <row r="50" spans="1:12">
      <c r="A50" t="s">
        <v>40</v>
      </c>
      <c r="B50" t="s">
        <v>29</v>
      </c>
      <c r="C50" t="s">
        <v>1235</v>
      </c>
      <c r="D50" t="s">
        <v>1236</v>
      </c>
      <c r="E50" t="s">
        <v>184</v>
      </c>
      <c r="F50" t="s">
        <v>43</v>
      </c>
      <c r="G50" s="4">
        <v>25.499061219146217</v>
      </c>
      <c r="H50" s="4">
        <v>1.5223907592221522</v>
      </c>
      <c r="I50">
        <v>4</v>
      </c>
      <c r="J50" t="s">
        <v>1214</v>
      </c>
      <c r="K50" t="s">
        <v>752</v>
      </c>
      <c r="L50" t="s">
        <v>1237</v>
      </c>
    </row>
    <row r="51" spans="1:12">
      <c r="A51" t="s">
        <v>40</v>
      </c>
      <c r="B51" t="s">
        <v>29</v>
      </c>
      <c r="C51" t="s">
        <v>1235</v>
      </c>
      <c r="D51" t="s">
        <v>1236</v>
      </c>
      <c r="E51" t="s">
        <v>184</v>
      </c>
      <c r="F51" t="s">
        <v>1238</v>
      </c>
      <c r="G51" s="4">
        <v>14.646421414112925</v>
      </c>
      <c r="H51" s="4">
        <v>1.014927038540155</v>
      </c>
      <c r="I51">
        <v>4</v>
      </c>
      <c r="J51" t="s">
        <v>1214</v>
      </c>
      <c r="K51" t="s">
        <v>752</v>
      </c>
      <c r="L51" t="s">
        <v>1237</v>
      </c>
    </row>
    <row r="52" spans="1:12">
      <c r="A52" t="s">
        <v>40</v>
      </c>
      <c r="B52" t="s">
        <v>29</v>
      </c>
      <c r="C52" t="s">
        <v>1235</v>
      </c>
      <c r="D52" t="s">
        <v>1236</v>
      </c>
      <c r="E52" t="s">
        <v>195</v>
      </c>
      <c r="F52" t="s">
        <v>43</v>
      </c>
      <c r="G52" s="4">
        <v>26.005737822133156</v>
      </c>
      <c r="H52" s="4">
        <v>1.136089185188168</v>
      </c>
      <c r="I52">
        <v>4</v>
      </c>
      <c r="J52" t="s">
        <v>1214</v>
      </c>
      <c r="K52" t="s">
        <v>752</v>
      </c>
      <c r="L52" t="s">
        <v>1237</v>
      </c>
    </row>
    <row r="53" spans="1:12">
      <c r="A53" t="s">
        <v>40</v>
      </c>
      <c r="B53" t="s">
        <v>29</v>
      </c>
      <c r="C53" t="s">
        <v>1235</v>
      </c>
      <c r="D53" t="s">
        <v>1236</v>
      </c>
      <c r="E53" t="s">
        <v>195</v>
      </c>
      <c r="F53" t="s">
        <v>1238</v>
      </c>
      <c r="G53" s="4">
        <v>12.882493882113623</v>
      </c>
      <c r="H53" s="4">
        <v>1.1360889837762713</v>
      </c>
      <c r="I53">
        <v>4</v>
      </c>
      <c r="J53" t="s">
        <v>1214</v>
      </c>
      <c r="K53" t="s">
        <v>752</v>
      </c>
      <c r="L53" t="s">
        <v>1237</v>
      </c>
    </row>
    <row r="54" spans="1:12">
      <c r="A54" t="s">
        <v>40</v>
      </c>
      <c r="B54" t="s">
        <v>29</v>
      </c>
      <c r="C54" t="s">
        <v>1235</v>
      </c>
      <c r="D54" t="s">
        <v>1239</v>
      </c>
      <c r="E54" t="s">
        <v>184</v>
      </c>
      <c r="F54" t="s">
        <v>43</v>
      </c>
      <c r="G54" s="4">
        <v>25.499061219146217</v>
      </c>
      <c r="H54" s="4">
        <v>1.3902142015528909</v>
      </c>
      <c r="I54">
        <v>4</v>
      </c>
      <c r="J54" t="s">
        <v>1214</v>
      </c>
      <c r="K54" t="s">
        <v>752</v>
      </c>
      <c r="L54" t="s">
        <v>1237</v>
      </c>
    </row>
    <row r="55" spans="1:12">
      <c r="A55" t="s">
        <v>40</v>
      </c>
      <c r="B55" t="s">
        <v>29</v>
      </c>
      <c r="C55" t="s">
        <v>1235</v>
      </c>
      <c r="D55" t="s">
        <v>1239</v>
      </c>
      <c r="E55" t="s">
        <v>184</v>
      </c>
      <c r="F55" t="s">
        <v>1238</v>
      </c>
      <c r="G55" s="4">
        <v>15.903672343125313</v>
      </c>
      <c r="H55" s="4">
        <v>1.0149270385401665</v>
      </c>
      <c r="I55">
        <v>4</v>
      </c>
      <c r="J55" t="s">
        <v>1214</v>
      </c>
      <c r="K55" t="s">
        <v>752</v>
      </c>
      <c r="L55" t="s">
        <v>1237</v>
      </c>
    </row>
    <row r="56" spans="1:12">
      <c r="A56" t="s">
        <v>40</v>
      </c>
      <c r="B56" t="s">
        <v>29</v>
      </c>
      <c r="C56" t="s">
        <v>1235</v>
      </c>
      <c r="D56" t="s">
        <v>1239</v>
      </c>
      <c r="E56" t="s">
        <v>195</v>
      </c>
      <c r="F56" t="s">
        <v>43</v>
      </c>
      <c r="G56" s="4">
        <v>24.750060322863273</v>
      </c>
      <c r="H56" s="4">
        <v>1.1353022689050294</v>
      </c>
      <c r="I56">
        <v>4</v>
      </c>
      <c r="J56" t="s">
        <v>1214</v>
      </c>
      <c r="K56" t="s">
        <v>752</v>
      </c>
      <c r="L56" t="s">
        <v>1237</v>
      </c>
    </row>
    <row r="57" spans="1:12">
      <c r="A57" t="s">
        <v>40</v>
      </c>
      <c r="B57" t="s">
        <v>29</v>
      </c>
      <c r="C57" t="s">
        <v>1235</v>
      </c>
      <c r="D57" t="s">
        <v>1239</v>
      </c>
      <c r="E57" t="s">
        <v>195</v>
      </c>
      <c r="F57" t="s">
        <v>1238</v>
      </c>
      <c r="G57" s="4">
        <v>15.661348452653105</v>
      </c>
      <c r="H57" s="4">
        <v>1.0031257112357679</v>
      </c>
      <c r="I57">
        <v>4</v>
      </c>
      <c r="J57" t="s">
        <v>1214</v>
      </c>
      <c r="K57" t="s">
        <v>752</v>
      </c>
      <c r="L57" t="s">
        <v>1237</v>
      </c>
    </row>
    <row r="58" spans="1:12">
      <c r="A58" t="s">
        <v>40</v>
      </c>
      <c r="B58" t="s">
        <v>29</v>
      </c>
      <c r="C58" t="s">
        <v>1235</v>
      </c>
      <c r="D58" t="s">
        <v>1240</v>
      </c>
      <c r="E58" t="s">
        <v>184</v>
      </c>
      <c r="F58" t="s">
        <v>43</v>
      </c>
      <c r="G58" s="4">
        <v>28.277915789685697</v>
      </c>
      <c r="H58" s="4">
        <v>1.1360889837762713</v>
      </c>
      <c r="I58">
        <v>4</v>
      </c>
      <c r="J58" t="s">
        <v>1214</v>
      </c>
      <c r="K58" t="s">
        <v>752</v>
      </c>
      <c r="L58" t="s">
        <v>1237</v>
      </c>
    </row>
    <row r="59" spans="1:12">
      <c r="A59" t="s">
        <v>40</v>
      </c>
      <c r="B59" t="s">
        <v>29</v>
      </c>
      <c r="C59" t="s">
        <v>1235</v>
      </c>
      <c r="D59" t="s">
        <v>1240</v>
      </c>
      <c r="E59" t="s">
        <v>184</v>
      </c>
      <c r="F59" t="s">
        <v>1238</v>
      </c>
      <c r="G59" s="4">
        <v>19.697454355028768</v>
      </c>
      <c r="H59" s="4">
        <v>1.0157139548233167</v>
      </c>
      <c r="I59">
        <v>4</v>
      </c>
      <c r="J59" t="s">
        <v>1214</v>
      </c>
      <c r="K59" t="s">
        <v>752</v>
      </c>
      <c r="L59" t="s">
        <v>1237</v>
      </c>
    </row>
    <row r="60" spans="1:12">
      <c r="A60" t="s">
        <v>40</v>
      </c>
      <c r="B60" t="s">
        <v>29</v>
      </c>
      <c r="C60" t="s">
        <v>1235</v>
      </c>
      <c r="D60" t="s">
        <v>1240</v>
      </c>
      <c r="E60" t="s">
        <v>195</v>
      </c>
      <c r="F60" t="s">
        <v>43</v>
      </c>
      <c r="G60" s="4">
        <v>32.073271231331631</v>
      </c>
      <c r="H60" s="4">
        <v>1.0023389963645146</v>
      </c>
      <c r="I60">
        <v>4</v>
      </c>
      <c r="J60" t="s">
        <v>1214</v>
      </c>
      <c r="K60" t="s">
        <v>752</v>
      </c>
      <c r="L60" t="s">
        <v>1237</v>
      </c>
    </row>
    <row r="61" spans="1:12">
      <c r="A61" t="s">
        <v>40</v>
      </c>
      <c r="B61" t="s">
        <v>29</v>
      </c>
      <c r="C61" t="s">
        <v>1235</v>
      </c>
      <c r="D61" t="s">
        <v>1240</v>
      </c>
      <c r="E61" t="s">
        <v>195</v>
      </c>
      <c r="F61" t="s">
        <v>1238</v>
      </c>
      <c r="G61" s="4">
        <v>18.175850310677856</v>
      </c>
      <c r="H61" s="4">
        <v>1.0149272399520632</v>
      </c>
      <c r="I61">
        <v>4</v>
      </c>
      <c r="J61" t="s">
        <v>1214</v>
      </c>
      <c r="K61" t="s">
        <v>752</v>
      </c>
      <c r="L61" t="s">
        <v>1237</v>
      </c>
    </row>
    <row r="62" spans="1:12">
      <c r="A62" t="s">
        <v>40</v>
      </c>
      <c r="B62" t="s">
        <v>29</v>
      </c>
      <c r="C62" t="s">
        <v>1235</v>
      </c>
      <c r="D62" t="s">
        <v>1241</v>
      </c>
      <c r="E62" t="s">
        <v>184</v>
      </c>
      <c r="F62" t="s">
        <v>43</v>
      </c>
      <c r="G62" s="4">
        <v>26.248061309781569</v>
      </c>
      <c r="H62" s="4">
        <v>1.0031257112357566</v>
      </c>
      <c r="I62">
        <v>4</v>
      </c>
      <c r="J62" t="s">
        <v>1214</v>
      </c>
      <c r="K62" t="s">
        <v>752</v>
      </c>
      <c r="L62" t="s">
        <v>1237</v>
      </c>
    </row>
    <row r="63" spans="1:12">
      <c r="A63" t="s">
        <v>40</v>
      </c>
      <c r="B63" t="s">
        <v>29</v>
      </c>
      <c r="C63" t="s">
        <v>1235</v>
      </c>
      <c r="D63" t="s">
        <v>1241</v>
      </c>
      <c r="E63" t="s">
        <v>184</v>
      </c>
      <c r="F63" t="s">
        <v>1238</v>
      </c>
      <c r="G63" s="4">
        <v>17.426849817218709</v>
      </c>
      <c r="H63" s="4">
        <v>1.1360889837762713</v>
      </c>
      <c r="I63">
        <v>4</v>
      </c>
      <c r="J63" t="s">
        <v>1214</v>
      </c>
      <c r="K63" t="s">
        <v>752</v>
      </c>
      <c r="L63" t="s">
        <v>1237</v>
      </c>
    </row>
    <row r="64" spans="1:12">
      <c r="A64" t="s">
        <v>40</v>
      </c>
      <c r="B64" t="s">
        <v>29</v>
      </c>
      <c r="C64" t="s">
        <v>1235</v>
      </c>
      <c r="D64" t="s">
        <v>1241</v>
      </c>
      <c r="E64" t="s">
        <v>195</v>
      </c>
      <c r="F64" t="s">
        <v>43</v>
      </c>
      <c r="G64" s="4">
        <v>28.520239680157907</v>
      </c>
      <c r="H64" s="4">
        <v>1.1360889837762713</v>
      </c>
      <c r="I64">
        <v>4</v>
      </c>
      <c r="J64" t="s">
        <v>1214</v>
      </c>
      <c r="K64" t="s">
        <v>752</v>
      </c>
      <c r="L64" t="s">
        <v>1237</v>
      </c>
    </row>
    <row r="65" spans="1:12">
      <c r="A65" t="s">
        <v>40</v>
      </c>
      <c r="B65" t="s">
        <v>29</v>
      </c>
      <c r="C65" t="s">
        <v>1235</v>
      </c>
      <c r="D65" t="s">
        <v>1241</v>
      </c>
      <c r="E65" t="s">
        <v>195</v>
      </c>
      <c r="F65" t="s">
        <v>1238</v>
      </c>
      <c r="G65" s="4">
        <v>16.918599381665469</v>
      </c>
      <c r="H65" s="4">
        <v>1.1360889837762713</v>
      </c>
      <c r="I65">
        <v>4</v>
      </c>
      <c r="J65" t="s">
        <v>1214</v>
      </c>
      <c r="K65" t="s">
        <v>752</v>
      </c>
      <c r="L65" t="s">
        <v>1237</v>
      </c>
    </row>
    <row r="66" spans="1:12">
      <c r="A66" t="s">
        <v>40</v>
      </c>
      <c r="B66" t="s">
        <v>29</v>
      </c>
      <c r="C66" t="s">
        <v>1242</v>
      </c>
      <c r="D66" t="s">
        <v>1236</v>
      </c>
      <c r="E66" t="s">
        <v>184</v>
      </c>
      <c r="F66" t="s">
        <v>43</v>
      </c>
      <c r="G66" s="4">
        <v>25.499061219146217</v>
      </c>
      <c r="H66" s="4">
        <v>1.1360887823643744</v>
      </c>
      <c r="I66">
        <v>4</v>
      </c>
      <c r="J66" t="s">
        <v>1214</v>
      </c>
      <c r="K66" t="s">
        <v>752</v>
      </c>
      <c r="L66" t="s">
        <v>1237</v>
      </c>
    </row>
    <row r="67" spans="1:12">
      <c r="A67" t="s">
        <v>40</v>
      </c>
      <c r="B67" t="s">
        <v>29</v>
      </c>
      <c r="C67" t="s">
        <v>1242</v>
      </c>
      <c r="D67" t="s">
        <v>1236</v>
      </c>
      <c r="E67" t="s">
        <v>184</v>
      </c>
      <c r="F67" t="s">
        <v>1238</v>
      </c>
      <c r="G67" s="4">
        <v>12.882493882113623</v>
      </c>
      <c r="H67" s="4">
        <v>1.1360889837762713</v>
      </c>
      <c r="I67">
        <v>4</v>
      </c>
      <c r="J67" t="s">
        <v>1214</v>
      </c>
      <c r="K67" t="s">
        <v>752</v>
      </c>
      <c r="L67" t="s">
        <v>1237</v>
      </c>
    </row>
    <row r="68" spans="1:12">
      <c r="A68" t="s">
        <v>40</v>
      </c>
      <c r="B68" t="s">
        <v>29</v>
      </c>
      <c r="C68" t="s">
        <v>1242</v>
      </c>
      <c r="D68" t="s">
        <v>1236</v>
      </c>
      <c r="E68" t="s">
        <v>195</v>
      </c>
      <c r="F68" t="s">
        <v>43</v>
      </c>
      <c r="G68" s="4">
        <v>24.750060322863273</v>
      </c>
      <c r="H68" s="4">
        <v>1.0023389963645146</v>
      </c>
      <c r="I68">
        <v>4</v>
      </c>
      <c r="J68" t="s">
        <v>1214</v>
      </c>
      <c r="K68" t="s">
        <v>752</v>
      </c>
      <c r="L68" t="s">
        <v>1237</v>
      </c>
    </row>
    <row r="69" spans="1:12">
      <c r="A69" t="s">
        <v>40</v>
      </c>
      <c r="B69" t="s">
        <v>29</v>
      </c>
      <c r="C69" t="s">
        <v>1242</v>
      </c>
      <c r="D69" t="s">
        <v>1236</v>
      </c>
      <c r="E69" t="s">
        <v>195</v>
      </c>
      <c r="F69" t="s">
        <v>1238</v>
      </c>
      <c r="G69" s="4">
        <v>13.123243940019533</v>
      </c>
      <c r="H69" s="4">
        <v>1.0157137534114082</v>
      </c>
      <c r="I69">
        <v>4</v>
      </c>
      <c r="J69" t="s">
        <v>1214</v>
      </c>
      <c r="K69" t="s">
        <v>752</v>
      </c>
      <c r="L69" t="s">
        <v>1237</v>
      </c>
    </row>
    <row r="70" spans="1:12">
      <c r="A70" t="s">
        <v>40</v>
      </c>
      <c r="B70" t="s">
        <v>29</v>
      </c>
      <c r="C70" t="s">
        <v>1242</v>
      </c>
      <c r="D70" t="s">
        <v>1239</v>
      </c>
      <c r="E70" t="s">
        <v>184</v>
      </c>
      <c r="F70" t="s">
        <v>43</v>
      </c>
      <c r="G70" s="4">
        <v>25.739811277052148</v>
      </c>
      <c r="H70" s="4">
        <v>0.88196376599966309</v>
      </c>
      <c r="I70">
        <v>4</v>
      </c>
      <c r="J70" t="s">
        <v>1214</v>
      </c>
      <c r="K70" t="s">
        <v>752</v>
      </c>
      <c r="L70" t="s">
        <v>1237</v>
      </c>
    </row>
    <row r="71" spans="1:12">
      <c r="A71" t="s">
        <v>40</v>
      </c>
      <c r="B71" t="s">
        <v>29</v>
      </c>
      <c r="C71" t="s">
        <v>1242</v>
      </c>
      <c r="D71" t="s">
        <v>1239</v>
      </c>
      <c r="E71" t="s">
        <v>184</v>
      </c>
      <c r="F71" t="s">
        <v>1238</v>
      </c>
      <c r="G71" s="4">
        <v>13.897420920653778</v>
      </c>
      <c r="H71" s="4">
        <v>1.1360889837762713</v>
      </c>
      <c r="I71">
        <v>4</v>
      </c>
      <c r="J71" t="s">
        <v>1214</v>
      </c>
      <c r="K71" t="s">
        <v>752</v>
      </c>
      <c r="L71" t="s">
        <v>1237</v>
      </c>
    </row>
    <row r="72" spans="1:12">
      <c r="A72" t="s">
        <v>40</v>
      </c>
      <c r="B72" t="s">
        <v>29</v>
      </c>
      <c r="C72" t="s">
        <v>1242</v>
      </c>
      <c r="D72" t="s">
        <v>1239</v>
      </c>
      <c r="E72" t="s">
        <v>195</v>
      </c>
      <c r="F72" t="s">
        <v>43</v>
      </c>
      <c r="G72" s="4">
        <v>26.756311745334788</v>
      </c>
      <c r="H72" s="4">
        <v>1.1360889837762713</v>
      </c>
      <c r="I72">
        <v>4</v>
      </c>
      <c r="J72" t="s">
        <v>1214</v>
      </c>
      <c r="K72" t="s">
        <v>752</v>
      </c>
      <c r="L72" t="s">
        <v>1237</v>
      </c>
    </row>
    <row r="73" spans="1:12">
      <c r="A73" t="s">
        <v>40</v>
      </c>
      <c r="B73" t="s">
        <v>29</v>
      </c>
      <c r="C73" t="s">
        <v>1242</v>
      </c>
      <c r="D73" t="s">
        <v>1239</v>
      </c>
      <c r="E73" t="s">
        <v>195</v>
      </c>
      <c r="F73" t="s">
        <v>1238</v>
      </c>
      <c r="G73" s="4">
        <v>13.631494375572771</v>
      </c>
      <c r="H73" s="4">
        <v>1.136089185188168</v>
      </c>
      <c r="I73">
        <v>4</v>
      </c>
      <c r="J73" t="s">
        <v>1214</v>
      </c>
      <c r="K73" t="s">
        <v>752</v>
      </c>
      <c r="L73" t="s">
        <v>1237</v>
      </c>
    </row>
    <row r="74" spans="1:12">
      <c r="A74" t="s">
        <v>40</v>
      </c>
      <c r="B74" t="s">
        <v>29</v>
      </c>
      <c r="C74" t="s">
        <v>1242</v>
      </c>
      <c r="D74" t="s">
        <v>1240</v>
      </c>
      <c r="E74" t="s">
        <v>184</v>
      </c>
      <c r="F74" t="s">
        <v>43</v>
      </c>
      <c r="G74" s="4">
        <v>28.786166225238937</v>
      </c>
      <c r="H74" s="4">
        <v>1.1353022689050294</v>
      </c>
      <c r="I74">
        <v>4</v>
      </c>
      <c r="J74" t="s">
        <v>1214</v>
      </c>
      <c r="K74" t="s">
        <v>752</v>
      </c>
      <c r="L74" t="s">
        <v>1237</v>
      </c>
    </row>
    <row r="75" spans="1:12">
      <c r="A75" t="s">
        <v>40</v>
      </c>
      <c r="B75" t="s">
        <v>29</v>
      </c>
      <c r="C75" t="s">
        <v>1242</v>
      </c>
      <c r="D75" t="s">
        <v>1240</v>
      </c>
      <c r="E75" t="s">
        <v>184</v>
      </c>
      <c r="F75" t="s">
        <v>1238</v>
      </c>
      <c r="G75" s="4">
        <v>18.924850804137005</v>
      </c>
      <c r="H75" s="4">
        <v>1.1360889837762713</v>
      </c>
      <c r="I75">
        <v>4</v>
      </c>
      <c r="J75" t="s">
        <v>1214</v>
      </c>
      <c r="K75" t="s">
        <v>752</v>
      </c>
      <c r="L75" t="s">
        <v>1237</v>
      </c>
    </row>
    <row r="76" spans="1:12">
      <c r="A76" t="s">
        <v>40</v>
      </c>
      <c r="B76" t="s">
        <v>29</v>
      </c>
      <c r="C76" t="s">
        <v>1242</v>
      </c>
      <c r="D76" t="s">
        <v>1240</v>
      </c>
      <c r="E76" t="s">
        <v>195</v>
      </c>
      <c r="F76" t="s">
        <v>43</v>
      </c>
      <c r="G76" s="4">
        <v>32.314021289237544</v>
      </c>
      <c r="H76" s="4">
        <v>1.014927038540155</v>
      </c>
      <c r="I76">
        <v>4</v>
      </c>
      <c r="J76" t="s">
        <v>1214</v>
      </c>
      <c r="K76" t="s">
        <v>752</v>
      </c>
      <c r="L76" t="s">
        <v>1237</v>
      </c>
    </row>
    <row r="77" spans="1:12">
      <c r="A77" t="s">
        <v>40</v>
      </c>
      <c r="B77" t="s">
        <v>29</v>
      </c>
      <c r="C77" t="s">
        <v>1242</v>
      </c>
      <c r="D77" t="s">
        <v>1240</v>
      </c>
      <c r="E77" t="s">
        <v>195</v>
      </c>
      <c r="F77" t="s">
        <v>1238</v>
      </c>
      <c r="G77" s="4">
        <v>18.441776855758864</v>
      </c>
      <c r="H77" s="4">
        <v>1.0023387949526064</v>
      </c>
      <c r="I77">
        <v>4</v>
      </c>
      <c r="J77" t="s">
        <v>1214</v>
      </c>
      <c r="K77" t="s">
        <v>752</v>
      </c>
      <c r="L77" t="s">
        <v>1237</v>
      </c>
    </row>
    <row r="78" spans="1:12">
      <c r="A78" t="s">
        <v>40</v>
      </c>
      <c r="B78" t="s">
        <v>29</v>
      </c>
      <c r="C78" t="s">
        <v>1242</v>
      </c>
      <c r="D78" t="s">
        <v>1241</v>
      </c>
      <c r="E78" t="s">
        <v>184</v>
      </c>
      <c r="F78" t="s">
        <v>43</v>
      </c>
      <c r="G78" s="4">
        <v>26.005737822133156</v>
      </c>
      <c r="H78" s="4">
        <v>1.1353022689050294</v>
      </c>
      <c r="I78">
        <v>4</v>
      </c>
      <c r="J78" t="s">
        <v>1214</v>
      </c>
      <c r="K78" t="s">
        <v>752</v>
      </c>
      <c r="L78" t="s">
        <v>1237</v>
      </c>
    </row>
    <row r="79" spans="1:12">
      <c r="A79" t="s">
        <v>40</v>
      </c>
      <c r="B79" t="s">
        <v>29</v>
      </c>
      <c r="C79" t="s">
        <v>1242</v>
      </c>
      <c r="D79" t="s">
        <v>1241</v>
      </c>
      <c r="E79" t="s">
        <v>184</v>
      </c>
      <c r="F79" t="s">
        <v>1238</v>
      </c>
      <c r="G79" s="4">
        <v>16.918599381665469</v>
      </c>
      <c r="H79" s="4">
        <v>1.2572509290123874</v>
      </c>
      <c r="I79">
        <v>4</v>
      </c>
      <c r="J79" t="s">
        <v>1214</v>
      </c>
      <c r="K79" t="s">
        <v>752</v>
      </c>
      <c r="L79" t="s">
        <v>1237</v>
      </c>
    </row>
    <row r="80" spans="1:12">
      <c r="A80" t="s">
        <v>40</v>
      </c>
      <c r="B80" t="s">
        <v>29</v>
      </c>
      <c r="C80" t="s">
        <v>1242</v>
      </c>
      <c r="D80" t="s">
        <v>1241</v>
      </c>
      <c r="E80" t="s">
        <v>195</v>
      </c>
      <c r="F80" t="s">
        <v>43</v>
      </c>
      <c r="G80" s="4">
        <v>29.535166718698086</v>
      </c>
      <c r="H80" s="4">
        <v>1.0149272399520748</v>
      </c>
      <c r="I80">
        <v>4</v>
      </c>
      <c r="J80" t="s">
        <v>1214</v>
      </c>
      <c r="K80" t="s">
        <v>752</v>
      </c>
      <c r="L80" t="s">
        <v>1237</v>
      </c>
    </row>
    <row r="81" spans="1:12">
      <c r="A81" t="s">
        <v>40</v>
      </c>
      <c r="B81" t="s">
        <v>29</v>
      </c>
      <c r="C81" t="s">
        <v>1242</v>
      </c>
      <c r="D81" t="s">
        <v>1241</v>
      </c>
      <c r="E81" t="s">
        <v>195</v>
      </c>
      <c r="F81" t="s">
        <v>1238</v>
      </c>
      <c r="G81" s="4">
        <v>16.918599381665469</v>
      </c>
      <c r="H81" s="4">
        <v>1.1360889837762713</v>
      </c>
      <c r="I81">
        <v>4</v>
      </c>
      <c r="J81" t="s">
        <v>1214</v>
      </c>
      <c r="K81" t="s">
        <v>752</v>
      </c>
      <c r="L81" t="s">
        <v>1237</v>
      </c>
    </row>
    <row r="82" spans="1:12">
      <c r="A82" t="s">
        <v>40</v>
      </c>
      <c r="B82" t="s">
        <v>29</v>
      </c>
      <c r="C82" t="s">
        <v>1243</v>
      </c>
      <c r="D82" t="s">
        <v>1236</v>
      </c>
      <c r="E82" t="s">
        <v>184</v>
      </c>
      <c r="F82" t="s">
        <v>43</v>
      </c>
      <c r="G82" s="4">
        <v>27.52891529622655</v>
      </c>
      <c r="H82" s="4">
        <v>1.1360889837762713</v>
      </c>
      <c r="I82">
        <v>4</v>
      </c>
      <c r="J82" t="s">
        <v>1214</v>
      </c>
      <c r="K82" t="s">
        <v>752</v>
      </c>
      <c r="L82" t="s">
        <v>1237</v>
      </c>
    </row>
    <row r="83" spans="1:12">
      <c r="A83" t="s">
        <v>40</v>
      </c>
      <c r="B83" t="s">
        <v>29</v>
      </c>
      <c r="C83" t="s">
        <v>1243</v>
      </c>
      <c r="D83" t="s">
        <v>1236</v>
      </c>
      <c r="E83" t="s">
        <v>184</v>
      </c>
      <c r="F83" t="s">
        <v>1238</v>
      </c>
      <c r="G83" s="4">
        <v>13.897420920653778</v>
      </c>
      <c r="H83" s="4">
        <v>1.136089185188168</v>
      </c>
      <c r="I83">
        <v>4</v>
      </c>
      <c r="J83" t="s">
        <v>1214</v>
      </c>
      <c r="K83" t="s">
        <v>752</v>
      </c>
      <c r="L83" t="s">
        <v>1237</v>
      </c>
    </row>
    <row r="84" spans="1:12">
      <c r="A84" t="s">
        <v>40</v>
      </c>
      <c r="B84" t="s">
        <v>29</v>
      </c>
      <c r="C84" t="s">
        <v>1243</v>
      </c>
      <c r="D84" t="s">
        <v>1236</v>
      </c>
      <c r="E84" t="s">
        <v>195</v>
      </c>
      <c r="F84" t="s">
        <v>43</v>
      </c>
      <c r="G84" s="4">
        <v>25.499061219146217</v>
      </c>
      <c r="H84" s="4">
        <v>1.1360889837762713</v>
      </c>
      <c r="I84">
        <v>4</v>
      </c>
      <c r="J84" t="s">
        <v>1214</v>
      </c>
      <c r="K84" t="s">
        <v>752</v>
      </c>
      <c r="L84" t="s">
        <v>1237</v>
      </c>
    </row>
    <row r="85" spans="1:12">
      <c r="A85" t="s">
        <v>40</v>
      </c>
      <c r="B85" t="s">
        <v>29</v>
      </c>
      <c r="C85" t="s">
        <v>1243</v>
      </c>
      <c r="D85" t="s">
        <v>1236</v>
      </c>
      <c r="E85" t="s">
        <v>195</v>
      </c>
      <c r="F85" t="s">
        <v>1238</v>
      </c>
      <c r="G85" s="4">
        <v>15.395421907572075</v>
      </c>
      <c r="H85" s="4">
        <v>1.014927038540155</v>
      </c>
      <c r="I85">
        <v>4</v>
      </c>
      <c r="J85" t="s">
        <v>1214</v>
      </c>
      <c r="K85" t="s">
        <v>752</v>
      </c>
      <c r="L85" t="s">
        <v>1237</v>
      </c>
    </row>
    <row r="86" spans="1:12">
      <c r="A86" t="s">
        <v>40</v>
      </c>
      <c r="B86" t="s">
        <v>29</v>
      </c>
      <c r="C86" t="s">
        <v>1243</v>
      </c>
      <c r="D86" t="s">
        <v>1239</v>
      </c>
      <c r="E86" t="s">
        <v>184</v>
      </c>
      <c r="F86" t="s">
        <v>43</v>
      </c>
      <c r="G86" s="4">
        <v>26.248061309781569</v>
      </c>
      <c r="H86" s="4">
        <v>1.0031257112357566</v>
      </c>
      <c r="I86">
        <v>4</v>
      </c>
      <c r="J86" t="s">
        <v>1214</v>
      </c>
      <c r="K86" t="s">
        <v>752</v>
      </c>
      <c r="L86" t="s">
        <v>1237</v>
      </c>
    </row>
    <row r="87" spans="1:12">
      <c r="A87" t="s">
        <v>40</v>
      </c>
      <c r="B87" t="s">
        <v>29</v>
      </c>
      <c r="C87" t="s">
        <v>1243</v>
      </c>
      <c r="D87" t="s">
        <v>1239</v>
      </c>
      <c r="E87" t="s">
        <v>184</v>
      </c>
      <c r="F87" t="s">
        <v>1238</v>
      </c>
      <c r="G87" s="4">
        <v>12.616567337032617</v>
      </c>
      <c r="H87" s="4">
        <v>1.0031257112357679</v>
      </c>
      <c r="I87">
        <v>4</v>
      </c>
      <c r="J87" t="s">
        <v>1214</v>
      </c>
      <c r="K87" t="s">
        <v>752</v>
      </c>
      <c r="L87" t="s">
        <v>1237</v>
      </c>
    </row>
    <row r="88" spans="1:12">
      <c r="A88" t="s">
        <v>40</v>
      </c>
      <c r="B88" t="s">
        <v>29</v>
      </c>
      <c r="C88" t="s">
        <v>1243</v>
      </c>
      <c r="D88" t="s">
        <v>1239</v>
      </c>
      <c r="E88" t="s">
        <v>195</v>
      </c>
      <c r="F88" t="s">
        <v>43</v>
      </c>
      <c r="G88" s="4">
        <v>24.241810290133852</v>
      </c>
      <c r="H88" s="4">
        <v>0.88196376599966309</v>
      </c>
      <c r="I88">
        <v>4</v>
      </c>
      <c r="J88" t="s">
        <v>1214</v>
      </c>
      <c r="K88" t="s">
        <v>752</v>
      </c>
      <c r="L88" t="s">
        <v>1237</v>
      </c>
    </row>
    <row r="89" spans="1:12">
      <c r="A89" t="s">
        <v>40</v>
      </c>
      <c r="B89" t="s">
        <v>29</v>
      </c>
      <c r="C89" t="s">
        <v>1243</v>
      </c>
      <c r="D89" t="s">
        <v>1239</v>
      </c>
      <c r="E89" t="s">
        <v>195</v>
      </c>
      <c r="F89" t="s">
        <v>1238</v>
      </c>
      <c r="G89" s="4">
        <v>13.631494375572771</v>
      </c>
      <c r="H89" s="4">
        <v>1.0149272399520632</v>
      </c>
      <c r="I89">
        <v>4</v>
      </c>
      <c r="J89" t="s">
        <v>1214</v>
      </c>
      <c r="K89" t="s">
        <v>752</v>
      </c>
      <c r="L89" t="s">
        <v>1237</v>
      </c>
    </row>
    <row r="90" spans="1:12">
      <c r="A90" t="s">
        <v>40</v>
      </c>
      <c r="B90" t="s">
        <v>29</v>
      </c>
      <c r="C90" t="s">
        <v>1243</v>
      </c>
      <c r="D90" t="s">
        <v>1240</v>
      </c>
      <c r="E90" t="s">
        <v>184</v>
      </c>
      <c r="F90" t="s">
        <v>43</v>
      </c>
      <c r="G90" s="4">
        <v>31.299094250697387</v>
      </c>
      <c r="H90" s="4">
        <v>1.1360887823643744</v>
      </c>
      <c r="I90">
        <v>4</v>
      </c>
      <c r="J90" t="s">
        <v>1214</v>
      </c>
      <c r="K90" t="s">
        <v>752</v>
      </c>
      <c r="L90" t="s">
        <v>1237</v>
      </c>
    </row>
    <row r="91" spans="1:12">
      <c r="A91" t="s">
        <v>40</v>
      </c>
      <c r="B91" t="s">
        <v>29</v>
      </c>
      <c r="C91" t="s">
        <v>1243</v>
      </c>
      <c r="D91" t="s">
        <v>1240</v>
      </c>
      <c r="E91" t="s">
        <v>184</v>
      </c>
      <c r="F91" t="s">
        <v>1238</v>
      </c>
      <c r="G91" s="4">
        <v>18.441776855758864</v>
      </c>
      <c r="H91" s="4">
        <v>1.1353022689050178</v>
      </c>
      <c r="I91">
        <v>4</v>
      </c>
      <c r="J91" t="s">
        <v>1214</v>
      </c>
      <c r="K91" t="s">
        <v>752</v>
      </c>
      <c r="L91" t="s">
        <v>1237</v>
      </c>
    </row>
    <row r="92" spans="1:12">
      <c r="A92" t="s">
        <v>40</v>
      </c>
      <c r="B92" t="s">
        <v>29</v>
      </c>
      <c r="C92" t="s">
        <v>1243</v>
      </c>
      <c r="D92" t="s">
        <v>1240</v>
      </c>
      <c r="E92" t="s">
        <v>195</v>
      </c>
      <c r="F92" t="s">
        <v>43</v>
      </c>
      <c r="G92" s="4">
        <v>36.109376730883483</v>
      </c>
      <c r="H92" s="4">
        <v>1.1360887823643628</v>
      </c>
      <c r="I92">
        <v>4</v>
      </c>
      <c r="J92" t="s">
        <v>1214</v>
      </c>
      <c r="K92" t="s">
        <v>752</v>
      </c>
      <c r="L92" t="s">
        <v>1237</v>
      </c>
    </row>
    <row r="93" spans="1:12">
      <c r="A93" t="s">
        <v>40</v>
      </c>
      <c r="B93" t="s">
        <v>29</v>
      </c>
      <c r="C93" t="s">
        <v>1243</v>
      </c>
      <c r="D93" t="s">
        <v>1240</v>
      </c>
      <c r="E93" t="s">
        <v>195</v>
      </c>
      <c r="F93" t="s">
        <v>1238</v>
      </c>
      <c r="G93" s="4">
        <v>18.441776855758864</v>
      </c>
      <c r="H93" s="4">
        <v>1.0023387949526064</v>
      </c>
      <c r="I93">
        <v>4</v>
      </c>
      <c r="J93" t="s">
        <v>1214</v>
      </c>
      <c r="K93" t="s">
        <v>752</v>
      </c>
      <c r="L93" t="s">
        <v>1237</v>
      </c>
    </row>
    <row r="94" spans="1:12">
      <c r="A94" t="s">
        <v>40</v>
      </c>
      <c r="B94" t="s">
        <v>29</v>
      </c>
      <c r="C94" t="s">
        <v>1243</v>
      </c>
      <c r="D94" t="s">
        <v>1241</v>
      </c>
      <c r="E94" t="s">
        <v>184</v>
      </c>
      <c r="F94" t="s">
        <v>43</v>
      </c>
      <c r="G94" s="4">
        <v>29.026916283144846</v>
      </c>
      <c r="H94" s="4">
        <v>1.0149272399520632</v>
      </c>
      <c r="I94">
        <v>4</v>
      </c>
      <c r="J94" t="s">
        <v>1214</v>
      </c>
      <c r="K94" t="s">
        <v>752</v>
      </c>
      <c r="L94" t="s">
        <v>1237</v>
      </c>
    </row>
    <row r="95" spans="1:12">
      <c r="A95" t="s">
        <v>40</v>
      </c>
      <c r="B95" t="s">
        <v>29</v>
      </c>
      <c r="C95" t="s">
        <v>1243</v>
      </c>
      <c r="D95" t="s">
        <v>1241</v>
      </c>
      <c r="E95" t="s">
        <v>184</v>
      </c>
      <c r="F95" t="s">
        <v>1238</v>
      </c>
      <c r="G95" s="4">
        <v>15.395421907572075</v>
      </c>
      <c r="H95" s="4">
        <v>1.014927038540155</v>
      </c>
      <c r="I95">
        <v>4</v>
      </c>
      <c r="J95" t="s">
        <v>1214</v>
      </c>
      <c r="K95" t="s">
        <v>752</v>
      </c>
      <c r="L95" t="s">
        <v>1237</v>
      </c>
    </row>
    <row r="96" spans="1:12">
      <c r="A96" t="s">
        <v>40</v>
      </c>
      <c r="B96" t="s">
        <v>29</v>
      </c>
      <c r="C96" t="s">
        <v>1243</v>
      </c>
      <c r="D96" t="s">
        <v>1241</v>
      </c>
      <c r="E96" t="s">
        <v>195</v>
      </c>
      <c r="F96" t="s">
        <v>43</v>
      </c>
      <c r="G96" s="4">
        <v>32.556345179709773</v>
      </c>
      <c r="H96" s="4">
        <v>1.2690522563167745</v>
      </c>
      <c r="I96">
        <v>4</v>
      </c>
      <c r="J96" t="s">
        <v>1214</v>
      </c>
      <c r="K96" t="s">
        <v>752</v>
      </c>
      <c r="L96" t="s">
        <v>1237</v>
      </c>
    </row>
    <row r="97" spans="1:12">
      <c r="A97" t="s">
        <v>40</v>
      </c>
      <c r="B97" t="s">
        <v>29</v>
      </c>
      <c r="C97" t="s">
        <v>1243</v>
      </c>
      <c r="D97" t="s">
        <v>1241</v>
      </c>
      <c r="E97" t="s">
        <v>195</v>
      </c>
      <c r="F97" t="s">
        <v>1238</v>
      </c>
      <c r="G97" s="4">
        <v>14.646421414112925</v>
      </c>
      <c r="H97" s="4">
        <v>1.1360889837762713</v>
      </c>
      <c r="I97">
        <v>4</v>
      </c>
      <c r="J97" t="s">
        <v>1214</v>
      </c>
      <c r="K97" t="s">
        <v>752</v>
      </c>
      <c r="L97" t="s">
        <v>1237</v>
      </c>
    </row>
    <row r="98" spans="1:12">
      <c r="A98" t="s">
        <v>30</v>
      </c>
      <c r="B98" t="s">
        <v>41</v>
      </c>
      <c r="C98" t="s">
        <v>1235</v>
      </c>
      <c r="D98" t="s">
        <v>1236</v>
      </c>
      <c r="E98" t="s">
        <v>184</v>
      </c>
      <c r="F98" t="s">
        <v>43</v>
      </c>
      <c r="G98" s="4">
        <v>9.9260433152669858</v>
      </c>
      <c r="H98" s="4">
        <v>1.1158199228240644</v>
      </c>
      <c r="I98">
        <v>4</v>
      </c>
      <c r="J98" t="s">
        <v>1214</v>
      </c>
      <c r="K98" t="s">
        <v>752</v>
      </c>
      <c r="L98" t="s">
        <v>1237</v>
      </c>
    </row>
    <row r="99" spans="1:12">
      <c r="A99" t="s">
        <v>30</v>
      </c>
      <c r="B99" t="s">
        <v>41</v>
      </c>
      <c r="C99" t="s">
        <v>1235</v>
      </c>
      <c r="D99" t="s">
        <v>1236</v>
      </c>
      <c r="E99" t="s">
        <v>184</v>
      </c>
      <c r="F99" t="s">
        <v>1238</v>
      </c>
      <c r="G99" s="4">
        <v>5.2123128813447455</v>
      </c>
      <c r="H99" s="4">
        <v>0.7478737700772885</v>
      </c>
      <c r="I99">
        <v>4</v>
      </c>
      <c r="J99" t="s">
        <v>1214</v>
      </c>
      <c r="K99" t="s">
        <v>752</v>
      </c>
      <c r="L99" t="s">
        <v>1237</v>
      </c>
    </row>
    <row r="100" spans="1:12">
      <c r="A100" t="s">
        <v>30</v>
      </c>
      <c r="B100" t="s">
        <v>41</v>
      </c>
      <c r="C100" t="s">
        <v>1235</v>
      </c>
      <c r="D100" t="s">
        <v>1236</v>
      </c>
      <c r="E100" t="s">
        <v>195</v>
      </c>
      <c r="F100" t="s">
        <v>43</v>
      </c>
      <c r="G100" s="4">
        <v>9.8070018139642183</v>
      </c>
      <c r="H100" s="4">
        <v>0.37413012170050897</v>
      </c>
      <c r="I100">
        <v>4</v>
      </c>
      <c r="J100" t="s">
        <v>1214</v>
      </c>
      <c r="K100" t="s">
        <v>752</v>
      </c>
      <c r="L100" t="s">
        <v>1237</v>
      </c>
    </row>
    <row r="101" spans="1:12">
      <c r="A101" t="s">
        <v>30</v>
      </c>
      <c r="B101" t="s">
        <v>41</v>
      </c>
      <c r="C101" t="s">
        <v>1235</v>
      </c>
      <c r="D101" t="s">
        <v>1236</v>
      </c>
      <c r="E101" t="s">
        <v>195</v>
      </c>
      <c r="F101" t="s">
        <v>1238</v>
      </c>
      <c r="G101" s="4">
        <v>7.5629940304086354</v>
      </c>
      <c r="H101" s="4">
        <v>0.18397307637339078</v>
      </c>
      <c r="I101">
        <v>4</v>
      </c>
      <c r="J101" t="s">
        <v>1214</v>
      </c>
      <c r="K101" t="s">
        <v>752</v>
      </c>
      <c r="L101" t="s">
        <v>1237</v>
      </c>
    </row>
    <row r="102" spans="1:12">
      <c r="A102" t="s">
        <v>30</v>
      </c>
      <c r="B102" t="s">
        <v>41</v>
      </c>
      <c r="C102" t="s">
        <v>1235</v>
      </c>
      <c r="D102" t="s">
        <v>1239</v>
      </c>
      <c r="E102" t="s">
        <v>184</v>
      </c>
      <c r="F102" t="s">
        <v>43</v>
      </c>
      <c r="G102" s="4">
        <v>10.923208210112019</v>
      </c>
      <c r="H102" s="4">
        <v>1.1220038917777919</v>
      </c>
      <c r="I102">
        <v>4</v>
      </c>
      <c r="J102" t="s">
        <v>1214</v>
      </c>
      <c r="K102" t="s">
        <v>752</v>
      </c>
      <c r="L102" t="s">
        <v>1237</v>
      </c>
    </row>
    <row r="103" spans="1:12">
      <c r="A103" t="s">
        <v>30</v>
      </c>
      <c r="B103" t="s">
        <v>41</v>
      </c>
      <c r="C103" t="s">
        <v>1235</v>
      </c>
      <c r="D103" t="s">
        <v>1239</v>
      </c>
      <c r="E103" t="s">
        <v>184</v>
      </c>
      <c r="F103" t="s">
        <v>1238</v>
      </c>
      <c r="G103" s="4">
        <v>5.7108955266542791</v>
      </c>
      <c r="H103" s="4">
        <v>0.49858254636603039</v>
      </c>
      <c r="I103">
        <v>4</v>
      </c>
      <c r="J103" t="s">
        <v>1214</v>
      </c>
      <c r="K103" t="s">
        <v>752</v>
      </c>
      <c r="L103" t="s">
        <v>1237</v>
      </c>
    </row>
    <row r="104" spans="1:12">
      <c r="A104" t="s">
        <v>30</v>
      </c>
      <c r="B104" t="s">
        <v>41</v>
      </c>
      <c r="C104" t="s">
        <v>1235</v>
      </c>
      <c r="D104" t="s">
        <v>1239</v>
      </c>
      <c r="E104" t="s">
        <v>195</v>
      </c>
      <c r="F104" t="s">
        <v>43</v>
      </c>
      <c r="G104" s="4">
        <v>10.293989468013768</v>
      </c>
      <c r="H104" s="4">
        <v>0.12483889798925087</v>
      </c>
      <c r="I104">
        <v>4</v>
      </c>
      <c r="J104" t="s">
        <v>1214</v>
      </c>
      <c r="K104" t="s">
        <v>752</v>
      </c>
      <c r="L104" t="s">
        <v>1237</v>
      </c>
    </row>
    <row r="105" spans="1:12">
      <c r="A105" t="s">
        <v>30</v>
      </c>
      <c r="B105" t="s">
        <v>41</v>
      </c>
      <c r="C105" t="s">
        <v>1235</v>
      </c>
      <c r="D105" t="s">
        <v>1239</v>
      </c>
      <c r="E105" t="s">
        <v>195</v>
      </c>
      <c r="F105" t="s">
        <v>1238</v>
      </c>
      <c r="G105" s="4">
        <v>6.4467878321478418</v>
      </c>
      <c r="H105" s="4">
        <v>0.18435954969712015</v>
      </c>
      <c r="I105">
        <v>4</v>
      </c>
      <c r="J105" t="s">
        <v>1214</v>
      </c>
      <c r="K105" t="s">
        <v>752</v>
      </c>
      <c r="L105" t="s">
        <v>1237</v>
      </c>
    </row>
    <row r="106" spans="1:12">
      <c r="A106" t="s">
        <v>30</v>
      </c>
      <c r="B106" t="s">
        <v>41</v>
      </c>
      <c r="C106" t="s">
        <v>1235</v>
      </c>
      <c r="D106" t="s">
        <v>1240</v>
      </c>
      <c r="E106" t="s">
        <v>184</v>
      </c>
      <c r="F106" t="s">
        <v>43</v>
      </c>
      <c r="G106" s="4">
        <v>12.905943206429127</v>
      </c>
      <c r="H106" s="4">
        <v>1.1162063961477995</v>
      </c>
      <c r="I106">
        <v>4</v>
      </c>
      <c r="J106" t="s">
        <v>1214</v>
      </c>
      <c r="K106" t="s">
        <v>752</v>
      </c>
      <c r="L106" t="s">
        <v>1237</v>
      </c>
    </row>
    <row r="107" spans="1:12">
      <c r="A107" t="s">
        <v>30</v>
      </c>
      <c r="B107" t="s">
        <v>41</v>
      </c>
      <c r="C107" t="s">
        <v>1235</v>
      </c>
      <c r="D107" t="s">
        <v>1240</v>
      </c>
      <c r="E107" t="s">
        <v>184</v>
      </c>
      <c r="F107" t="s">
        <v>1238</v>
      </c>
      <c r="G107" s="4">
        <v>6.0788414815140541</v>
      </c>
      <c r="H107" s="4">
        <v>0.30881197436263602</v>
      </c>
      <c r="I107">
        <v>4</v>
      </c>
      <c r="J107" t="s">
        <v>1214</v>
      </c>
      <c r="K107" t="s">
        <v>752</v>
      </c>
      <c r="L107" t="s">
        <v>1237</v>
      </c>
    </row>
    <row r="108" spans="1:12">
      <c r="A108" t="s">
        <v>30</v>
      </c>
      <c r="B108" t="s">
        <v>41</v>
      </c>
      <c r="C108" t="s">
        <v>1235</v>
      </c>
      <c r="D108" t="s">
        <v>1240</v>
      </c>
      <c r="E108" t="s">
        <v>195</v>
      </c>
      <c r="F108" t="s">
        <v>43</v>
      </c>
      <c r="G108" s="4">
        <v>12.526402260309366</v>
      </c>
      <c r="H108" s="4">
        <v>0.12445242466552146</v>
      </c>
      <c r="I108">
        <v>4</v>
      </c>
      <c r="J108" t="s">
        <v>1214</v>
      </c>
      <c r="K108" t="s">
        <v>752</v>
      </c>
      <c r="L108" t="s">
        <v>1237</v>
      </c>
    </row>
    <row r="109" spans="1:12">
      <c r="A109" t="s">
        <v>30</v>
      </c>
      <c r="B109" t="s">
        <v>41</v>
      </c>
      <c r="C109" t="s">
        <v>1235</v>
      </c>
      <c r="D109" t="s">
        <v>1240</v>
      </c>
      <c r="E109" t="s">
        <v>195</v>
      </c>
      <c r="F109" t="s">
        <v>1238</v>
      </c>
      <c r="G109" s="4">
        <v>11.042249711414785</v>
      </c>
      <c r="H109" s="4">
        <v>0.12483889798925087</v>
      </c>
      <c r="I109">
        <v>4</v>
      </c>
      <c r="J109" t="s">
        <v>1214</v>
      </c>
      <c r="K109" t="s">
        <v>752</v>
      </c>
      <c r="L109" t="s">
        <v>1237</v>
      </c>
    </row>
    <row r="110" spans="1:12">
      <c r="A110" t="s">
        <v>30</v>
      </c>
      <c r="B110" t="s">
        <v>41</v>
      </c>
      <c r="C110" t="s">
        <v>1235</v>
      </c>
      <c r="D110" t="s">
        <v>1241</v>
      </c>
      <c r="E110" t="s">
        <v>184</v>
      </c>
      <c r="F110" t="s">
        <v>43</v>
      </c>
      <c r="G110" s="4">
        <v>11.908778311584083</v>
      </c>
      <c r="H110" s="4">
        <v>1.1162063961477995</v>
      </c>
      <c r="I110">
        <v>4</v>
      </c>
      <c r="J110" t="s">
        <v>1214</v>
      </c>
      <c r="K110" t="s">
        <v>752</v>
      </c>
      <c r="L110" t="s">
        <v>1237</v>
      </c>
    </row>
    <row r="111" spans="1:12">
      <c r="A111" t="s">
        <v>30</v>
      </c>
      <c r="B111" t="s">
        <v>41</v>
      </c>
      <c r="C111" t="s">
        <v>1235</v>
      </c>
      <c r="D111" t="s">
        <v>1241</v>
      </c>
      <c r="E111" t="s">
        <v>184</v>
      </c>
      <c r="F111" t="s">
        <v>1238</v>
      </c>
      <c r="G111" s="4">
        <v>7.0767795208935631</v>
      </c>
      <c r="H111" s="4">
        <v>0.12483889798924525</v>
      </c>
      <c r="I111">
        <v>4</v>
      </c>
      <c r="J111" t="s">
        <v>1214</v>
      </c>
      <c r="K111" t="s">
        <v>752</v>
      </c>
      <c r="L111" t="s">
        <v>1237</v>
      </c>
    </row>
    <row r="112" spans="1:12">
      <c r="A112" t="s">
        <v>30</v>
      </c>
      <c r="B112" t="s">
        <v>41</v>
      </c>
      <c r="C112" t="s">
        <v>1235</v>
      </c>
      <c r="D112" t="s">
        <v>1241</v>
      </c>
      <c r="E112" t="s">
        <v>195</v>
      </c>
      <c r="F112" t="s">
        <v>43</v>
      </c>
      <c r="G112" s="4">
        <v>11.2911543628588</v>
      </c>
      <c r="H112" s="4">
        <v>0.12483889798925087</v>
      </c>
      <c r="I112">
        <v>4</v>
      </c>
      <c r="J112" t="s">
        <v>1214</v>
      </c>
      <c r="K112" t="s">
        <v>752</v>
      </c>
      <c r="L112" t="s">
        <v>1237</v>
      </c>
    </row>
    <row r="113" spans="1:12">
      <c r="A113" t="s">
        <v>30</v>
      </c>
      <c r="B113" t="s">
        <v>41</v>
      </c>
      <c r="C113" t="s">
        <v>1235</v>
      </c>
      <c r="D113" t="s">
        <v>1241</v>
      </c>
      <c r="E113" t="s">
        <v>195</v>
      </c>
      <c r="F113" t="s">
        <v>1238</v>
      </c>
      <c r="G113" s="4">
        <v>9.8070018139642183</v>
      </c>
      <c r="H113" s="4">
        <v>0.12483889798925087</v>
      </c>
      <c r="I113">
        <v>4</v>
      </c>
      <c r="J113" t="s">
        <v>1214</v>
      </c>
      <c r="K113" t="s">
        <v>752</v>
      </c>
      <c r="L113" t="s">
        <v>1237</v>
      </c>
    </row>
    <row r="114" spans="1:12">
      <c r="A114" t="s">
        <v>30</v>
      </c>
      <c r="B114" t="s">
        <v>41</v>
      </c>
      <c r="C114" t="s">
        <v>1242</v>
      </c>
      <c r="D114" t="s">
        <v>1236</v>
      </c>
      <c r="E114" t="s">
        <v>184</v>
      </c>
      <c r="F114" t="s">
        <v>43</v>
      </c>
      <c r="G114" s="4">
        <v>10.923208210112019</v>
      </c>
      <c r="H114" s="4">
        <v>1.1220038917777919</v>
      </c>
      <c r="I114">
        <v>4</v>
      </c>
      <c r="J114" t="s">
        <v>1214</v>
      </c>
      <c r="K114" t="s">
        <v>752</v>
      </c>
      <c r="L114" t="s">
        <v>1237</v>
      </c>
    </row>
    <row r="115" spans="1:12">
      <c r="A115" t="s">
        <v>30</v>
      </c>
      <c r="B115" t="s">
        <v>41</v>
      </c>
      <c r="C115" t="s">
        <v>1242</v>
      </c>
      <c r="D115" t="s">
        <v>1236</v>
      </c>
      <c r="E115" t="s">
        <v>184</v>
      </c>
      <c r="F115" t="s">
        <v>1238</v>
      </c>
      <c r="G115" s="4">
        <v>6.4467878321478418</v>
      </c>
      <c r="H115" s="4">
        <v>0.68294209606314493</v>
      </c>
      <c r="I115">
        <v>4</v>
      </c>
      <c r="J115" t="s">
        <v>1214</v>
      </c>
      <c r="K115" t="s">
        <v>752</v>
      </c>
      <c r="L115" t="s">
        <v>1237</v>
      </c>
    </row>
    <row r="116" spans="1:12">
      <c r="A116" t="s">
        <v>30</v>
      </c>
      <c r="B116" t="s">
        <v>41</v>
      </c>
      <c r="C116" t="s">
        <v>1242</v>
      </c>
      <c r="D116" t="s">
        <v>1236</v>
      </c>
      <c r="E116" t="s">
        <v>195</v>
      </c>
      <c r="F116" t="s">
        <v>43</v>
      </c>
      <c r="G116" s="4">
        <v>12.039414606259818</v>
      </c>
      <c r="H116" s="4">
        <v>0.37413012170050897</v>
      </c>
      <c r="I116">
        <v>4</v>
      </c>
      <c r="J116" t="s">
        <v>1214</v>
      </c>
      <c r="K116" t="s">
        <v>752</v>
      </c>
      <c r="L116" t="s">
        <v>1237</v>
      </c>
    </row>
    <row r="117" spans="1:12">
      <c r="A117" t="s">
        <v>30</v>
      </c>
      <c r="B117" t="s">
        <v>41</v>
      </c>
      <c r="C117" t="s">
        <v>1242</v>
      </c>
      <c r="D117" t="s">
        <v>1236</v>
      </c>
      <c r="E117" t="s">
        <v>195</v>
      </c>
      <c r="F117" t="s">
        <v>1238</v>
      </c>
      <c r="G117" s="4">
        <v>7.3256843702246055</v>
      </c>
      <c r="H117" s="4">
        <v>0.12445232572201284</v>
      </c>
      <c r="I117">
        <v>4</v>
      </c>
      <c r="J117" t="s">
        <v>1214</v>
      </c>
      <c r="K117" t="s">
        <v>752</v>
      </c>
      <c r="L117" t="s">
        <v>1237</v>
      </c>
    </row>
    <row r="118" spans="1:12">
      <c r="A118" t="s">
        <v>30</v>
      </c>
      <c r="B118" t="s">
        <v>41</v>
      </c>
      <c r="C118" t="s">
        <v>1242</v>
      </c>
      <c r="D118" t="s">
        <v>1239</v>
      </c>
      <c r="E118" t="s">
        <v>184</v>
      </c>
      <c r="F118" t="s">
        <v>43</v>
      </c>
      <c r="G118" s="4">
        <v>11.908778311584083</v>
      </c>
      <c r="H118" s="4">
        <v>0.7478737700772885</v>
      </c>
      <c r="I118">
        <v>4</v>
      </c>
      <c r="J118" t="s">
        <v>1214</v>
      </c>
      <c r="K118" t="s">
        <v>752</v>
      </c>
      <c r="L118" t="s">
        <v>1237</v>
      </c>
    </row>
    <row r="119" spans="1:12">
      <c r="A119" t="s">
        <v>30</v>
      </c>
      <c r="B119" t="s">
        <v>41</v>
      </c>
      <c r="C119" t="s">
        <v>1242</v>
      </c>
      <c r="D119" t="s">
        <v>1239</v>
      </c>
      <c r="E119" t="s">
        <v>184</v>
      </c>
      <c r="F119" t="s">
        <v>1238</v>
      </c>
      <c r="G119" s="4">
        <v>6.9461432262178278</v>
      </c>
      <c r="H119" s="4">
        <v>0.24929132265476672</v>
      </c>
      <c r="I119">
        <v>4</v>
      </c>
      <c r="J119" t="s">
        <v>1214</v>
      </c>
      <c r="K119" t="s">
        <v>752</v>
      </c>
      <c r="L119" t="s">
        <v>1237</v>
      </c>
    </row>
    <row r="120" spans="1:12">
      <c r="A120" t="s">
        <v>30</v>
      </c>
      <c r="B120" t="s">
        <v>41</v>
      </c>
      <c r="C120" t="s">
        <v>1242</v>
      </c>
      <c r="D120" t="s">
        <v>1239</v>
      </c>
      <c r="E120" t="s">
        <v>195</v>
      </c>
      <c r="F120" t="s">
        <v>43</v>
      </c>
      <c r="G120" s="4">
        <v>12.775306911753381</v>
      </c>
      <c r="H120" s="4">
        <v>0.12483879904574223</v>
      </c>
      <c r="I120">
        <v>4</v>
      </c>
      <c r="J120" t="s">
        <v>1214</v>
      </c>
      <c r="K120" t="s">
        <v>752</v>
      </c>
      <c r="L120" t="s">
        <v>1237</v>
      </c>
    </row>
    <row r="121" spans="1:12">
      <c r="A121" t="s">
        <v>30</v>
      </c>
      <c r="B121" t="s">
        <v>41</v>
      </c>
      <c r="C121" t="s">
        <v>1242</v>
      </c>
      <c r="D121" t="s">
        <v>1239</v>
      </c>
      <c r="E121" t="s">
        <v>195</v>
      </c>
      <c r="F121" t="s">
        <v>1238</v>
      </c>
      <c r="G121" s="4">
        <v>8.0615766757181682</v>
      </c>
      <c r="H121" s="4">
        <v>0.12483889798925087</v>
      </c>
      <c r="I121">
        <v>4</v>
      </c>
      <c r="J121" t="s">
        <v>1214</v>
      </c>
      <c r="K121" t="s">
        <v>752</v>
      </c>
      <c r="L121" t="s">
        <v>1237</v>
      </c>
    </row>
    <row r="122" spans="1:12">
      <c r="A122" t="s">
        <v>30</v>
      </c>
      <c r="B122" t="s">
        <v>41</v>
      </c>
      <c r="C122" t="s">
        <v>1242</v>
      </c>
      <c r="D122" t="s">
        <v>1240</v>
      </c>
      <c r="E122" t="s">
        <v>184</v>
      </c>
      <c r="F122" t="s">
        <v>43</v>
      </c>
      <c r="G122" s="4">
        <v>14.888678400633241</v>
      </c>
      <c r="H122" s="4">
        <v>1.1162063961477995</v>
      </c>
      <c r="I122">
        <v>4</v>
      </c>
      <c r="J122" t="s">
        <v>1214</v>
      </c>
      <c r="K122" t="s">
        <v>752</v>
      </c>
      <c r="L122" t="s">
        <v>1237</v>
      </c>
    </row>
    <row r="123" spans="1:12">
      <c r="A123" t="s">
        <v>30</v>
      </c>
      <c r="B123" t="s">
        <v>41</v>
      </c>
      <c r="C123" t="s">
        <v>1242</v>
      </c>
      <c r="D123" t="s">
        <v>1240</v>
      </c>
      <c r="E123" t="s">
        <v>184</v>
      </c>
      <c r="F123" t="s">
        <v>1238</v>
      </c>
      <c r="G123" s="4">
        <v>8.1922129703939035</v>
      </c>
      <c r="H123" s="4">
        <v>0.19015704532711819</v>
      </c>
      <c r="I123">
        <v>4</v>
      </c>
      <c r="J123" t="s">
        <v>1214</v>
      </c>
      <c r="K123" t="s">
        <v>752</v>
      </c>
      <c r="L123" t="s">
        <v>1237</v>
      </c>
    </row>
    <row r="124" spans="1:12">
      <c r="A124" t="s">
        <v>30</v>
      </c>
      <c r="B124" t="s">
        <v>41</v>
      </c>
      <c r="C124" t="s">
        <v>1242</v>
      </c>
      <c r="D124" t="s">
        <v>1240</v>
      </c>
      <c r="E124" t="s">
        <v>195</v>
      </c>
      <c r="F124" t="s">
        <v>43</v>
      </c>
      <c r="G124" s="4">
        <v>16.622508547619308</v>
      </c>
      <c r="H124" s="4">
        <v>0.30881197436263602</v>
      </c>
      <c r="I124">
        <v>4</v>
      </c>
      <c r="J124" t="s">
        <v>1214</v>
      </c>
      <c r="K124" t="s">
        <v>752</v>
      </c>
      <c r="L124" t="s">
        <v>1237</v>
      </c>
    </row>
    <row r="125" spans="1:12">
      <c r="A125" t="s">
        <v>30</v>
      </c>
      <c r="B125" t="s">
        <v>41</v>
      </c>
      <c r="C125" t="s">
        <v>1242</v>
      </c>
      <c r="D125" t="s">
        <v>1240</v>
      </c>
      <c r="E125" t="s">
        <v>195</v>
      </c>
      <c r="F125" t="s">
        <v>1238</v>
      </c>
      <c r="G125" s="4">
        <v>11.2911543628588</v>
      </c>
      <c r="H125" s="4">
        <v>0.12483889798925087</v>
      </c>
      <c r="I125">
        <v>4</v>
      </c>
      <c r="J125" t="s">
        <v>1214</v>
      </c>
      <c r="K125" t="s">
        <v>752</v>
      </c>
      <c r="L125" t="s">
        <v>1237</v>
      </c>
    </row>
    <row r="126" spans="1:12">
      <c r="A126" t="s">
        <v>30</v>
      </c>
      <c r="B126" t="s">
        <v>41</v>
      </c>
      <c r="C126" t="s">
        <v>1242</v>
      </c>
      <c r="D126" t="s">
        <v>1241</v>
      </c>
      <c r="E126" t="s">
        <v>184</v>
      </c>
      <c r="F126" t="s">
        <v>43</v>
      </c>
      <c r="G126" s="4">
        <v>12.905943206429127</v>
      </c>
      <c r="H126" s="4">
        <v>0.74207627444729052</v>
      </c>
      <c r="I126">
        <v>4</v>
      </c>
      <c r="J126" t="s">
        <v>1214</v>
      </c>
      <c r="K126" t="s">
        <v>752</v>
      </c>
      <c r="L126" t="s">
        <v>1237</v>
      </c>
    </row>
    <row r="127" spans="1:12">
      <c r="A127" t="s">
        <v>30</v>
      </c>
      <c r="B127" t="s">
        <v>41</v>
      </c>
      <c r="C127" t="s">
        <v>1242</v>
      </c>
      <c r="D127" t="s">
        <v>1241</v>
      </c>
      <c r="E127" t="s">
        <v>184</v>
      </c>
      <c r="F127" t="s">
        <v>1238</v>
      </c>
      <c r="G127" s="4">
        <v>7.8126718263871258</v>
      </c>
      <c r="H127" s="4">
        <v>0.37413012170050897</v>
      </c>
      <c r="I127">
        <v>4</v>
      </c>
      <c r="J127" t="s">
        <v>1214</v>
      </c>
      <c r="K127" t="s">
        <v>752</v>
      </c>
      <c r="L127" t="s">
        <v>1237</v>
      </c>
    </row>
    <row r="128" spans="1:12">
      <c r="A128" t="s">
        <v>30</v>
      </c>
      <c r="B128" t="s">
        <v>41</v>
      </c>
      <c r="C128" t="s">
        <v>1242</v>
      </c>
      <c r="D128" t="s">
        <v>1241</v>
      </c>
      <c r="E128" t="s">
        <v>195</v>
      </c>
      <c r="F128" t="s">
        <v>43</v>
      </c>
      <c r="G128" s="4">
        <v>13.89151330790118</v>
      </c>
      <c r="H128" s="4">
        <v>0.18397307637339078</v>
      </c>
      <c r="I128">
        <v>4</v>
      </c>
      <c r="J128" t="s">
        <v>1214</v>
      </c>
      <c r="K128" t="s">
        <v>752</v>
      </c>
      <c r="L128" t="s">
        <v>1237</v>
      </c>
    </row>
    <row r="129" spans="1:12">
      <c r="A129" t="s">
        <v>30</v>
      </c>
      <c r="B129" t="s">
        <v>41</v>
      </c>
      <c r="C129" t="s">
        <v>1242</v>
      </c>
      <c r="D129" t="s">
        <v>1241</v>
      </c>
      <c r="E129" t="s">
        <v>195</v>
      </c>
      <c r="F129" t="s">
        <v>1238</v>
      </c>
      <c r="G129" s="4">
        <v>10.293989468013768</v>
      </c>
      <c r="H129" s="4">
        <v>0.12483889798925087</v>
      </c>
      <c r="I129">
        <v>4</v>
      </c>
      <c r="J129" t="s">
        <v>1214</v>
      </c>
      <c r="K129" t="s">
        <v>752</v>
      </c>
      <c r="L129" t="s">
        <v>1237</v>
      </c>
    </row>
    <row r="130" spans="1:12">
      <c r="A130" t="s">
        <v>30</v>
      </c>
      <c r="B130" t="s">
        <v>41</v>
      </c>
      <c r="C130" t="s">
        <v>1243</v>
      </c>
      <c r="D130" t="s">
        <v>1236</v>
      </c>
      <c r="E130" t="s">
        <v>184</v>
      </c>
      <c r="F130" t="s">
        <v>43</v>
      </c>
      <c r="G130" s="4">
        <v>10.923208210112019</v>
      </c>
      <c r="H130" s="4">
        <v>0.74207627444729052</v>
      </c>
      <c r="I130">
        <v>4</v>
      </c>
      <c r="J130" t="s">
        <v>1214</v>
      </c>
      <c r="K130" t="s">
        <v>752</v>
      </c>
      <c r="L130" t="s">
        <v>1237</v>
      </c>
    </row>
    <row r="131" spans="1:12">
      <c r="A131" t="s">
        <v>30</v>
      </c>
      <c r="B131" t="s">
        <v>41</v>
      </c>
      <c r="C131" t="s">
        <v>1243</v>
      </c>
      <c r="D131" t="s">
        <v>1236</v>
      </c>
      <c r="E131" t="s">
        <v>184</v>
      </c>
      <c r="F131" t="s">
        <v>1238</v>
      </c>
      <c r="G131" s="4">
        <v>6.8271017249150727</v>
      </c>
      <c r="H131" s="4">
        <v>0.12445242466552146</v>
      </c>
      <c r="I131">
        <v>4</v>
      </c>
      <c r="J131" t="s">
        <v>1214</v>
      </c>
      <c r="K131" t="s">
        <v>752</v>
      </c>
      <c r="L131" t="s">
        <v>1237</v>
      </c>
    </row>
    <row r="132" spans="1:12">
      <c r="A132" t="s">
        <v>30</v>
      </c>
      <c r="B132" t="s">
        <v>41</v>
      </c>
      <c r="C132" t="s">
        <v>1243</v>
      </c>
      <c r="D132" t="s">
        <v>1236</v>
      </c>
      <c r="E132" t="s">
        <v>195</v>
      </c>
      <c r="F132" t="s">
        <v>43</v>
      </c>
      <c r="G132" s="4">
        <v>11.2911543628588</v>
      </c>
      <c r="H132" s="4">
        <v>0.12483889798925087</v>
      </c>
      <c r="I132">
        <v>4</v>
      </c>
      <c r="J132" t="s">
        <v>1214</v>
      </c>
      <c r="K132" t="s">
        <v>752</v>
      </c>
      <c r="L132" t="s">
        <v>1237</v>
      </c>
    </row>
    <row r="133" spans="1:12">
      <c r="A133" t="s">
        <v>30</v>
      </c>
      <c r="B133" t="s">
        <v>41</v>
      </c>
      <c r="C133" t="s">
        <v>1243</v>
      </c>
      <c r="D133" t="s">
        <v>1236</v>
      </c>
      <c r="E133" t="s">
        <v>195</v>
      </c>
      <c r="F133" t="s">
        <v>1238</v>
      </c>
      <c r="G133" s="4">
        <v>8.311254273809654</v>
      </c>
      <c r="H133" s="4">
        <v>0.12483889798925087</v>
      </c>
      <c r="I133">
        <v>4</v>
      </c>
      <c r="J133" t="s">
        <v>1214</v>
      </c>
      <c r="K133" t="s">
        <v>752</v>
      </c>
      <c r="L133" t="s">
        <v>1237</v>
      </c>
    </row>
    <row r="134" spans="1:12">
      <c r="A134" t="s">
        <v>30</v>
      </c>
      <c r="B134" t="s">
        <v>41</v>
      </c>
      <c r="C134" t="s">
        <v>1243</v>
      </c>
      <c r="D134" t="s">
        <v>1239</v>
      </c>
      <c r="E134" t="s">
        <v>184</v>
      </c>
      <c r="F134" t="s">
        <v>43</v>
      </c>
      <c r="G134" s="4">
        <v>10.923208210112019</v>
      </c>
      <c r="H134" s="4">
        <v>0.74207627444729052</v>
      </c>
      <c r="I134">
        <v>4</v>
      </c>
      <c r="J134" t="s">
        <v>1214</v>
      </c>
      <c r="K134" t="s">
        <v>752</v>
      </c>
      <c r="L134" t="s">
        <v>1237</v>
      </c>
    </row>
    <row r="135" spans="1:12">
      <c r="A135" t="s">
        <v>30</v>
      </c>
      <c r="B135" t="s">
        <v>41</v>
      </c>
      <c r="C135" t="s">
        <v>1243</v>
      </c>
      <c r="D135" t="s">
        <v>1239</v>
      </c>
      <c r="E135" t="s">
        <v>184</v>
      </c>
      <c r="F135" t="s">
        <v>1238</v>
      </c>
      <c r="G135" s="4">
        <v>7.3256843702246055</v>
      </c>
      <c r="H135" s="4">
        <v>0.12445232572201284</v>
      </c>
      <c r="I135">
        <v>4</v>
      </c>
      <c r="J135" t="s">
        <v>1214</v>
      </c>
      <c r="K135" t="s">
        <v>752</v>
      </c>
      <c r="L135" t="s">
        <v>1237</v>
      </c>
    </row>
    <row r="136" spans="1:12">
      <c r="A136" t="s">
        <v>30</v>
      </c>
      <c r="B136" t="s">
        <v>41</v>
      </c>
      <c r="C136" t="s">
        <v>1243</v>
      </c>
      <c r="D136" t="s">
        <v>1239</v>
      </c>
      <c r="E136" t="s">
        <v>195</v>
      </c>
      <c r="F136" t="s">
        <v>43</v>
      </c>
      <c r="G136" s="4">
        <v>11.042249711414785</v>
      </c>
      <c r="H136" s="4">
        <v>0.12483889798925087</v>
      </c>
      <c r="I136">
        <v>4</v>
      </c>
      <c r="J136" t="s">
        <v>1214</v>
      </c>
      <c r="K136" t="s">
        <v>752</v>
      </c>
      <c r="L136" t="s">
        <v>1237</v>
      </c>
    </row>
    <row r="137" spans="1:12">
      <c r="A137" t="s">
        <v>30</v>
      </c>
      <c r="B137" t="s">
        <v>41</v>
      </c>
      <c r="C137" t="s">
        <v>1243</v>
      </c>
      <c r="D137" t="s">
        <v>1239</v>
      </c>
      <c r="E137" t="s">
        <v>195</v>
      </c>
      <c r="F137" t="s">
        <v>1238</v>
      </c>
      <c r="G137" s="4">
        <v>7.9433083189498781</v>
      </c>
      <c r="H137" s="4">
        <v>0.12483889798925087</v>
      </c>
      <c r="I137">
        <v>4</v>
      </c>
      <c r="J137" t="s">
        <v>1214</v>
      </c>
      <c r="K137" t="s">
        <v>752</v>
      </c>
      <c r="L137" t="s">
        <v>1237</v>
      </c>
    </row>
    <row r="138" spans="1:12">
      <c r="A138" t="s">
        <v>30</v>
      </c>
      <c r="B138" t="s">
        <v>41</v>
      </c>
      <c r="C138" t="s">
        <v>1243</v>
      </c>
      <c r="D138" t="s">
        <v>1240</v>
      </c>
      <c r="E138" t="s">
        <v>184</v>
      </c>
      <c r="F138" t="s">
        <v>43</v>
      </c>
      <c r="G138" s="4">
        <v>15.874248304218289</v>
      </c>
      <c r="H138" s="4">
        <v>0.74207627444729052</v>
      </c>
      <c r="I138">
        <v>4</v>
      </c>
      <c r="J138" t="s">
        <v>1214</v>
      </c>
      <c r="K138" t="s">
        <v>752</v>
      </c>
      <c r="L138" t="s">
        <v>1237</v>
      </c>
    </row>
    <row r="139" spans="1:12">
      <c r="A139" t="s">
        <v>30</v>
      </c>
      <c r="B139" t="s">
        <v>41</v>
      </c>
      <c r="C139" t="s">
        <v>1243</v>
      </c>
      <c r="D139" t="s">
        <v>1240</v>
      </c>
      <c r="E139" t="s">
        <v>184</v>
      </c>
      <c r="F139" t="s">
        <v>1238</v>
      </c>
      <c r="G139" s="4">
        <v>8.0615766757181682</v>
      </c>
      <c r="H139" s="4">
        <v>0.12483889798925087</v>
      </c>
      <c r="I139">
        <v>4</v>
      </c>
      <c r="J139" t="s">
        <v>1214</v>
      </c>
      <c r="K139" t="s">
        <v>752</v>
      </c>
      <c r="L139" t="s">
        <v>1237</v>
      </c>
    </row>
    <row r="140" spans="1:12">
      <c r="A140" t="s">
        <v>30</v>
      </c>
      <c r="B140" t="s">
        <v>41</v>
      </c>
      <c r="C140" t="s">
        <v>1243</v>
      </c>
      <c r="D140" t="s">
        <v>1240</v>
      </c>
      <c r="E140" t="s">
        <v>195</v>
      </c>
      <c r="F140" t="s">
        <v>43</v>
      </c>
      <c r="G140" s="4">
        <v>16.622508547619308</v>
      </c>
      <c r="H140" s="4">
        <v>0.30881197436263602</v>
      </c>
      <c r="I140">
        <v>4</v>
      </c>
      <c r="J140" t="s">
        <v>1214</v>
      </c>
      <c r="K140" t="s">
        <v>752</v>
      </c>
      <c r="L140" t="s">
        <v>1237</v>
      </c>
    </row>
    <row r="141" spans="1:12">
      <c r="A141" t="s">
        <v>30</v>
      </c>
      <c r="B141" t="s">
        <v>41</v>
      </c>
      <c r="C141" t="s">
        <v>1243</v>
      </c>
      <c r="D141" t="s">
        <v>1240</v>
      </c>
      <c r="E141" t="s">
        <v>195</v>
      </c>
      <c r="F141" t="s">
        <v>1238</v>
      </c>
      <c r="G141" s="4">
        <v>11.789737008168334</v>
      </c>
      <c r="H141" s="4">
        <v>0.12483889798925087</v>
      </c>
      <c r="I141">
        <v>4</v>
      </c>
      <c r="J141" t="s">
        <v>1214</v>
      </c>
      <c r="K141" t="s">
        <v>752</v>
      </c>
      <c r="L141" t="s">
        <v>1237</v>
      </c>
    </row>
    <row r="142" spans="1:12">
      <c r="A142" t="s">
        <v>30</v>
      </c>
      <c r="B142" t="s">
        <v>41</v>
      </c>
      <c r="C142" t="s">
        <v>1243</v>
      </c>
      <c r="D142" t="s">
        <v>1241</v>
      </c>
      <c r="E142" t="s">
        <v>184</v>
      </c>
      <c r="F142" t="s">
        <v>43</v>
      </c>
      <c r="G142" s="4">
        <v>12.905943206429127</v>
      </c>
      <c r="H142" s="4">
        <v>0.74207627444729052</v>
      </c>
      <c r="I142">
        <v>4</v>
      </c>
      <c r="J142" t="s">
        <v>1214</v>
      </c>
      <c r="K142" t="s">
        <v>752</v>
      </c>
      <c r="L142" t="s">
        <v>1237</v>
      </c>
    </row>
    <row r="143" spans="1:12">
      <c r="A143" t="s">
        <v>30</v>
      </c>
      <c r="B143" t="s">
        <v>41</v>
      </c>
      <c r="C143" t="s">
        <v>1243</v>
      </c>
      <c r="D143" t="s">
        <v>1241</v>
      </c>
      <c r="E143" t="s">
        <v>184</v>
      </c>
      <c r="F143" t="s">
        <v>1238</v>
      </c>
      <c r="G143" s="4">
        <v>7.6936305229713868</v>
      </c>
      <c r="H143" s="4">
        <v>5.9134178384139896E-2</v>
      </c>
      <c r="I143">
        <v>4</v>
      </c>
      <c r="J143" t="s">
        <v>1214</v>
      </c>
      <c r="K143" t="s">
        <v>752</v>
      </c>
      <c r="L143" t="s">
        <v>1237</v>
      </c>
    </row>
    <row r="144" spans="1:12">
      <c r="A144" t="s">
        <v>30</v>
      </c>
      <c r="B144" t="s">
        <v>41</v>
      </c>
      <c r="C144" t="s">
        <v>1243</v>
      </c>
      <c r="D144" t="s">
        <v>1241</v>
      </c>
      <c r="E144" t="s">
        <v>195</v>
      </c>
      <c r="F144" t="s">
        <v>43</v>
      </c>
      <c r="G144" s="4">
        <v>14.390095755323708</v>
      </c>
      <c r="H144" s="4">
        <v>0.11904140235925284</v>
      </c>
      <c r="I144">
        <v>4</v>
      </c>
      <c r="J144" t="s">
        <v>1214</v>
      </c>
      <c r="K144" t="s">
        <v>752</v>
      </c>
      <c r="L144" t="s">
        <v>1237</v>
      </c>
    </row>
    <row r="145" spans="1:12">
      <c r="A145" t="s">
        <v>30</v>
      </c>
      <c r="B145" t="s">
        <v>41</v>
      </c>
      <c r="C145" t="s">
        <v>1243</v>
      </c>
      <c r="D145" t="s">
        <v>1241</v>
      </c>
      <c r="E145" t="s">
        <v>195</v>
      </c>
      <c r="F145" t="s">
        <v>1238</v>
      </c>
      <c r="G145" s="4">
        <v>11.042249711414785</v>
      </c>
      <c r="H145" s="4">
        <v>0.12483889798925087</v>
      </c>
      <c r="I145">
        <v>4</v>
      </c>
      <c r="J145" t="s">
        <v>1214</v>
      </c>
      <c r="K145" t="s">
        <v>752</v>
      </c>
      <c r="L145" t="s">
        <v>1237</v>
      </c>
    </row>
    <row r="146" spans="1:12">
      <c r="A146" t="s">
        <v>30</v>
      </c>
      <c r="B146" t="s">
        <v>29</v>
      </c>
      <c r="C146" t="s">
        <v>1235</v>
      </c>
      <c r="D146" t="s">
        <v>1236</v>
      </c>
      <c r="E146" t="s">
        <v>184</v>
      </c>
      <c r="F146" t="s">
        <v>43</v>
      </c>
      <c r="G146" s="4">
        <v>8.9480954087874878</v>
      </c>
      <c r="H146" s="4">
        <v>1.0896483075404058</v>
      </c>
      <c r="I146">
        <v>4</v>
      </c>
      <c r="J146" t="s">
        <v>1214</v>
      </c>
      <c r="K146" t="s">
        <v>752</v>
      </c>
      <c r="L146" t="s">
        <v>1237</v>
      </c>
    </row>
    <row r="147" spans="1:12">
      <c r="A147" t="s">
        <v>30</v>
      </c>
      <c r="B147" t="s">
        <v>29</v>
      </c>
      <c r="C147" t="s">
        <v>1235</v>
      </c>
      <c r="D147" t="s">
        <v>1236</v>
      </c>
      <c r="E147" t="s">
        <v>184</v>
      </c>
      <c r="F147" t="s">
        <v>1238</v>
      </c>
      <c r="G147" s="4">
        <v>4.9607673914443398</v>
      </c>
      <c r="H147" s="4">
        <v>0.72441992745068529</v>
      </c>
      <c r="I147">
        <v>4</v>
      </c>
      <c r="J147" t="s">
        <v>1214</v>
      </c>
      <c r="K147" t="s">
        <v>752</v>
      </c>
      <c r="L147" t="s">
        <v>1237</v>
      </c>
    </row>
    <row r="148" spans="1:12">
      <c r="A148" t="s">
        <v>30</v>
      </c>
      <c r="B148" t="s">
        <v>29</v>
      </c>
      <c r="C148" t="s">
        <v>1235</v>
      </c>
      <c r="D148" t="s">
        <v>1236</v>
      </c>
      <c r="E148" t="s">
        <v>195</v>
      </c>
      <c r="F148" t="s">
        <v>43</v>
      </c>
      <c r="G148" s="4">
        <v>8.8318862821696058</v>
      </c>
      <c r="H148" s="4">
        <v>0.35919154736096481</v>
      </c>
      <c r="I148">
        <v>4</v>
      </c>
      <c r="J148" t="s">
        <v>1214</v>
      </c>
      <c r="K148" t="s">
        <v>752</v>
      </c>
      <c r="L148" t="s">
        <v>1237</v>
      </c>
    </row>
    <row r="149" spans="1:12">
      <c r="A149" t="s">
        <v>30</v>
      </c>
      <c r="B149" t="s">
        <v>29</v>
      </c>
      <c r="C149" t="s">
        <v>1235</v>
      </c>
      <c r="D149" t="s">
        <v>1236</v>
      </c>
      <c r="E149" t="s">
        <v>195</v>
      </c>
      <c r="F149" t="s">
        <v>1238</v>
      </c>
      <c r="G149" s="4">
        <v>5.5636961085234731</v>
      </c>
      <c r="H149" s="4">
        <v>0.17959577368048241</v>
      </c>
      <c r="I149">
        <v>4</v>
      </c>
      <c r="J149" t="s">
        <v>1214</v>
      </c>
      <c r="K149" t="s">
        <v>752</v>
      </c>
      <c r="L149" t="s">
        <v>1237</v>
      </c>
    </row>
    <row r="150" spans="1:12">
      <c r="A150" t="s">
        <v>30</v>
      </c>
      <c r="B150" t="s">
        <v>29</v>
      </c>
      <c r="C150" t="s">
        <v>1235</v>
      </c>
      <c r="D150" t="s">
        <v>1239</v>
      </c>
      <c r="E150" t="s">
        <v>184</v>
      </c>
      <c r="F150" t="s">
        <v>43</v>
      </c>
      <c r="G150" s="4">
        <v>10.651991543068121</v>
      </c>
      <c r="H150" s="4">
        <v>0.90401570113116769</v>
      </c>
      <c r="I150">
        <v>4</v>
      </c>
      <c r="J150" t="s">
        <v>1214</v>
      </c>
      <c r="K150" t="s">
        <v>752</v>
      </c>
      <c r="L150" t="s">
        <v>1237</v>
      </c>
    </row>
    <row r="151" spans="1:12">
      <c r="A151" t="s">
        <v>30</v>
      </c>
      <c r="B151" t="s">
        <v>29</v>
      </c>
      <c r="C151" t="s">
        <v>1235</v>
      </c>
      <c r="D151" t="s">
        <v>1239</v>
      </c>
      <c r="E151" t="s">
        <v>184</v>
      </c>
      <c r="F151" t="s">
        <v>1238</v>
      </c>
      <c r="G151" s="4">
        <v>4.7177849707012571</v>
      </c>
      <c r="H151" s="4">
        <v>0.54482415377020288</v>
      </c>
      <c r="I151">
        <v>4</v>
      </c>
      <c r="J151" t="s">
        <v>1214</v>
      </c>
      <c r="K151" t="s">
        <v>752</v>
      </c>
      <c r="L151" t="s">
        <v>1237</v>
      </c>
    </row>
    <row r="152" spans="1:12">
      <c r="A152" t="s">
        <v>30</v>
      </c>
      <c r="B152" t="s">
        <v>29</v>
      </c>
      <c r="C152" t="s">
        <v>1235</v>
      </c>
      <c r="D152" t="s">
        <v>1239</v>
      </c>
      <c r="E152" t="s">
        <v>195</v>
      </c>
      <c r="F152" t="s">
        <v>43</v>
      </c>
      <c r="G152" s="4">
        <v>9.3186060658095258</v>
      </c>
      <c r="H152" s="4">
        <v>0.12186858485908676</v>
      </c>
      <c r="I152">
        <v>4</v>
      </c>
      <c r="J152" t="s">
        <v>1214</v>
      </c>
      <c r="K152" t="s">
        <v>752</v>
      </c>
      <c r="L152" t="s">
        <v>1237</v>
      </c>
    </row>
    <row r="153" spans="1:12">
      <c r="A153" t="s">
        <v>30</v>
      </c>
      <c r="B153" t="s">
        <v>29</v>
      </c>
      <c r="C153" t="s">
        <v>1235</v>
      </c>
      <c r="D153" t="s">
        <v>1239</v>
      </c>
      <c r="E153" t="s">
        <v>195</v>
      </c>
      <c r="F153" t="s">
        <v>1238</v>
      </c>
      <c r="G153" s="4">
        <v>5.5636961085234731</v>
      </c>
      <c r="H153" s="4">
        <v>0.11583175213033106</v>
      </c>
      <c r="I153">
        <v>4</v>
      </c>
      <c r="J153" t="s">
        <v>1214</v>
      </c>
      <c r="K153" t="s">
        <v>752</v>
      </c>
      <c r="L153" t="s">
        <v>1237</v>
      </c>
    </row>
    <row r="154" spans="1:12">
      <c r="A154" t="s">
        <v>30</v>
      </c>
      <c r="B154" t="s">
        <v>29</v>
      </c>
      <c r="C154" t="s">
        <v>1235</v>
      </c>
      <c r="D154" t="s">
        <v>1240</v>
      </c>
      <c r="E154" t="s">
        <v>184</v>
      </c>
      <c r="F154" t="s">
        <v>43</v>
      </c>
      <c r="G154" s="4">
        <v>11.98462227135161</v>
      </c>
      <c r="H154" s="4">
        <v>1.0839887527098664</v>
      </c>
      <c r="I154">
        <v>4</v>
      </c>
      <c r="J154" t="s">
        <v>1214</v>
      </c>
      <c r="K154" t="s">
        <v>752</v>
      </c>
      <c r="L154" t="s">
        <v>1237</v>
      </c>
    </row>
    <row r="155" spans="1:12">
      <c r="A155" t="s">
        <v>30</v>
      </c>
      <c r="B155" t="s">
        <v>29</v>
      </c>
      <c r="C155" t="s">
        <v>1235</v>
      </c>
      <c r="D155" t="s">
        <v>1240</v>
      </c>
      <c r="E155" t="s">
        <v>184</v>
      </c>
      <c r="F155" t="s">
        <v>1238</v>
      </c>
      <c r="G155" s="4">
        <v>5.6791504861662698</v>
      </c>
      <c r="H155" s="4">
        <v>0.23770024040009441</v>
      </c>
      <c r="I155">
        <v>4</v>
      </c>
      <c r="J155" t="s">
        <v>1214</v>
      </c>
      <c r="K155" t="s">
        <v>752</v>
      </c>
      <c r="L155" t="s">
        <v>1237</v>
      </c>
    </row>
    <row r="156" spans="1:12">
      <c r="A156" t="s">
        <v>30</v>
      </c>
      <c r="B156" t="s">
        <v>29</v>
      </c>
      <c r="C156" t="s">
        <v>1235</v>
      </c>
      <c r="D156" t="s">
        <v>1240</v>
      </c>
      <c r="E156" t="s">
        <v>195</v>
      </c>
      <c r="F156" t="s">
        <v>43</v>
      </c>
      <c r="G156" s="4">
        <v>11.614111614329572</v>
      </c>
      <c r="H156" s="4">
        <v>0.18563260640923812</v>
      </c>
      <c r="I156">
        <v>4</v>
      </c>
      <c r="J156" t="s">
        <v>1214</v>
      </c>
      <c r="K156" t="s">
        <v>752</v>
      </c>
      <c r="L156" t="s">
        <v>1237</v>
      </c>
    </row>
    <row r="157" spans="1:12">
      <c r="A157" t="s">
        <v>30</v>
      </c>
      <c r="B157" t="s">
        <v>29</v>
      </c>
      <c r="C157" t="s">
        <v>1235</v>
      </c>
      <c r="D157" t="s">
        <v>1240</v>
      </c>
      <c r="E157" t="s">
        <v>195</v>
      </c>
      <c r="F157" t="s">
        <v>1238</v>
      </c>
      <c r="G157" s="4">
        <v>6.6533444160638782</v>
      </c>
      <c r="H157" s="4">
        <v>0.17959577368048241</v>
      </c>
      <c r="I157">
        <v>4</v>
      </c>
      <c r="J157" t="s">
        <v>1214</v>
      </c>
      <c r="K157" t="s">
        <v>752</v>
      </c>
      <c r="L157" t="s">
        <v>1237</v>
      </c>
    </row>
    <row r="158" spans="1:12">
      <c r="A158" t="s">
        <v>30</v>
      </c>
      <c r="B158" t="s">
        <v>29</v>
      </c>
      <c r="C158" t="s">
        <v>1235</v>
      </c>
      <c r="D158" t="s">
        <v>1241</v>
      </c>
      <c r="E158" t="s">
        <v>184</v>
      </c>
      <c r="F158" t="s">
        <v>43</v>
      </c>
      <c r="G158" s="4">
        <v>11.011182897250416</v>
      </c>
      <c r="H158" s="4">
        <v>1.0896483075404031</v>
      </c>
      <c r="I158">
        <v>4</v>
      </c>
      <c r="J158" t="s">
        <v>1214</v>
      </c>
      <c r="K158" t="s">
        <v>752</v>
      </c>
      <c r="L158" t="s">
        <v>1237</v>
      </c>
    </row>
    <row r="159" spans="1:12">
      <c r="A159" t="s">
        <v>30</v>
      </c>
      <c r="B159" t="s">
        <v>29</v>
      </c>
      <c r="C159" t="s">
        <v>1235</v>
      </c>
      <c r="D159" t="s">
        <v>1241</v>
      </c>
      <c r="E159" t="s">
        <v>184</v>
      </c>
      <c r="F159" t="s">
        <v>1238</v>
      </c>
      <c r="G159" s="4">
        <v>5.3199589388053043</v>
      </c>
      <c r="H159" s="4">
        <v>0.12149130696087039</v>
      </c>
      <c r="I159">
        <v>4</v>
      </c>
      <c r="J159" t="s">
        <v>1214</v>
      </c>
      <c r="K159" t="s">
        <v>752</v>
      </c>
      <c r="L159" t="s">
        <v>1237</v>
      </c>
    </row>
    <row r="160" spans="1:12">
      <c r="A160" t="s">
        <v>30</v>
      </c>
      <c r="B160" t="s">
        <v>29</v>
      </c>
      <c r="C160" t="s">
        <v>1235</v>
      </c>
      <c r="D160" t="s">
        <v>1241</v>
      </c>
      <c r="E160" t="s">
        <v>195</v>
      </c>
      <c r="F160" t="s">
        <v>43</v>
      </c>
      <c r="G160" s="4">
        <v>10.280726137070976</v>
      </c>
      <c r="H160" s="4">
        <v>0.12149121037154698</v>
      </c>
      <c r="I160">
        <v>4</v>
      </c>
      <c r="J160" t="s">
        <v>1214</v>
      </c>
      <c r="K160" t="s">
        <v>752</v>
      </c>
      <c r="L160" t="s">
        <v>1237</v>
      </c>
    </row>
    <row r="161" spans="1:12">
      <c r="A161" t="s">
        <v>30</v>
      </c>
      <c r="B161" t="s">
        <v>29</v>
      </c>
      <c r="C161" t="s">
        <v>1235</v>
      </c>
      <c r="D161" t="s">
        <v>1241</v>
      </c>
      <c r="E161" t="s">
        <v>195</v>
      </c>
      <c r="F161" t="s">
        <v>1238</v>
      </c>
      <c r="G161" s="4">
        <v>6.1666248256026277</v>
      </c>
      <c r="H161" s="4">
        <v>0.17959577368048241</v>
      </c>
      <c r="I161">
        <v>4</v>
      </c>
      <c r="J161" t="s">
        <v>1214</v>
      </c>
      <c r="K161" t="s">
        <v>752</v>
      </c>
      <c r="L161" t="s">
        <v>1237</v>
      </c>
    </row>
    <row r="162" spans="1:12">
      <c r="A162" t="s">
        <v>30</v>
      </c>
      <c r="B162" t="s">
        <v>29</v>
      </c>
      <c r="C162" t="s">
        <v>1242</v>
      </c>
      <c r="D162" t="s">
        <v>1236</v>
      </c>
      <c r="E162" t="s">
        <v>184</v>
      </c>
      <c r="F162" t="s">
        <v>43</v>
      </c>
      <c r="G162" s="4">
        <v>9.9215347828886795</v>
      </c>
      <c r="H162" s="4">
        <v>1.0896483075404058</v>
      </c>
      <c r="I162">
        <v>4</v>
      </c>
      <c r="J162" t="s">
        <v>1214</v>
      </c>
      <c r="K162" t="s">
        <v>752</v>
      </c>
      <c r="L162" t="s">
        <v>1237</v>
      </c>
    </row>
    <row r="163" spans="1:12">
      <c r="A163" t="s">
        <v>30</v>
      </c>
      <c r="B163" t="s">
        <v>29</v>
      </c>
      <c r="C163" t="s">
        <v>1242</v>
      </c>
      <c r="D163" t="s">
        <v>1236</v>
      </c>
      <c r="E163" t="s">
        <v>184</v>
      </c>
      <c r="F163" t="s">
        <v>1238</v>
      </c>
      <c r="G163" s="4">
        <v>4.8332393483440317</v>
      </c>
      <c r="H163" s="4">
        <v>0.42333284680933253</v>
      </c>
      <c r="I163">
        <v>4</v>
      </c>
      <c r="J163" t="s">
        <v>1214</v>
      </c>
      <c r="K163" t="s">
        <v>752</v>
      </c>
      <c r="L163" t="s">
        <v>1237</v>
      </c>
    </row>
    <row r="164" spans="1:12">
      <c r="A164" t="s">
        <v>30</v>
      </c>
      <c r="B164" t="s">
        <v>29</v>
      </c>
      <c r="C164" t="s">
        <v>1242</v>
      </c>
      <c r="D164" t="s">
        <v>1236</v>
      </c>
      <c r="E164" t="s">
        <v>195</v>
      </c>
      <c r="F164" t="s">
        <v>43</v>
      </c>
      <c r="G164" s="4">
        <v>10.894973963811204</v>
      </c>
      <c r="H164" s="4">
        <v>0.30146435853956915</v>
      </c>
      <c r="I164">
        <v>4</v>
      </c>
      <c r="J164" t="s">
        <v>1214</v>
      </c>
      <c r="K164" t="s">
        <v>752</v>
      </c>
      <c r="L164" t="s">
        <v>1237</v>
      </c>
    </row>
    <row r="165" spans="1:12">
      <c r="A165" t="s">
        <v>30</v>
      </c>
      <c r="B165" t="s">
        <v>29</v>
      </c>
      <c r="C165" t="s">
        <v>1242</v>
      </c>
      <c r="D165" t="s">
        <v>1236</v>
      </c>
      <c r="E165" t="s">
        <v>195</v>
      </c>
      <c r="F165" t="s">
        <v>1238</v>
      </c>
      <c r="G165" s="4">
        <v>5.3199589388053043</v>
      </c>
      <c r="H165" s="4">
        <v>0.12149130696087039</v>
      </c>
      <c r="I165">
        <v>4</v>
      </c>
      <c r="J165" t="s">
        <v>1214</v>
      </c>
      <c r="K165" t="s">
        <v>752</v>
      </c>
      <c r="L165" t="s">
        <v>1237</v>
      </c>
    </row>
    <row r="166" spans="1:12">
      <c r="A166" t="s">
        <v>30</v>
      </c>
      <c r="B166" t="s">
        <v>29</v>
      </c>
      <c r="C166" t="s">
        <v>1242</v>
      </c>
      <c r="D166" t="s">
        <v>1239</v>
      </c>
      <c r="E166" t="s">
        <v>184</v>
      </c>
      <c r="F166" t="s">
        <v>43</v>
      </c>
      <c r="G166" s="4">
        <v>10.894973963811204</v>
      </c>
      <c r="H166" s="4">
        <v>0.72441992745068529</v>
      </c>
      <c r="I166">
        <v>4</v>
      </c>
      <c r="J166" t="s">
        <v>1214</v>
      </c>
      <c r="K166" t="s">
        <v>752</v>
      </c>
      <c r="L166" t="s">
        <v>1237</v>
      </c>
    </row>
    <row r="167" spans="1:12">
      <c r="A167" t="s">
        <v>30</v>
      </c>
      <c r="B167" t="s">
        <v>29</v>
      </c>
      <c r="C167" t="s">
        <v>1242</v>
      </c>
      <c r="D167" t="s">
        <v>1239</v>
      </c>
      <c r="E167" t="s">
        <v>184</v>
      </c>
      <c r="F167" t="s">
        <v>1238</v>
      </c>
      <c r="G167" s="4">
        <v>4.4740478009830671</v>
      </c>
      <c r="H167" s="4">
        <v>0.17959577368048241</v>
      </c>
      <c r="I167">
        <v>4</v>
      </c>
      <c r="J167" t="s">
        <v>1214</v>
      </c>
      <c r="K167" t="s">
        <v>752</v>
      </c>
      <c r="L167" t="s">
        <v>1237</v>
      </c>
    </row>
    <row r="168" spans="1:12">
      <c r="A168" t="s">
        <v>30</v>
      </c>
      <c r="B168" t="s">
        <v>29</v>
      </c>
      <c r="C168" t="s">
        <v>1242</v>
      </c>
      <c r="D168" t="s">
        <v>1239</v>
      </c>
      <c r="E168" t="s">
        <v>195</v>
      </c>
      <c r="F168" t="s">
        <v>43</v>
      </c>
      <c r="G168" s="4">
        <v>11.98462227135161</v>
      </c>
      <c r="H168" s="4">
        <v>0.17959587026980581</v>
      </c>
      <c r="I168">
        <v>4</v>
      </c>
      <c r="J168" t="s">
        <v>1214</v>
      </c>
      <c r="K168" t="s">
        <v>752</v>
      </c>
      <c r="L168" t="s">
        <v>1237</v>
      </c>
    </row>
    <row r="169" spans="1:12">
      <c r="A169" t="s">
        <v>30</v>
      </c>
      <c r="B169" t="s">
        <v>29</v>
      </c>
      <c r="C169" t="s">
        <v>1242</v>
      </c>
      <c r="D169" t="s">
        <v>1239</v>
      </c>
      <c r="E169" t="s">
        <v>195</v>
      </c>
      <c r="F169" t="s">
        <v>1238</v>
      </c>
      <c r="G169" s="4">
        <v>5.2045045611625076</v>
      </c>
      <c r="H169" s="4">
        <v>0.18525532851102172</v>
      </c>
      <c r="I169">
        <v>4</v>
      </c>
      <c r="J169" t="s">
        <v>1214</v>
      </c>
      <c r="K169" t="s">
        <v>752</v>
      </c>
      <c r="L169" t="s">
        <v>1237</v>
      </c>
    </row>
    <row r="170" spans="1:12">
      <c r="A170" t="s">
        <v>30</v>
      </c>
      <c r="B170" t="s">
        <v>29</v>
      </c>
      <c r="C170" t="s">
        <v>1242</v>
      </c>
      <c r="D170" t="s">
        <v>1240</v>
      </c>
      <c r="E170" t="s">
        <v>184</v>
      </c>
      <c r="F170" t="s">
        <v>43</v>
      </c>
      <c r="G170" s="4">
        <v>13.920181716714254</v>
      </c>
      <c r="H170" s="4">
        <v>1.0896483075404058</v>
      </c>
      <c r="I170">
        <v>4</v>
      </c>
      <c r="J170" t="s">
        <v>1214</v>
      </c>
      <c r="K170" t="s">
        <v>752</v>
      </c>
      <c r="L170" t="s">
        <v>1237</v>
      </c>
    </row>
    <row r="171" spans="1:12">
      <c r="A171" t="s">
        <v>30</v>
      </c>
      <c r="B171" t="s">
        <v>29</v>
      </c>
      <c r="C171" t="s">
        <v>1242</v>
      </c>
      <c r="D171" t="s">
        <v>1240</v>
      </c>
      <c r="E171" t="s">
        <v>184</v>
      </c>
      <c r="F171" t="s">
        <v>1238</v>
      </c>
      <c r="G171" s="4">
        <v>6.4096072463457103</v>
      </c>
      <c r="H171" s="4">
        <v>5.8104563308935424E-2</v>
      </c>
      <c r="I171">
        <v>4</v>
      </c>
      <c r="J171" t="s">
        <v>1214</v>
      </c>
      <c r="K171" t="s">
        <v>752</v>
      </c>
      <c r="L171" t="s">
        <v>1237</v>
      </c>
    </row>
    <row r="172" spans="1:12">
      <c r="A172" t="s">
        <v>30</v>
      </c>
      <c r="B172" t="s">
        <v>29</v>
      </c>
      <c r="C172" t="s">
        <v>1242</v>
      </c>
      <c r="D172" t="s">
        <v>1240</v>
      </c>
      <c r="E172" t="s">
        <v>195</v>
      </c>
      <c r="F172" t="s">
        <v>43</v>
      </c>
      <c r="G172" s="4">
        <v>15.971950288694757</v>
      </c>
      <c r="H172" s="4">
        <v>0.30146435853957193</v>
      </c>
      <c r="I172">
        <v>4</v>
      </c>
      <c r="J172" t="s">
        <v>1214</v>
      </c>
      <c r="K172" t="s">
        <v>752</v>
      </c>
      <c r="L172" t="s">
        <v>1237</v>
      </c>
    </row>
    <row r="173" spans="1:12">
      <c r="A173" t="s">
        <v>30</v>
      </c>
      <c r="B173" t="s">
        <v>29</v>
      </c>
      <c r="C173" t="s">
        <v>1242</v>
      </c>
      <c r="D173" t="s">
        <v>1240</v>
      </c>
      <c r="E173" t="s">
        <v>195</v>
      </c>
      <c r="F173" t="s">
        <v>1238</v>
      </c>
      <c r="G173" s="4">
        <v>6.2933983129064979</v>
      </c>
      <c r="H173" s="4">
        <v>0.12186858485908676</v>
      </c>
      <c r="I173">
        <v>4</v>
      </c>
      <c r="J173" t="s">
        <v>1214</v>
      </c>
      <c r="K173" t="s">
        <v>752</v>
      </c>
      <c r="L173" t="s">
        <v>1237</v>
      </c>
    </row>
    <row r="174" spans="1:12">
      <c r="A174" t="s">
        <v>30</v>
      </c>
      <c r="B174" t="s">
        <v>29</v>
      </c>
      <c r="C174" t="s">
        <v>1242</v>
      </c>
      <c r="D174" t="s">
        <v>1241</v>
      </c>
      <c r="E174" t="s">
        <v>184</v>
      </c>
      <c r="F174" t="s">
        <v>43</v>
      </c>
      <c r="G174" s="4">
        <v>11.857094228251301</v>
      </c>
      <c r="H174" s="4">
        <v>0.78818394900083666</v>
      </c>
      <c r="I174">
        <v>4</v>
      </c>
      <c r="J174" t="s">
        <v>1214</v>
      </c>
      <c r="K174" t="s">
        <v>752</v>
      </c>
      <c r="L174" t="s">
        <v>1237</v>
      </c>
    </row>
    <row r="175" spans="1:12">
      <c r="A175" t="s">
        <v>30</v>
      </c>
      <c r="B175" t="s">
        <v>29</v>
      </c>
      <c r="C175" t="s">
        <v>1242</v>
      </c>
      <c r="D175" t="s">
        <v>1241</v>
      </c>
      <c r="E175" t="s">
        <v>184</v>
      </c>
      <c r="F175" t="s">
        <v>1238</v>
      </c>
      <c r="G175" s="4">
        <v>5.8066785292665779</v>
      </c>
      <c r="H175" s="4">
        <v>0.35919154736096481</v>
      </c>
      <c r="I175">
        <v>4</v>
      </c>
      <c r="J175" t="s">
        <v>1214</v>
      </c>
      <c r="K175" t="s">
        <v>752</v>
      </c>
      <c r="L175" t="s">
        <v>1237</v>
      </c>
    </row>
    <row r="176" spans="1:12">
      <c r="A176" t="s">
        <v>30</v>
      </c>
      <c r="B176" t="s">
        <v>29</v>
      </c>
      <c r="C176" t="s">
        <v>1242</v>
      </c>
      <c r="D176" t="s">
        <v>1241</v>
      </c>
      <c r="E176" t="s">
        <v>195</v>
      </c>
      <c r="F176" t="s">
        <v>43</v>
      </c>
      <c r="G176" s="4">
        <v>12.946742535791707</v>
      </c>
      <c r="H176" s="4">
        <v>0.17997305157869603</v>
      </c>
      <c r="I176">
        <v>4</v>
      </c>
      <c r="J176" t="s">
        <v>1214</v>
      </c>
      <c r="K176" t="s">
        <v>752</v>
      </c>
      <c r="L176" t="s">
        <v>1237</v>
      </c>
    </row>
    <row r="177" spans="1:12">
      <c r="A177" t="s">
        <v>30</v>
      </c>
      <c r="B177" t="s">
        <v>29</v>
      </c>
      <c r="C177" t="s">
        <v>1242</v>
      </c>
      <c r="D177" t="s">
        <v>1241</v>
      </c>
      <c r="E177" t="s">
        <v>195</v>
      </c>
      <c r="F177" t="s">
        <v>1238</v>
      </c>
      <c r="G177" s="4">
        <v>6.2933983129064979</v>
      </c>
      <c r="H177" s="4">
        <v>0.18563260640923812</v>
      </c>
      <c r="I177">
        <v>4</v>
      </c>
      <c r="J177" t="s">
        <v>1214</v>
      </c>
      <c r="K177" t="s">
        <v>752</v>
      </c>
      <c r="L177" t="s">
        <v>1237</v>
      </c>
    </row>
    <row r="178" spans="1:12">
      <c r="A178" t="s">
        <v>30</v>
      </c>
      <c r="B178" t="s">
        <v>29</v>
      </c>
      <c r="C178" t="s">
        <v>1243</v>
      </c>
      <c r="D178" t="s">
        <v>1236</v>
      </c>
      <c r="E178" t="s">
        <v>184</v>
      </c>
      <c r="F178" t="s">
        <v>43</v>
      </c>
      <c r="G178" s="4">
        <v>10.037743716327892</v>
      </c>
      <c r="H178" s="4">
        <v>0.78818404559016009</v>
      </c>
      <c r="I178">
        <v>4</v>
      </c>
      <c r="J178" t="s">
        <v>1214</v>
      </c>
      <c r="K178" t="s">
        <v>752</v>
      </c>
      <c r="L178" t="s">
        <v>1237</v>
      </c>
    </row>
    <row r="179" spans="1:12">
      <c r="A179" t="s">
        <v>30</v>
      </c>
      <c r="B179" t="s">
        <v>29</v>
      </c>
      <c r="C179" t="s">
        <v>1243</v>
      </c>
      <c r="D179" t="s">
        <v>1236</v>
      </c>
      <c r="E179" t="s">
        <v>184</v>
      </c>
      <c r="F179" t="s">
        <v>1238</v>
      </c>
      <c r="G179" s="4">
        <v>4.8332393483440317</v>
      </c>
      <c r="H179" s="4">
        <v>0.17997305157869878</v>
      </c>
      <c r="I179">
        <v>4</v>
      </c>
      <c r="J179" t="s">
        <v>1214</v>
      </c>
      <c r="K179" t="s">
        <v>752</v>
      </c>
      <c r="L179" t="s">
        <v>1237</v>
      </c>
    </row>
    <row r="180" spans="1:12">
      <c r="A180" t="s">
        <v>30</v>
      </c>
      <c r="B180" t="s">
        <v>29</v>
      </c>
      <c r="C180" t="s">
        <v>1243</v>
      </c>
      <c r="D180" t="s">
        <v>1236</v>
      </c>
      <c r="E180" t="s">
        <v>195</v>
      </c>
      <c r="F180" t="s">
        <v>43</v>
      </c>
      <c r="G180" s="4">
        <v>10.280726137070976</v>
      </c>
      <c r="H180" s="4">
        <v>0.17959577368048241</v>
      </c>
      <c r="I180">
        <v>4</v>
      </c>
      <c r="J180" t="s">
        <v>1214</v>
      </c>
      <c r="K180" t="s">
        <v>752</v>
      </c>
      <c r="L180" t="s">
        <v>1237</v>
      </c>
    </row>
    <row r="181" spans="1:12">
      <c r="A181" t="s">
        <v>30</v>
      </c>
      <c r="B181" t="s">
        <v>29</v>
      </c>
      <c r="C181" t="s">
        <v>1243</v>
      </c>
      <c r="D181" t="s">
        <v>1236</v>
      </c>
      <c r="E181" t="s">
        <v>195</v>
      </c>
      <c r="F181" t="s">
        <v>1238</v>
      </c>
      <c r="G181" s="4">
        <v>5.4474869819056124</v>
      </c>
      <c r="H181" s="4">
        <v>0.12186858485908676</v>
      </c>
      <c r="I181">
        <v>4</v>
      </c>
      <c r="J181" t="s">
        <v>1214</v>
      </c>
      <c r="K181" t="s">
        <v>752</v>
      </c>
      <c r="L181" t="s">
        <v>1237</v>
      </c>
    </row>
    <row r="182" spans="1:12">
      <c r="A182" t="s">
        <v>30</v>
      </c>
      <c r="B182" t="s">
        <v>29</v>
      </c>
      <c r="C182" t="s">
        <v>1243</v>
      </c>
      <c r="D182" t="s">
        <v>1239</v>
      </c>
      <c r="E182" t="s">
        <v>184</v>
      </c>
      <c r="F182" t="s">
        <v>43</v>
      </c>
      <c r="G182" s="4">
        <v>10.037743716327892</v>
      </c>
      <c r="H182" s="4">
        <v>0.85194806714031146</v>
      </c>
      <c r="I182">
        <v>4</v>
      </c>
      <c r="J182" t="s">
        <v>1214</v>
      </c>
      <c r="K182" t="s">
        <v>752</v>
      </c>
      <c r="L182" t="s">
        <v>1237</v>
      </c>
    </row>
    <row r="183" spans="1:12">
      <c r="A183" t="s">
        <v>30</v>
      </c>
      <c r="B183" t="s">
        <v>29</v>
      </c>
      <c r="C183" t="s">
        <v>1243</v>
      </c>
      <c r="D183" t="s">
        <v>1239</v>
      </c>
      <c r="E183" t="s">
        <v>184</v>
      </c>
      <c r="F183" t="s">
        <v>1238</v>
      </c>
      <c r="G183" s="4">
        <v>4.5902567344223018</v>
      </c>
      <c r="H183" s="4">
        <v>0.12149130696087039</v>
      </c>
      <c r="I183">
        <v>4</v>
      </c>
      <c r="J183" t="s">
        <v>1214</v>
      </c>
      <c r="K183" t="s">
        <v>752</v>
      </c>
      <c r="L183" t="s">
        <v>1237</v>
      </c>
    </row>
    <row r="184" spans="1:12">
      <c r="A184" t="s">
        <v>30</v>
      </c>
      <c r="B184" t="s">
        <v>29</v>
      </c>
      <c r="C184" t="s">
        <v>1243</v>
      </c>
      <c r="D184" t="s">
        <v>1239</v>
      </c>
      <c r="E184" t="s">
        <v>195</v>
      </c>
      <c r="F184" t="s">
        <v>43</v>
      </c>
      <c r="G184" s="4">
        <v>10.037743716327892</v>
      </c>
      <c r="H184" s="4">
        <v>0.17959577368048241</v>
      </c>
      <c r="I184">
        <v>4</v>
      </c>
      <c r="J184" t="s">
        <v>1214</v>
      </c>
      <c r="K184" t="s">
        <v>752</v>
      </c>
      <c r="L184" t="s">
        <v>1237</v>
      </c>
    </row>
    <row r="185" spans="1:12">
      <c r="A185" t="s">
        <v>30</v>
      </c>
      <c r="B185" t="s">
        <v>29</v>
      </c>
      <c r="C185" t="s">
        <v>1243</v>
      </c>
      <c r="D185" t="s">
        <v>1239</v>
      </c>
      <c r="E185" t="s">
        <v>195</v>
      </c>
      <c r="F185" t="s">
        <v>1238</v>
      </c>
      <c r="G185" s="4">
        <v>5.9228876558844377</v>
      </c>
      <c r="H185" s="4">
        <v>0.12186858485908676</v>
      </c>
      <c r="I185">
        <v>4</v>
      </c>
      <c r="J185" t="s">
        <v>1214</v>
      </c>
      <c r="K185" t="s">
        <v>752</v>
      </c>
      <c r="L185" t="s">
        <v>1237</v>
      </c>
    </row>
    <row r="186" spans="1:12">
      <c r="A186" t="s">
        <v>30</v>
      </c>
      <c r="B186" t="s">
        <v>29</v>
      </c>
      <c r="C186" t="s">
        <v>1243</v>
      </c>
      <c r="D186" t="s">
        <v>1240</v>
      </c>
      <c r="E186" t="s">
        <v>184</v>
      </c>
      <c r="F186" t="s">
        <v>43</v>
      </c>
      <c r="G186" s="4">
        <v>14.882301981154351</v>
      </c>
      <c r="H186" s="4">
        <v>0.73007948228122743</v>
      </c>
      <c r="I186">
        <v>4</v>
      </c>
      <c r="J186" t="s">
        <v>1214</v>
      </c>
      <c r="K186" t="s">
        <v>752</v>
      </c>
      <c r="L186" t="s">
        <v>1237</v>
      </c>
    </row>
    <row r="187" spans="1:12">
      <c r="A187" t="s">
        <v>30</v>
      </c>
      <c r="B187" t="s">
        <v>29</v>
      </c>
      <c r="C187" t="s">
        <v>1243</v>
      </c>
      <c r="D187" t="s">
        <v>1240</v>
      </c>
      <c r="E187" t="s">
        <v>184</v>
      </c>
      <c r="F187" t="s">
        <v>1238</v>
      </c>
      <c r="G187" s="4">
        <v>6.5371352894460184</v>
      </c>
      <c r="H187" s="4">
        <v>0.17959577368048241</v>
      </c>
      <c r="I187">
        <v>4</v>
      </c>
      <c r="J187" t="s">
        <v>1214</v>
      </c>
      <c r="K187" t="s">
        <v>752</v>
      </c>
      <c r="L187" t="s">
        <v>1237</v>
      </c>
    </row>
    <row r="188" spans="1:12">
      <c r="A188" t="s">
        <v>30</v>
      </c>
      <c r="B188" t="s">
        <v>29</v>
      </c>
      <c r="C188" t="s">
        <v>1243</v>
      </c>
      <c r="D188" t="s">
        <v>1240</v>
      </c>
      <c r="E188" t="s">
        <v>195</v>
      </c>
      <c r="F188" t="s">
        <v>43</v>
      </c>
      <c r="G188" s="4">
        <v>15.728967867951674</v>
      </c>
      <c r="H188" s="4">
        <v>0.2433598918199599</v>
      </c>
      <c r="I188">
        <v>4</v>
      </c>
      <c r="J188" t="s">
        <v>1214</v>
      </c>
      <c r="K188" t="s">
        <v>752</v>
      </c>
      <c r="L188" t="s">
        <v>1237</v>
      </c>
    </row>
    <row r="189" spans="1:12">
      <c r="A189" t="s">
        <v>30</v>
      </c>
      <c r="B189" t="s">
        <v>29</v>
      </c>
      <c r="C189" t="s">
        <v>1243</v>
      </c>
      <c r="D189" t="s">
        <v>1240</v>
      </c>
      <c r="E189" t="s">
        <v>195</v>
      </c>
      <c r="F189" t="s">
        <v>1238</v>
      </c>
      <c r="G189" s="4">
        <v>6.7687987937066749</v>
      </c>
      <c r="H189" s="4">
        <v>0.17959587026980581</v>
      </c>
      <c r="I189">
        <v>4</v>
      </c>
      <c r="J189" t="s">
        <v>1214</v>
      </c>
      <c r="K189" t="s">
        <v>752</v>
      </c>
      <c r="L189" t="s">
        <v>1237</v>
      </c>
    </row>
    <row r="190" spans="1:12">
      <c r="A190" t="s">
        <v>30</v>
      </c>
      <c r="B190" t="s">
        <v>29</v>
      </c>
      <c r="C190" t="s">
        <v>1243</v>
      </c>
      <c r="D190" t="s">
        <v>1241</v>
      </c>
      <c r="E190" t="s">
        <v>184</v>
      </c>
      <c r="F190" t="s">
        <v>43</v>
      </c>
      <c r="G190" s="4">
        <v>11.857094228251301</v>
      </c>
      <c r="H190" s="4">
        <v>0.73007938569190123</v>
      </c>
      <c r="I190">
        <v>4</v>
      </c>
      <c r="J190" t="s">
        <v>1214</v>
      </c>
      <c r="K190" t="s">
        <v>752</v>
      </c>
      <c r="L190" t="s">
        <v>1237</v>
      </c>
    </row>
    <row r="191" spans="1:12">
      <c r="A191" t="s">
        <v>30</v>
      </c>
      <c r="B191" t="s">
        <v>29</v>
      </c>
      <c r="C191" t="s">
        <v>1243</v>
      </c>
      <c r="D191" t="s">
        <v>1241</v>
      </c>
      <c r="E191" t="s">
        <v>184</v>
      </c>
      <c r="F191" t="s">
        <v>1238</v>
      </c>
      <c r="G191" s="4">
        <v>6.1666248256026277</v>
      </c>
      <c r="H191" s="4">
        <v>0.17959577368048241</v>
      </c>
      <c r="I191">
        <v>4</v>
      </c>
      <c r="J191" t="s">
        <v>1214</v>
      </c>
      <c r="K191" t="s">
        <v>752</v>
      </c>
      <c r="L191" t="s">
        <v>1237</v>
      </c>
    </row>
    <row r="192" spans="1:12">
      <c r="A192" t="s">
        <v>30</v>
      </c>
      <c r="B192" t="s">
        <v>29</v>
      </c>
      <c r="C192" t="s">
        <v>1243</v>
      </c>
      <c r="D192" t="s">
        <v>1241</v>
      </c>
      <c r="E192" t="s">
        <v>195</v>
      </c>
      <c r="F192" t="s">
        <v>43</v>
      </c>
      <c r="G192" s="4">
        <v>13.43346212625298</v>
      </c>
      <c r="H192" s="4">
        <v>0.12186858485908403</v>
      </c>
      <c r="I192">
        <v>4</v>
      </c>
      <c r="J192" t="s">
        <v>1214</v>
      </c>
      <c r="K192" t="s">
        <v>752</v>
      </c>
      <c r="L192" t="s">
        <v>1237</v>
      </c>
    </row>
    <row r="193" spans="1:12">
      <c r="A193" t="s">
        <v>30</v>
      </c>
      <c r="B193" t="s">
        <v>29</v>
      </c>
      <c r="C193" t="s">
        <v>1243</v>
      </c>
      <c r="D193" t="s">
        <v>1241</v>
      </c>
      <c r="E193" t="s">
        <v>195</v>
      </c>
      <c r="F193" t="s">
        <v>1238</v>
      </c>
      <c r="G193" s="4">
        <v>6.1666248256026277</v>
      </c>
      <c r="H193" s="4">
        <v>0.12149121037154698</v>
      </c>
      <c r="I193">
        <v>4</v>
      </c>
      <c r="J193" t="s">
        <v>1214</v>
      </c>
      <c r="K193" t="s">
        <v>752</v>
      </c>
      <c r="L193" t="s">
        <v>1237</v>
      </c>
    </row>
    <row r="194" spans="1:12">
      <c r="A194" t="s">
        <v>42</v>
      </c>
      <c r="B194" t="s">
        <v>41</v>
      </c>
      <c r="C194" t="s">
        <v>1235</v>
      </c>
      <c r="D194" t="s">
        <v>1236</v>
      </c>
      <c r="E194" t="s">
        <v>184</v>
      </c>
      <c r="F194" t="s">
        <v>43</v>
      </c>
      <c r="G194" s="4">
        <v>24.35472275914541</v>
      </c>
      <c r="H194" s="4">
        <v>0.66910124200612797</v>
      </c>
      <c r="I194">
        <v>4</v>
      </c>
      <c r="J194" t="s">
        <v>1214</v>
      </c>
      <c r="K194" t="s">
        <v>514</v>
      </c>
      <c r="L194" t="s">
        <v>1237</v>
      </c>
    </row>
    <row r="195" spans="1:12">
      <c r="A195" t="s">
        <v>42</v>
      </c>
      <c r="B195" t="s">
        <v>41</v>
      </c>
      <c r="C195" t="s">
        <v>1235</v>
      </c>
      <c r="D195" t="s">
        <v>1236</v>
      </c>
      <c r="E195" t="s">
        <v>184</v>
      </c>
      <c r="F195" t="s">
        <v>1238</v>
      </c>
      <c r="G195" s="4">
        <v>14.87625696572146</v>
      </c>
      <c r="H195" s="4">
        <v>0.78788072422940647</v>
      </c>
      <c r="I195">
        <v>4</v>
      </c>
      <c r="J195" t="s">
        <v>1214</v>
      </c>
      <c r="K195" t="s">
        <v>514</v>
      </c>
      <c r="L195" t="s">
        <v>1237</v>
      </c>
    </row>
    <row r="196" spans="1:12">
      <c r="A196" t="s">
        <v>42</v>
      </c>
      <c r="B196" t="s">
        <v>41</v>
      </c>
      <c r="C196" t="s">
        <v>1235</v>
      </c>
      <c r="D196" t="s">
        <v>1236</v>
      </c>
      <c r="E196" t="s">
        <v>195</v>
      </c>
      <c r="F196" t="s">
        <v>43</v>
      </c>
      <c r="G196" s="4">
        <v>23.685621517139282</v>
      </c>
      <c r="H196" s="4">
        <v>0.68034664103144105</v>
      </c>
      <c r="I196">
        <v>4</v>
      </c>
      <c r="J196" t="s">
        <v>1214</v>
      </c>
      <c r="K196" t="s">
        <v>514</v>
      </c>
      <c r="L196" t="s">
        <v>1237</v>
      </c>
    </row>
    <row r="197" spans="1:12">
      <c r="A197" t="s">
        <v>42</v>
      </c>
      <c r="B197" t="s">
        <v>41</v>
      </c>
      <c r="C197" t="s">
        <v>1235</v>
      </c>
      <c r="D197" t="s">
        <v>1236</v>
      </c>
      <c r="E197" t="s">
        <v>195</v>
      </c>
      <c r="F197" t="s">
        <v>1238</v>
      </c>
      <c r="G197" s="4">
        <v>13.300495517262657</v>
      </c>
      <c r="H197" s="4">
        <v>0.45333028315272644</v>
      </c>
      <c r="I197">
        <v>4</v>
      </c>
      <c r="J197" t="s">
        <v>1214</v>
      </c>
      <c r="K197" t="s">
        <v>514</v>
      </c>
      <c r="L197" t="s">
        <v>1237</v>
      </c>
    </row>
    <row r="198" spans="1:12">
      <c r="A198" t="s">
        <v>42</v>
      </c>
      <c r="B198" t="s">
        <v>41</v>
      </c>
      <c r="C198" t="s">
        <v>1235</v>
      </c>
      <c r="D198" t="s">
        <v>1239</v>
      </c>
      <c r="E198" t="s">
        <v>184</v>
      </c>
      <c r="F198" t="s">
        <v>43</v>
      </c>
      <c r="G198" s="4">
        <v>25.023824001151539</v>
      </c>
      <c r="H198" s="4">
        <v>0.56156715880816266</v>
      </c>
      <c r="I198">
        <v>4</v>
      </c>
      <c r="J198" t="s">
        <v>1214</v>
      </c>
      <c r="K198" t="s">
        <v>514</v>
      </c>
      <c r="L198" t="s">
        <v>1237</v>
      </c>
    </row>
    <row r="199" spans="1:12">
      <c r="A199" t="s">
        <v>42</v>
      </c>
      <c r="B199" t="s">
        <v>41</v>
      </c>
      <c r="C199" t="s">
        <v>1235</v>
      </c>
      <c r="D199" t="s">
        <v>1239</v>
      </c>
      <c r="E199" t="s">
        <v>184</v>
      </c>
      <c r="F199" t="s">
        <v>1238</v>
      </c>
      <c r="G199" s="4">
        <v>15.782917172174134</v>
      </c>
      <c r="H199" s="4">
        <v>0.56086418642428748</v>
      </c>
      <c r="I199">
        <v>4</v>
      </c>
      <c r="J199" t="s">
        <v>1214</v>
      </c>
      <c r="K199" t="s">
        <v>514</v>
      </c>
      <c r="L199" t="s">
        <v>1237</v>
      </c>
    </row>
    <row r="200" spans="1:12">
      <c r="A200" t="s">
        <v>42</v>
      </c>
      <c r="B200" t="s">
        <v>41</v>
      </c>
      <c r="C200" t="s">
        <v>1235</v>
      </c>
      <c r="D200" t="s">
        <v>1239</v>
      </c>
      <c r="E200" t="s">
        <v>195</v>
      </c>
      <c r="F200" t="s">
        <v>43</v>
      </c>
      <c r="G200" s="4">
        <v>24.808755834755619</v>
      </c>
      <c r="H200" s="4">
        <v>0.66980421439000315</v>
      </c>
      <c r="I200">
        <v>4</v>
      </c>
      <c r="J200" t="s">
        <v>1214</v>
      </c>
      <c r="K200" t="s">
        <v>514</v>
      </c>
      <c r="L200" t="s">
        <v>1237</v>
      </c>
    </row>
    <row r="201" spans="1:12">
      <c r="A201" t="s">
        <v>42</v>
      </c>
      <c r="B201" t="s">
        <v>41</v>
      </c>
      <c r="C201" t="s">
        <v>1235</v>
      </c>
      <c r="D201" t="s">
        <v>1239</v>
      </c>
      <c r="E201" t="s">
        <v>195</v>
      </c>
      <c r="F201" t="s">
        <v>1238</v>
      </c>
      <c r="G201" s="4">
        <v>15.113816290020774</v>
      </c>
      <c r="H201" s="4">
        <v>0.66910124200612797</v>
      </c>
      <c r="I201">
        <v>4</v>
      </c>
      <c r="J201" t="s">
        <v>1214</v>
      </c>
      <c r="K201" t="s">
        <v>514</v>
      </c>
      <c r="L201" t="s">
        <v>1237</v>
      </c>
    </row>
    <row r="202" spans="1:12">
      <c r="A202" t="s">
        <v>42</v>
      </c>
      <c r="B202" t="s">
        <v>41</v>
      </c>
      <c r="C202" t="s">
        <v>1235</v>
      </c>
      <c r="D202" t="s">
        <v>1240</v>
      </c>
      <c r="E202" t="s">
        <v>184</v>
      </c>
      <c r="F202" t="s">
        <v>43</v>
      </c>
      <c r="G202" s="4">
        <v>30.44410633135244</v>
      </c>
      <c r="H202" s="4">
        <v>0.90666038637906898</v>
      </c>
      <c r="I202">
        <v>4</v>
      </c>
      <c r="J202" t="s">
        <v>1214</v>
      </c>
      <c r="K202" t="s">
        <v>514</v>
      </c>
      <c r="L202" t="s">
        <v>1237</v>
      </c>
    </row>
    <row r="203" spans="1:12">
      <c r="A203" t="s">
        <v>42</v>
      </c>
      <c r="B203" t="s">
        <v>41</v>
      </c>
      <c r="C203" t="s">
        <v>1235</v>
      </c>
      <c r="D203" t="s">
        <v>1240</v>
      </c>
      <c r="E203" t="s">
        <v>184</v>
      </c>
      <c r="F203" t="s">
        <v>1238</v>
      </c>
      <c r="G203" s="4">
        <v>19.173405338158794</v>
      </c>
      <c r="H203" s="4">
        <v>0.78858369661326122</v>
      </c>
      <c r="I203">
        <v>4</v>
      </c>
      <c r="J203" t="s">
        <v>1214</v>
      </c>
      <c r="K203" t="s">
        <v>514</v>
      </c>
      <c r="L203" t="s">
        <v>1237</v>
      </c>
    </row>
    <row r="204" spans="1:12">
      <c r="A204" t="s">
        <v>42</v>
      </c>
      <c r="B204" t="s">
        <v>41</v>
      </c>
      <c r="C204" t="s">
        <v>1235</v>
      </c>
      <c r="D204" t="s">
        <v>1240</v>
      </c>
      <c r="E204" t="s">
        <v>195</v>
      </c>
      <c r="F204" t="s">
        <v>43</v>
      </c>
      <c r="G204" s="4">
        <v>31.113207573358569</v>
      </c>
      <c r="H204" s="4">
        <v>0.78788072422938604</v>
      </c>
      <c r="I204">
        <v>4</v>
      </c>
      <c r="J204" t="s">
        <v>1214</v>
      </c>
      <c r="K204" t="s">
        <v>514</v>
      </c>
      <c r="L204" t="s">
        <v>1237</v>
      </c>
    </row>
    <row r="205" spans="1:12">
      <c r="A205" t="s">
        <v>42</v>
      </c>
      <c r="B205" t="s">
        <v>41</v>
      </c>
      <c r="C205" t="s">
        <v>1235</v>
      </c>
      <c r="D205" t="s">
        <v>1240</v>
      </c>
      <c r="E205" t="s">
        <v>195</v>
      </c>
      <c r="F205" t="s">
        <v>1238</v>
      </c>
      <c r="G205" s="4">
        <v>18.719372262548585</v>
      </c>
      <c r="H205" s="4">
        <v>0.90666020645266454</v>
      </c>
      <c r="I205">
        <v>4</v>
      </c>
      <c r="J205" t="s">
        <v>1214</v>
      </c>
      <c r="K205" t="s">
        <v>514</v>
      </c>
      <c r="L205" t="s">
        <v>1237</v>
      </c>
    </row>
    <row r="206" spans="1:12">
      <c r="A206" t="s">
        <v>42</v>
      </c>
      <c r="B206" t="s">
        <v>41</v>
      </c>
      <c r="C206" t="s">
        <v>1235</v>
      </c>
      <c r="D206" t="s">
        <v>1241</v>
      </c>
      <c r="E206" t="s">
        <v>184</v>
      </c>
      <c r="F206" t="s">
        <v>43</v>
      </c>
      <c r="G206" s="4">
        <v>28.414311807283429</v>
      </c>
      <c r="H206" s="4">
        <v>0.66980403446361925</v>
      </c>
      <c r="I206">
        <v>4</v>
      </c>
      <c r="J206" t="s">
        <v>1214</v>
      </c>
      <c r="K206" t="s">
        <v>514</v>
      </c>
      <c r="L206" t="s">
        <v>1237</v>
      </c>
    </row>
    <row r="207" spans="1:12">
      <c r="A207" t="s">
        <v>42</v>
      </c>
      <c r="B207" t="s">
        <v>41</v>
      </c>
      <c r="C207" t="s">
        <v>1235</v>
      </c>
      <c r="D207" t="s">
        <v>1241</v>
      </c>
      <c r="E207" t="s">
        <v>184</v>
      </c>
      <c r="F207" t="s">
        <v>1238</v>
      </c>
      <c r="G207" s="4">
        <v>17.143610454237017</v>
      </c>
      <c r="H207" s="4">
        <v>0.56156715880818309</v>
      </c>
      <c r="I207">
        <v>4</v>
      </c>
      <c r="J207" t="s">
        <v>1214</v>
      </c>
      <c r="K207" t="s">
        <v>514</v>
      </c>
      <c r="L207" t="s">
        <v>1237</v>
      </c>
    </row>
    <row r="208" spans="1:12">
      <c r="A208" t="s">
        <v>42</v>
      </c>
      <c r="B208" t="s">
        <v>41</v>
      </c>
      <c r="C208" t="s">
        <v>1235</v>
      </c>
      <c r="D208" t="s">
        <v>1241</v>
      </c>
      <c r="E208" t="s">
        <v>195</v>
      </c>
      <c r="F208" t="s">
        <v>43</v>
      </c>
      <c r="G208" s="4">
        <v>28.414311807283429</v>
      </c>
      <c r="H208" s="4">
        <v>0.66980403446361925</v>
      </c>
      <c r="I208">
        <v>4</v>
      </c>
      <c r="J208" t="s">
        <v>1214</v>
      </c>
      <c r="K208" t="s">
        <v>514</v>
      </c>
      <c r="L208" t="s">
        <v>1237</v>
      </c>
    </row>
    <row r="209" spans="1:12">
      <c r="A209" t="s">
        <v>42</v>
      </c>
      <c r="B209" t="s">
        <v>41</v>
      </c>
      <c r="C209" t="s">
        <v>1235</v>
      </c>
      <c r="D209" t="s">
        <v>1241</v>
      </c>
      <c r="E209" t="s">
        <v>195</v>
      </c>
      <c r="F209" t="s">
        <v>1238</v>
      </c>
      <c r="G209" s="4">
        <v>17.358678980485706</v>
      </c>
      <c r="H209" s="4">
        <v>0.45333028315272644</v>
      </c>
      <c r="I209">
        <v>4</v>
      </c>
      <c r="J209" t="s">
        <v>1214</v>
      </c>
      <c r="K209" t="s">
        <v>514</v>
      </c>
      <c r="L209" t="s">
        <v>1237</v>
      </c>
    </row>
    <row r="210" spans="1:12">
      <c r="A210" t="s">
        <v>42</v>
      </c>
      <c r="B210" t="s">
        <v>41</v>
      </c>
      <c r="C210" t="s">
        <v>1242</v>
      </c>
      <c r="D210" t="s">
        <v>1236</v>
      </c>
      <c r="E210" t="s">
        <v>184</v>
      </c>
      <c r="F210" t="s">
        <v>43</v>
      </c>
      <c r="G210" s="4">
        <v>23.231588441529073</v>
      </c>
      <c r="H210" s="4">
        <v>1.1231341376899413</v>
      </c>
      <c r="I210">
        <v>4</v>
      </c>
      <c r="J210" t="s">
        <v>1214</v>
      </c>
      <c r="K210" t="s">
        <v>514</v>
      </c>
      <c r="L210" t="s">
        <v>1237</v>
      </c>
    </row>
    <row r="211" spans="1:12">
      <c r="A211" t="s">
        <v>42</v>
      </c>
      <c r="B211" t="s">
        <v>41</v>
      </c>
      <c r="C211" t="s">
        <v>1242</v>
      </c>
      <c r="D211" t="s">
        <v>1236</v>
      </c>
      <c r="E211" t="s">
        <v>184</v>
      </c>
      <c r="F211" t="s">
        <v>1238</v>
      </c>
      <c r="G211" s="4">
        <v>15.113816290020774</v>
      </c>
      <c r="H211" s="4">
        <v>0.66910124200612797</v>
      </c>
      <c r="I211">
        <v>4</v>
      </c>
      <c r="J211" t="s">
        <v>1214</v>
      </c>
      <c r="K211" t="s">
        <v>514</v>
      </c>
      <c r="L211" t="s">
        <v>1237</v>
      </c>
    </row>
    <row r="212" spans="1:12">
      <c r="A212" t="s">
        <v>42</v>
      </c>
      <c r="B212" t="s">
        <v>41</v>
      </c>
      <c r="C212" t="s">
        <v>1242</v>
      </c>
      <c r="D212" t="s">
        <v>1236</v>
      </c>
      <c r="E212" t="s">
        <v>195</v>
      </c>
      <c r="F212" t="s">
        <v>43</v>
      </c>
      <c r="G212" s="4">
        <v>22.778961310686608</v>
      </c>
      <c r="H212" s="4">
        <v>0.90736317883653972</v>
      </c>
      <c r="I212">
        <v>4</v>
      </c>
      <c r="J212" t="s">
        <v>1214</v>
      </c>
      <c r="K212" t="s">
        <v>514</v>
      </c>
      <c r="L212" t="s">
        <v>1237</v>
      </c>
    </row>
    <row r="213" spans="1:12">
      <c r="A213" t="s">
        <v>42</v>
      </c>
      <c r="B213" t="s">
        <v>41</v>
      </c>
      <c r="C213" t="s">
        <v>1242</v>
      </c>
      <c r="D213" t="s">
        <v>1236</v>
      </c>
      <c r="E213" t="s">
        <v>195</v>
      </c>
      <c r="F213" t="s">
        <v>1238</v>
      </c>
      <c r="G213" s="4">
        <v>13.990681972404438</v>
      </c>
      <c r="H213" s="4">
        <v>0.45403289568381322</v>
      </c>
      <c r="I213">
        <v>4</v>
      </c>
      <c r="J213" t="s">
        <v>1214</v>
      </c>
      <c r="K213" t="s">
        <v>514</v>
      </c>
      <c r="L213" t="s">
        <v>1237</v>
      </c>
    </row>
    <row r="214" spans="1:12">
      <c r="A214" t="s">
        <v>42</v>
      </c>
      <c r="B214" t="s">
        <v>41</v>
      </c>
      <c r="C214" t="s">
        <v>1242</v>
      </c>
      <c r="D214" t="s">
        <v>1239</v>
      </c>
      <c r="E214" t="s">
        <v>184</v>
      </c>
      <c r="F214" t="s">
        <v>43</v>
      </c>
      <c r="G214" s="4">
        <v>24.808755834755619</v>
      </c>
      <c r="H214" s="4">
        <v>0.90736317883653972</v>
      </c>
      <c r="I214">
        <v>4</v>
      </c>
      <c r="J214" t="s">
        <v>1214</v>
      </c>
      <c r="K214" t="s">
        <v>514</v>
      </c>
      <c r="L214" t="s">
        <v>1237</v>
      </c>
    </row>
    <row r="215" spans="1:12">
      <c r="A215" t="s">
        <v>42</v>
      </c>
      <c r="B215" t="s">
        <v>41</v>
      </c>
      <c r="C215" t="s">
        <v>1242</v>
      </c>
      <c r="D215" t="s">
        <v>1239</v>
      </c>
      <c r="E215" t="s">
        <v>184</v>
      </c>
      <c r="F215" t="s">
        <v>1238</v>
      </c>
      <c r="G215" s="4">
        <v>16.236950247784343</v>
      </c>
      <c r="H215" s="4">
        <v>0.45333028315272644</v>
      </c>
      <c r="I215">
        <v>4</v>
      </c>
      <c r="J215" t="s">
        <v>1214</v>
      </c>
      <c r="K215" t="s">
        <v>514</v>
      </c>
      <c r="L215" t="s">
        <v>1237</v>
      </c>
    </row>
    <row r="216" spans="1:12">
      <c r="A216" t="s">
        <v>42</v>
      </c>
      <c r="B216" t="s">
        <v>41</v>
      </c>
      <c r="C216" t="s">
        <v>1242</v>
      </c>
      <c r="D216" t="s">
        <v>1239</v>
      </c>
      <c r="E216" t="s">
        <v>195</v>
      </c>
      <c r="F216" t="s">
        <v>43</v>
      </c>
      <c r="G216" s="4">
        <v>24.808755834755619</v>
      </c>
      <c r="H216" s="4">
        <v>0.66980421439000315</v>
      </c>
      <c r="I216">
        <v>4</v>
      </c>
      <c r="J216" t="s">
        <v>1214</v>
      </c>
      <c r="K216" t="s">
        <v>514</v>
      </c>
      <c r="L216" t="s">
        <v>1237</v>
      </c>
    </row>
    <row r="217" spans="1:12">
      <c r="A217" t="s">
        <v>42</v>
      </c>
      <c r="B217" t="s">
        <v>41</v>
      </c>
      <c r="C217" t="s">
        <v>1242</v>
      </c>
      <c r="D217" t="s">
        <v>1239</v>
      </c>
      <c r="E217" t="s">
        <v>195</v>
      </c>
      <c r="F217" t="s">
        <v>1238</v>
      </c>
      <c r="G217" s="4">
        <v>15.330290041331667</v>
      </c>
      <c r="H217" s="4">
        <v>0.56156697888177864</v>
      </c>
      <c r="I217">
        <v>4</v>
      </c>
      <c r="J217" t="s">
        <v>1214</v>
      </c>
      <c r="K217" t="s">
        <v>514</v>
      </c>
      <c r="L217" t="s">
        <v>1237</v>
      </c>
    </row>
    <row r="218" spans="1:12">
      <c r="A218" t="s">
        <v>42</v>
      </c>
      <c r="B218" t="s">
        <v>41</v>
      </c>
      <c r="C218" t="s">
        <v>1242</v>
      </c>
      <c r="D218" t="s">
        <v>1240</v>
      </c>
      <c r="E218" t="s">
        <v>184</v>
      </c>
      <c r="F218" t="s">
        <v>43</v>
      </c>
      <c r="G218" s="4">
        <v>30.227632580041547</v>
      </c>
      <c r="H218" s="4">
        <v>0.56156715880818309</v>
      </c>
      <c r="I218">
        <v>4</v>
      </c>
      <c r="J218" t="s">
        <v>1214</v>
      </c>
      <c r="K218" t="s">
        <v>514</v>
      </c>
      <c r="L218" t="s">
        <v>1237</v>
      </c>
    </row>
    <row r="219" spans="1:12">
      <c r="A219" t="s">
        <v>42</v>
      </c>
      <c r="B219" t="s">
        <v>41</v>
      </c>
      <c r="C219" t="s">
        <v>1242</v>
      </c>
      <c r="D219" t="s">
        <v>1240</v>
      </c>
      <c r="E219" t="s">
        <v>184</v>
      </c>
      <c r="F219" t="s">
        <v>1238</v>
      </c>
      <c r="G219" s="4">
        <v>20.532692675453937</v>
      </c>
      <c r="H219" s="4">
        <v>0.78788072422940647</v>
      </c>
      <c r="I219">
        <v>4</v>
      </c>
      <c r="J219" t="s">
        <v>1214</v>
      </c>
      <c r="K219" t="s">
        <v>514</v>
      </c>
      <c r="L219" t="s">
        <v>1237</v>
      </c>
    </row>
    <row r="220" spans="1:12">
      <c r="A220" t="s">
        <v>42</v>
      </c>
      <c r="B220" t="s">
        <v>41</v>
      </c>
      <c r="C220" t="s">
        <v>1242</v>
      </c>
      <c r="D220" t="s">
        <v>1240</v>
      </c>
      <c r="E220" t="s">
        <v>195</v>
      </c>
      <c r="F220" t="s">
        <v>43</v>
      </c>
      <c r="G220" s="4">
        <v>30.681665295798986</v>
      </c>
      <c r="H220" s="4">
        <v>0.56156715880816266</v>
      </c>
      <c r="I220">
        <v>4</v>
      </c>
      <c r="J220" t="s">
        <v>1214</v>
      </c>
      <c r="K220" t="s">
        <v>514</v>
      </c>
      <c r="L220" t="s">
        <v>1237</v>
      </c>
    </row>
    <row r="221" spans="1:12">
      <c r="A221" t="s">
        <v>42</v>
      </c>
      <c r="B221" t="s">
        <v>41</v>
      </c>
      <c r="C221" t="s">
        <v>1242</v>
      </c>
      <c r="D221" t="s">
        <v>1240</v>
      </c>
      <c r="E221" t="s">
        <v>195</v>
      </c>
      <c r="F221" t="s">
        <v>1238</v>
      </c>
      <c r="G221" s="4">
        <v>19.388473504554714</v>
      </c>
      <c r="H221" s="4">
        <v>0.45403289568381322</v>
      </c>
      <c r="I221">
        <v>4</v>
      </c>
      <c r="J221" t="s">
        <v>1214</v>
      </c>
      <c r="K221" t="s">
        <v>514</v>
      </c>
      <c r="L221" t="s">
        <v>1237</v>
      </c>
    </row>
    <row r="222" spans="1:12">
      <c r="A222" t="s">
        <v>42</v>
      </c>
      <c r="B222" t="s">
        <v>41</v>
      </c>
      <c r="C222" t="s">
        <v>1242</v>
      </c>
      <c r="D222" t="s">
        <v>1241</v>
      </c>
      <c r="E222" t="s">
        <v>184</v>
      </c>
      <c r="F222" t="s">
        <v>43</v>
      </c>
      <c r="G222" s="4">
        <v>26.168043531903528</v>
      </c>
      <c r="H222" s="4">
        <v>0.45333010322634248</v>
      </c>
      <c r="I222">
        <v>4</v>
      </c>
      <c r="J222" t="s">
        <v>1214</v>
      </c>
      <c r="K222" t="s">
        <v>514</v>
      </c>
      <c r="L222" t="s">
        <v>1237</v>
      </c>
    </row>
    <row r="223" spans="1:12">
      <c r="A223" t="s">
        <v>42</v>
      </c>
      <c r="B223" t="s">
        <v>41</v>
      </c>
      <c r="C223" t="s">
        <v>1242</v>
      </c>
      <c r="D223" t="s">
        <v>1241</v>
      </c>
      <c r="E223" t="s">
        <v>184</v>
      </c>
      <c r="F223" t="s">
        <v>1238</v>
      </c>
      <c r="G223" s="4">
        <v>18.050271020542461</v>
      </c>
      <c r="H223" s="4">
        <v>0.57210958544962098</v>
      </c>
      <c r="I223">
        <v>4</v>
      </c>
      <c r="J223" t="s">
        <v>1214</v>
      </c>
      <c r="K223" t="s">
        <v>514</v>
      </c>
      <c r="L223" t="s">
        <v>1237</v>
      </c>
    </row>
    <row r="224" spans="1:12">
      <c r="A224" t="s">
        <v>42</v>
      </c>
      <c r="B224" t="s">
        <v>41</v>
      </c>
      <c r="C224" t="s">
        <v>1242</v>
      </c>
      <c r="D224" t="s">
        <v>1241</v>
      </c>
      <c r="E224" t="s">
        <v>195</v>
      </c>
      <c r="F224" t="s">
        <v>43</v>
      </c>
      <c r="G224" s="4">
        <v>27.291177489667096</v>
      </c>
      <c r="H224" s="4">
        <v>0.90666020645266454</v>
      </c>
      <c r="I224">
        <v>4</v>
      </c>
      <c r="J224" t="s">
        <v>1214</v>
      </c>
      <c r="K224" t="s">
        <v>514</v>
      </c>
      <c r="L224" t="s">
        <v>1237</v>
      </c>
    </row>
    <row r="225" spans="1:12">
      <c r="A225" t="s">
        <v>42</v>
      </c>
      <c r="B225" t="s">
        <v>41</v>
      </c>
      <c r="C225" t="s">
        <v>1242</v>
      </c>
      <c r="D225" t="s">
        <v>1241</v>
      </c>
      <c r="E225" t="s">
        <v>195</v>
      </c>
      <c r="F225" t="s">
        <v>1238</v>
      </c>
      <c r="G225" s="4">
        <v>17.143610454237017</v>
      </c>
      <c r="H225" s="4">
        <v>0.78858369661326122</v>
      </c>
      <c r="I225">
        <v>4</v>
      </c>
      <c r="J225" t="s">
        <v>1214</v>
      </c>
      <c r="K225" t="s">
        <v>514</v>
      </c>
      <c r="L225" t="s">
        <v>1237</v>
      </c>
    </row>
    <row r="226" spans="1:12">
      <c r="A226" t="s">
        <v>42</v>
      </c>
      <c r="B226" t="s">
        <v>41</v>
      </c>
      <c r="C226" t="s">
        <v>1243</v>
      </c>
      <c r="D226" t="s">
        <v>1236</v>
      </c>
      <c r="E226" t="s">
        <v>184</v>
      </c>
      <c r="F226" t="s">
        <v>43</v>
      </c>
      <c r="G226" s="4">
        <v>26.622076247660967</v>
      </c>
      <c r="H226" s="4">
        <v>0.89541498735375591</v>
      </c>
      <c r="I226">
        <v>4</v>
      </c>
      <c r="J226" t="s">
        <v>1214</v>
      </c>
      <c r="K226" t="s">
        <v>514</v>
      </c>
      <c r="L226" t="s">
        <v>1237</v>
      </c>
    </row>
    <row r="227" spans="1:12">
      <c r="A227" t="s">
        <v>42</v>
      </c>
      <c r="B227" t="s">
        <v>41</v>
      </c>
      <c r="C227" t="s">
        <v>1243</v>
      </c>
      <c r="D227" t="s">
        <v>1236</v>
      </c>
      <c r="E227" t="s">
        <v>184</v>
      </c>
      <c r="F227" t="s">
        <v>1238</v>
      </c>
      <c r="G227" s="4">
        <v>15.330290041331667</v>
      </c>
      <c r="H227" s="4">
        <v>0.56156697888177864</v>
      </c>
      <c r="I227">
        <v>4</v>
      </c>
      <c r="J227" t="s">
        <v>1214</v>
      </c>
      <c r="K227" t="s">
        <v>514</v>
      </c>
      <c r="L227" t="s">
        <v>1237</v>
      </c>
    </row>
    <row r="228" spans="1:12">
      <c r="A228" t="s">
        <v>42</v>
      </c>
      <c r="B228" t="s">
        <v>41</v>
      </c>
      <c r="C228" t="s">
        <v>1243</v>
      </c>
      <c r="D228" t="s">
        <v>1236</v>
      </c>
      <c r="E228" t="s">
        <v>195</v>
      </c>
      <c r="F228" t="s">
        <v>43</v>
      </c>
      <c r="G228" s="4">
        <v>23.231588441529073</v>
      </c>
      <c r="H228" s="4">
        <v>0.66910124200612797</v>
      </c>
      <c r="I228">
        <v>4</v>
      </c>
      <c r="J228" t="s">
        <v>1214</v>
      </c>
      <c r="K228" t="s">
        <v>514</v>
      </c>
      <c r="L228" t="s">
        <v>1237</v>
      </c>
    </row>
    <row r="229" spans="1:12">
      <c r="A229" t="s">
        <v>42</v>
      </c>
      <c r="B229" t="s">
        <v>41</v>
      </c>
      <c r="C229" t="s">
        <v>1243</v>
      </c>
      <c r="D229" t="s">
        <v>1236</v>
      </c>
      <c r="E229" t="s">
        <v>195</v>
      </c>
      <c r="F229" t="s">
        <v>1238</v>
      </c>
      <c r="G229" s="4">
        <v>13.300495517262657</v>
      </c>
      <c r="H229" s="4">
        <v>0.57210976537598446</v>
      </c>
      <c r="I229">
        <v>4</v>
      </c>
      <c r="J229" t="s">
        <v>1214</v>
      </c>
      <c r="K229" t="s">
        <v>514</v>
      </c>
      <c r="L229" t="s">
        <v>1237</v>
      </c>
    </row>
    <row r="230" spans="1:12">
      <c r="A230" t="s">
        <v>42</v>
      </c>
      <c r="B230" t="s">
        <v>41</v>
      </c>
      <c r="C230" t="s">
        <v>1243</v>
      </c>
      <c r="D230" t="s">
        <v>1239</v>
      </c>
      <c r="E230" t="s">
        <v>184</v>
      </c>
      <c r="F230" t="s">
        <v>43</v>
      </c>
      <c r="G230" s="4">
        <v>27.05361852522055</v>
      </c>
      <c r="H230" s="4">
        <v>1.0148970821081007</v>
      </c>
      <c r="I230">
        <v>4</v>
      </c>
      <c r="J230" t="s">
        <v>1214</v>
      </c>
      <c r="K230" t="s">
        <v>514</v>
      </c>
      <c r="L230" t="s">
        <v>1237</v>
      </c>
    </row>
    <row r="231" spans="1:12">
      <c r="A231" t="s">
        <v>42</v>
      </c>
      <c r="B231" t="s">
        <v>41</v>
      </c>
      <c r="C231" t="s">
        <v>1243</v>
      </c>
      <c r="D231" t="s">
        <v>1239</v>
      </c>
      <c r="E231" t="s">
        <v>184</v>
      </c>
      <c r="F231" t="s">
        <v>1238</v>
      </c>
      <c r="G231" s="4">
        <v>16.020476496473449</v>
      </c>
      <c r="H231" s="4">
        <v>0.68034664103144105</v>
      </c>
      <c r="I231">
        <v>4</v>
      </c>
      <c r="J231" t="s">
        <v>1214</v>
      </c>
      <c r="K231" t="s">
        <v>514</v>
      </c>
      <c r="L231" t="s">
        <v>1237</v>
      </c>
    </row>
    <row r="232" spans="1:12">
      <c r="A232" t="s">
        <v>42</v>
      </c>
      <c r="B232" t="s">
        <v>41</v>
      </c>
      <c r="C232" t="s">
        <v>1243</v>
      </c>
      <c r="D232" t="s">
        <v>1239</v>
      </c>
      <c r="E232" t="s">
        <v>195</v>
      </c>
      <c r="F232" t="s">
        <v>43</v>
      </c>
      <c r="G232" s="4">
        <v>24.138248647981751</v>
      </c>
      <c r="H232" s="4">
        <v>0.67964384857397031</v>
      </c>
      <c r="I232">
        <v>4</v>
      </c>
      <c r="J232" t="s">
        <v>1214</v>
      </c>
      <c r="K232" t="s">
        <v>514</v>
      </c>
      <c r="L232" t="s">
        <v>1237</v>
      </c>
    </row>
    <row r="233" spans="1:12">
      <c r="A233" t="s">
        <v>42</v>
      </c>
      <c r="B233" t="s">
        <v>41</v>
      </c>
      <c r="C233" t="s">
        <v>1243</v>
      </c>
      <c r="D233" t="s">
        <v>1239</v>
      </c>
      <c r="E233" t="s">
        <v>195</v>
      </c>
      <c r="F233" t="s">
        <v>1238</v>
      </c>
      <c r="G233" s="4">
        <v>16.474509572083655</v>
      </c>
      <c r="H233" s="4">
        <v>0.44278749665852063</v>
      </c>
      <c r="I233">
        <v>4</v>
      </c>
      <c r="J233" t="s">
        <v>1214</v>
      </c>
      <c r="K233" t="s">
        <v>514</v>
      </c>
      <c r="L233" t="s">
        <v>1237</v>
      </c>
    </row>
    <row r="234" spans="1:12">
      <c r="A234" t="s">
        <v>42</v>
      </c>
      <c r="B234" t="s">
        <v>41</v>
      </c>
      <c r="C234" t="s">
        <v>1243</v>
      </c>
      <c r="D234" t="s">
        <v>1240</v>
      </c>
      <c r="E234" t="s">
        <v>184</v>
      </c>
      <c r="F234" t="s">
        <v>43</v>
      </c>
      <c r="G234" s="4">
        <v>31.113207573358569</v>
      </c>
      <c r="H234" s="4">
        <v>0.78788072422938604</v>
      </c>
      <c r="I234">
        <v>4</v>
      </c>
      <c r="J234" t="s">
        <v>1214</v>
      </c>
      <c r="K234" t="s">
        <v>514</v>
      </c>
      <c r="L234" t="s">
        <v>1237</v>
      </c>
    </row>
    <row r="235" spans="1:12">
      <c r="A235" t="s">
        <v>42</v>
      </c>
      <c r="B235" t="s">
        <v>41</v>
      </c>
      <c r="C235" t="s">
        <v>1243</v>
      </c>
      <c r="D235" t="s">
        <v>1240</v>
      </c>
      <c r="E235" t="s">
        <v>184</v>
      </c>
      <c r="F235" t="s">
        <v>1238</v>
      </c>
      <c r="G235" s="4">
        <v>19.842506220312156</v>
      </c>
      <c r="H235" s="4">
        <v>0.79912612325471954</v>
      </c>
      <c r="I235">
        <v>4</v>
      </c>
      <c r="J235" t="s">
        <v>1214</v>
      </c>
      <c r="K235" t="s">
        <v>514</v>
      </c>
      <c r="L235" t="s">
        <v>1237</v>
      </c>
    </row>
    <row r="236" spans="1:12">
      <c r="A236" t="s">
        <v>42</v>
      </c>
      <c r="B236" t="s">
        <v>41</v>
      </c>
      <c r="C236" t="s">
        <v>1243</v>
      </c>
      <c r="D236" t="s">
        <v>1240</v>
      </c>
      <c r="E236" t="s">
        <v>195</v>
      </c>
      <c r="F236" t="s">
        <v>43</v>
      </c>
      <c r="G236" s="4">
        <v>28.19783769611977</v>
      </c>
      <c r="H236" s="4">
        <v>1.0148972620345051</v>
      </c>
      <c r="I236">
        <v>4</v>
      </c>
      <c r="J236" t="s">
        <v>1214</v>
      </c>
      <c r="K236" t="s">
        <v>514</v>
      </c>
      <c r="L236" t="s">
        <v>1237</v>
      </c>
    </row>
    <row r="237" spans="1:12">
      <c r="A237" t="s">
        <v>42</v>
      </c>
      <c r="B237" t="s">
        <v>41</v>
      </c>
      <c r="C237" t="s">
        <v>1243</v>
      </c>
      <c r="D237" t="s">
        <v>1240</v>
      </c>
      <c r="E237" t="s">
        <v>195</v>
      </c>
      <c r="F237" t="s">
        <v>1238</v>
      </c>
      <c r="G237" s="4">
        <v>20.080065544611468</v>
      </c>
      <c r="H237" s="4">
        <v>0.89611777981122664</v>
      </c>
      <c r="I237">
        <v>4</v>
      </c>
      <c r="J237" t="s">
        <v>1214</v>
      </c>
      <c r="K237" t="s">
        <v>514</v>
      </c>
      <c r="L237" t="s">
        <v>1237</v>
      </c>
    </row>
    <row r="238" spans="1:12">
      <c r="A238" t="s">
        <v>42</v>
      </c>
      <c r="B238" t="s">
        <v>41</v>
      </c>
      <c r="C238" t="s">
        <v>1243</v>
      </c>
      <c r="D238" t="s">
        <v>1241</v>
      </c>
      <c r="E238" t="s">
        <v>184</v>
      </c>
      <c r="F238" t="s">
        <v>43</v>
      </c>
      <c r="G238" s="4">
        <v>29.083413049289558</v>
      </c>
      <c r="H238" s="4">
        <v>0.67964384857394988</v>
      </c>
      <c r="I238">
        <v>4</v>
      </c>
      <c r="J238" t="s">
        <v>1214</v>
      </c>
      <c r="K238" t="s">
        <v>514</v>
      </c>
      <c r="L238" t="s">
        <v>1237</v>
      </c>
    </row>
    <row r="239" spans="1:12">
      <c r="A239" t="s">
        <v>42</v>
      </c>
      <c r="B239" t="s">
        <v>41</v>
      </c>
      <c r="C239" t="s">
        <v>1243</v>
      </c>
      <c r="D239" t="s">
        <v>1241</v>
      </c>
      <c r="E239" t="s">
        <v>184</v>
      </c>
      <c r="F239" t="s">
        <v>1238</v>
      </c>
      <c r="G239" s="4">
        <v>17.812712056095911</v>
      </c>
      <c r="H239" s="4">
        <v>0.67964384857397031</v>
      </c>
      <c r="I239">
        <v>4</v>
      </c>
      <c r="J239" t="s">
        <v>1214</v>
      </c>
      <c r="K239" t="s">
        <v>514</v>
      </c>
      <c r="L239" t="s">
        <v>1237</v>
      </c>
    </row>
    <row r="240" spans="1:12">
      <c r="A240" t="s">
        <v>42</v>
      </c>
      <c r="B240" t="s">
        <v>41</v>
      </c>
      <c r="C240" t="s">
        <v>1243</v>
      </c>
      <c r="D240" t="s">
        <v>1241</v>
      </c>
      <c r="E240" t="s">
        <v>195</v>
      </c>
      <c r="F240" t="s">
        <v>43</v>
      </c>
      <c r="G240" s="4">
        <v>26.622076247660967</v>
      </c>
      <c r="H240" s="4">
        <v>0.56156697888177864</v>
      </c>
      <c r="I240">
        <v>4</v>
      </c>
      <c r="J240" t="s">
        <v>1214</v>
      </c>
      <c r="K240" t="s">
        <v>514</v>
      </c>
      <c r="L240" t="s">
        <v>1237</v>
      </c>
    </row>
    <row r="241" spans="1:12">
      <c r="A241" t="s">
        <v>42</v>
      </c>
      <c r="B241" t="s">
        <v>41</v>
      </c>
      <c r="C241" t="s">
        <v>1243</v>
      </c>
      <c r="D241" t="s">
        <v>1241</v>
      </c>
      <c r="E241" t="s">
        <v>195</v>
      </c>
      <c r="F241" t="s">
        <v>1238</v>
      </c>
      <c r="G241" s="4">
        <v>17.812712056095911</v>
      </c>
      <c r="H241" s="4">
        <v>0.67964384857397031</v>
      </c>
      <c r="I241">
        <v>4</v>
      </c>
      <c r="J241" t="s">
        <v>1214</v>
      </c>
      <c r="K241" t="s">
        <v>514</v>
      </c>
      <c r="L241" t="s">
        <v>1237</v>
      </c>
    </row>
    <row r="242" spans="1:12">
      <c r="A242" t="s">
        <v>42</v>
      </c>
      <c r="B242" t="s">
        <v>29</v>
      </c>
      <c r="C242" t="s">
        <v>1235</v>
      </c>
      <c r="D242" t="s">
        <v>1236</v>
      </c>
      <c r="E242" t="s">
        <v>184</v>
      </c>
      <c r="F242" t="s">
        <v>43</v>
      </c>
      <c r="G242" s="4">
        <v>16.27341572727822</v>
      </c>
      <c r="H242" s="4">
        <v>1.2633140666276796</v>
      </c>
      <c r="I242">
        <v>4</v>
      </c>
      <c r="J242" t="s">
        <v>1214</v>
      </c>
      <c r="K242" t="s">
        <v>514</v>
      </c>
      <c r="L242" t="s">
        <v>1237</v>
      </c>
    </row>
    <row r="243" spans="1:12">
      <c r="A243" t="s">
        <v>42</v>
      </c>
      <c r="B243" t="s">
        <v>29</v>
      </c>
      <c r="C243" t="s">
        <v>1235</v>
      </c>
      <c r="D243" t="s">
        <v>1236</v>
      </c>
      <c r="E243" t="s">
        <v>184</v>
      </c>
      <c r="F243" t="s">
        <v>1238</v>
      </c>
      <c r="G243" s="4">
        <v>11.055721783056725</v>
      </c>
      <c r="H243" s="4">
        <v>1.1874955887394383</v>
      </c>
      <c r="I243">
        <v>4</v>
      </c>
      <c r="J243" t="s">
        <v>1214</v>
      </c>
      <c r="K243" t="s">
        <v>514</v>
      </c>
      <c r="L243" t="s">
        <v>1237</v>
      </c>
    </row>
    <row r="244" spans="1:12">
      <c r="A244" t="s">
        <v>42</v>
      </c>
      <c r="B244" t="s">
        <v>29</v>
      </c>
      <c r="C244" t="s">
        <v>1235</v>
      </c>
      <c r="D244" t="s">
        <v>1236</v>
      </c>
      <c r="E244" t="s">
        <v>195</v>
      </c>
      <c r="F244" t="s">
        <v>43</v>
      </c>
      <c r="G244" s="4">
        <v>15.017979037689811</v>
      </c>
      <c r="H244" s="4">
        <v>1.1116769848151808</v>
      </c>
      <c r="I244">
        <v>4</v>
      </c>
      <c r="J244" t="s">
        <v>1214</v>
      </c>
      <c r="K244" t="s">
        <v>514</v>
      </c>
      <c r="L244" t="s">
        <v>1237</v>
      </c>
    </row>
    <row r="245" spans="1:12">
      <c r="A245" t="s">
        <v>42</v>
      </c>
      <c r="B245" t="s">
        <v>29</v>
      </c>
      <c r="C245" t="s">
        <v>1235</v>
      </c>
      <c r="D245" t="s">
        <v>1236</v>
      </c>
      <c r="E245" t="s">
        <v>195</v>
      </c>
      <c r="F245" t="s">
        <v>1238</v>
      </c>
      <c r="G245" s="4">
        <v>11.37376560325878</v>
      </c>
      <c r="H245" s="4">
        <v>1.1874955887394383</v>
      </c>
      <c r="I245">
        <v>4</v>
      </c>
      <c r="J245" t="s">
        <v>1214</v>
      </c>
      <c r="K245" t="s">
        <v>514</v>
      </c>
      <c r="L245" t="s">
        <v>1237</v>
      </c>
    </row>
    <row r="246" spans="1:12">
      <c r="A246" t="s">
        <v>42</v>
      </c>
      <c r="B246" t="s">
        <v>29</v>
      </c>
      <c r="C246" t="s">
        <v>1235</v>
      </c>
      <c r="D246" t="s">
        <v>1239</v>
      </c>
      <c r="E246" t="s">
        <v>184</v>
      </c>
      <c r="F246" t="s">
        <v>43</v>
      </c>
      <c r="G246" s="4">
        <v>17.060156234245483</v>
      </c>
      <c r="H246" s="4">
        <v>1.103799733811927</v>
      </c>
      <c r="I246">
        <v>4</v>
      </c>
      <c r="J246" t="s">
        <v>1214</v>
      </c>
      <c r="K246" t="s">
        <v>514</v>
      </c>
      <c r="L246" t="s">
        <v>1237</v>
      </c>
    </row>
    <row r="247" spans="1:12">
      <c r="A247" t="s">
        <v>42</v>
      </c>
      <c r="B247" t="s">
        <v>29</v>
      </c>
      <c r="C247" t="s">
        <v>1235</v>
      </c>
      <c r="D247" t="s">
        <v>1239</v>
      </c>
      <c r="E247" t="s">
        <v>184</v>
      </c>
      <c r="F247" t="s">
        <v>1238</v>
      </c>
      <c r="G247" s="4">
        <v>12.008869154449576</v>
      </c>
      <c r="H247" s="4">
        <v>0.95265494867813094</v>
      </c>
      <c r="I247">
        <v>4</v>
      </c>
      <c r="J247" t="s">
        <v>1214</v>
      </c>
      <c r="K247" t="s">
        <v>514</v>
      </c>
      <c r="L247" t="s">
        <v>1237</v>
      </c>
    </row>
    <row r="248" spans="1:12">
      <c r="A248" t="s">
        <v>42</v>
      </c>
      <c r="B248" t="s">
        <v>29</v>
      </c>
      <c r="C248" t="s">
        <v>1235</v>
      </c>
      <c r="D248" t="s">
        <v>1239</v>
      </c>
      <c r="E248" t="s">
        <v>195</v>
      </c>
      <c r="F248" t="s">
        <v>43</v>
      </c>
      <c r="G248" s="4">
        <v>15.169615993466278</v>
      </c>
      <c r="H248" s="4">
        <v>1.103799733811927</v>
      </c>
      <c r="I248">
        <v>4</v>
      </c>
      <c r="J248" t="s">
        <v>1214</v>
      </c>
      <c r="K248" t="s">
        <v>514</v>
      </c>
      <c r="L248" t="s">
        <v>1237</v>
      </c>
    </row>
    <row r="249" spans="1:12">
      <c r="A249" t="s">
        <v>42</v>
      </c>
      <c r="B249" t="s">
        <v>29</v>
      </c>
      <c r="C249" t="s">
        <v>1235</v>
      </c>
      <c r="D249" t="s">
        <v>1239</v>
      </c>
      <c r="E249" t="s">
        <v>195</v>
      </c>
      <c r="F249" t="s">
        <v>1238</v>
      </c>
      <c r="G249" s="4">
        <v>12.477565589142753</v>
      </c>
      <c r="H249" s="4">
        <v>1.1116771108512038</v>
      </c>
      <c r="I249">
        <v>4</v>
      </c>
      <c r="J249" t="s">
        <v>1214</v>
      </c>
      <c r="K249" t="s">
        <v>514</v>
      </c>
      <c r="L249" t="s">
        <v>1237</v>
      </c>
    </row>
    <row r="250" spans="1:12">
      <c r="A250" t="s">
        <v>42</v>
      </c>
      <c r="B250" t="s">
        <v>29</v>
      </c>
      <c r="C250" t="s">
        <v>1235</v>
      </c>
      <c r="D250" t="s">
        <v>1240</v>
      </c>
      <c r="E250" t="s">
        <v>184</v>
      </c>
      <c r="F250" t="s">
        <v>43</v>
      </c>
      <c r="G250" s="4">
        <v>20.705354262033918</v>
      </c>
      <c r="H250" s="4">
        <v>0.86945151646534524</v>
      </c>
      <c r="I250">
        <v>4</v>
      </c>
      <c r="J250" t="s">
        <v>1214</v>
      </c>
      <c r="K250" t="s">
        <v>514</v>
      </c>
      <c r="L250" t="s">
        <v>1237</v>
      </c>
    </row>
    <row r="251" spans="1:12">
      <c r="A251" t="s">
        <v>42</v>
      </c>
      <c r="B251" t="s">
        <v>29</v>
      </c>
      <c r="C251" t="s">
        <v>1235</v>
      </c>
      <c r="D251" t="s">
        <v>1240</v>
      </c>
      <c r="E251" t="s">
        <v>184</v>
      </c>
      <c r="F251" t="s">
        <v>1238</v>
      </c>
      <c r="G251" s="4">
        <v>14.065816259654351</v>
      </c>
      <c r="H251" s="4">
        <v>0.95265507471414668</v>
      </c>
      <c r="I251">
        <v>4</v>
      </c>
      <c r="J251" t="s">
        <v>1214</v>
      </c>
      <c r="K251" t="s">
        <v>514</v>
      </c>
      <c r="L251" t="s">
        <v>1237</v>
      </c>
    </row>
    <row r="252" spans="1:12">
      <c r="A252" t="s">
        <v>42</v>
      </c>
      <c r="B252" t="s">
        <v>29</v>
      </c>
      <c r="C252" t="s">
        <v>1235</v>
      </c>
      <c r="D252" t="s">
        <v>1240</v>
      </c>
      <c r="E252" t="s">
        <v>195</v>
      </c>
      <c r="F252" t="s">
        <v>43</v>
      </c>
      <c r="G252" s="4">
        <v>19.117103339450274</v>
      </c>
      <c r="H252" s="4">
        <v>1.1037997338119343</v>
      </c>
      <c r="I252">
        <v>4</v>
      </c>
      <c r="J252" t="s">
        <v>1214</v>
      </c>
      <c r="K252" t="s">
        <v>514</v>
      </c>
      <c r="L252" t="s">
        <v>1237</v>
      </c>
    </row>
    <row r="253" spans="1:12">
      <c r="A253" t="s">
        <v>42</v>
      </c>
      <c r="B253" t="s">
        <v>29</v>
      </c>
      <c r="C253" t="s">
        <v>1235</v>
      </c>
      <c r="D253" t="s">
        <v>1240</v>
      </c>
      <c r="E253" t="s">
        <v>195</v>
      </c>
      <c r="F253" t="s">
        <v>1238</v>
      </c>
      <c r="G253" s="4">
        <v>14.065816259654351</v>
      </c>
      <c r="H253" s="4">
        <v>0.95265507471414668</v>
      </c>
      <c r="I253">
        <v>4</v>
      </c>
      <c r="J253" t="s">
        <v>1214</v>
      </c>
      <c r="K253" t="s">
        <v>514</v>
      </c>
      <c r="L253" t="s">
        <v>1237</v>
      </c>
    </row>
    <row r="254" spans="1:12">
      <c r="A254" t="s">
        <v>42</v>
      </c>
      <c r="B254" t="s">
        <v>29</v>
      </c>
      <c r="C254" t="s">
        <v>1235</v>
      </c>
      <c r="D254" t="s">
        <v>1241</v>
      </c>
      <c r="E254" t="s">
        <v>184</v>
      </c>
      <c r="F254" t="s">
        <v>43</v>
      </c>
      <c r="G254" s="4">
        <v>18.330363084555042</v>
      </c>
      <c r="H254" s="4">
        <v>0.95265494867813094</v>
      </c>
      <c r="I254">
        <v>4</v>
      </c>
      <c r="J254" t="s">
        <v>1214</v>
      </c>
      <c r="K254" t="s">
        <v>514</v>
      </c>
      <c r="L254" t="s">
        <v>1237</v>
      </c>
    </row>
    <row r="255" spans="1:12">
      <c r="A255" t="s">
        <v>42</v>
      </c>
      <c r="B255" t="s">
        <v>29</v>
      </c>
      <c r="C255" t="s">
        <v>1235</v>
      </c>
      <c r="D255" t="s">
        <v>1241</v>
      </c>
      <c r="E255" t="s">
        <v>184</v>
      </c>
      <c r="F255" t="s">
        <v>1238</v>
      </c>
      <c r="G255" s="4">
        <v>13.112668888261503</v>
      </c>
      <c r="H255" s="4">
        <v>0.86994393918006363</v>
      </c>
      <c r="I255">
        <v>4</v>
      </c>
      <c r="J255" t="s">
        <v>1214</v>
      </c>
      <c r="K255" t="s">
        <v>514</v>
      </c>
      <c r="L255" t="s">
        <v>1237</v>
      </c>
    </row>
    <row r="256" spans="1:12">
      <c r="A256" t="s">
        <v>42</v>
      </c>
      <c r="B256" t="s">
        <v>29</v>
      </c>
      <c r="C256" t="s">
        <v>1235</v>
      </c>
      <c r="D256" t="s">
        <v>1241</v>
      </c>
      <c r="E256" t="s">
        <v>195</v>
      </c>
      <c r="F256" t="s">
        <v>43</v>
      </c>
      <c r="G256" s="4">
        <v>17.060156234245483</v>
      </c>
      <c r="H256" s="4">
        <v>1.103799733811927</v>
      </c>
      <c r="I256">
        <v>4</v>
      </c>
      <c r="J256" t="s">
        <v>1214</v>
      </c>
      <c r="K256" t="s">
        <v>514</v>
      </c>
      <c r="L256" t="s">
        <v>1237</v>
      </c>
    </row>
    <row r="257" spans="1:12">
      <c r="A257" t="s">
        <v>42</v>
      </c>
      <c r="B257" t="s">
        <v>29</v>
      </c>
      <c r="C257" t="s">
        <v>1235</v>
      </c>
      <c r="D257" t="s">
        <v>1241</v>
      </c>
      <c r="E257" t="s">
        <v>195</v>
      </c>
      <c r="F257" t="s">
        <v>1238</v>
      </c>
      <c r="G257" s="4">
        <v>13.279075752687074</v>
      </c>
      <c r="H257" s="4">
        <v>1.103799733811927</v>
      </c>
      <c r="I257">
        <v>4</v>
      </c>
      <c r="J257" t="s">
        <v>1214</v>
      </c>
      <c r="K257" t="s">
        <v>514</v>
      </c>
      <c r="L257" t="s">
        <v>1237</v>
      </c>
    </row>
    <row r="258" spans="1:12">
      <c r="A258" t="s">
        <v>42</v>
      </c>
      <c r="B258" t="s">
        <v>29</v>
      </c>
      <c r="C258" t="s">
        <v>1242</v>
      </c>
      <c r="D258" t="s">
        <v>1236</v>
      </c>
      <c r="E258" t="s">
        <v>184</v>
      </c>
      <c r="F258" t="s">
        <v>43</v>
      </c>
      <c r="G258" s="4">
        <v>17.226563098671068</v>
      </c>
      <c r="H258" s="4">
        <v>1.1037997338119343</v>
      </c>
      <c r="I258">
        <v>4</v>
      </c>
      <c r="J258" t="s">
        <v>1214</v>
      </c>
      <c r="K258" t="s">
        <v>514</v>
      </c>
      <c r="L258" t="s">
        <v>1237</v>
      </c>
    </row>
    <row r="259" spans="1:12">
      <c r="A259" t="s">
        <v>42</v>
      </c>
      <c r="B259" t="s">
        <v>29</v>
      </c>
      <c r="C259" t="s">
        <v>1242</v>
      </c>
      <c r="D259" t="s">
        <v>1236</v>
      </c>
      <c r="E259" t="s">
        <v>184</v>
      </c>
      <c r="F259" t="s">
        <v>1238</v>
      </c>
      <c r="G259" s="4">
        <v>12.008869154449576</v>
      </c>
      <c r="H259" s="4">
        <v>1.1042921565266526</v>
      </c>
      <c r="I259">
        <v>4</v>
      </c>
      <c r="J259" t="s">
        <v>1214</v>
      </c>
      <c r="K259" t="s">
        <v>514</v>
      </c>
      <c r="L259" t="s">
        <v>1237</v>
      </c>
    </row>
    <row r="260" spans="1:12">
      <c r="A260" t="s">
        <v>42</v>
      </c>
      <c r="B260" t="s">
        <v>29</v>
      </c>
      <c r="C260" t="s">
        <v>1242</v>
      </c>
      <c r="D260" t="s">
        <v>1236</v>
      </c>
      <c r="E260" t="s">
        <v>195</v>
      </c>
      <c r="F260" t="s">
        <v>43</v>
      </c>
      <c r="G260" s="4">
        <v>16.908519278469015</v>
      </c>
      <c r="H260" s="4">
        <v>1.1796183377361915</v>
      </c>
      <c r="I260">
        <v>4</v>
      </c>
      <c r="J260" t="s">
        <v>1214</v>
      </c>
      <c r="K260" t="s">
        <v>514</v>
      </c>
      <c r="L260" t="s">
        <v>1237</v>
      </c>
    </row>
    <row r="261" spans="1:12">
      <c r="A261" t="s">
        <v>42</v>
      </c>
      <c r="B261" t="s">
        <v>29</v>
      </c>
      <c r="C261" t="s">
        <v>1242</v>
      </c>
      <c r="D261" t="s">
        <v>1236</v>
      </c>
      <c r="E261" t="s">
        <v>195</v>
      </c>
      <c r="F261" t="s">
        <v>1238</v>
      </c>
      <c r="G261" s="4">
        <v>14.065816259654351</v>
      </c>
      <c r="H261" s="4">
        <v>1.028473678638411</v>
      </c>
      <c r="I261">
        <v>4</v>
      </c>
      <c r="J261" t="s">
        <v>1214</v>
      </c>
      <c r="K261" t="s">
        <v>514</v>
      </c>
      <c r="L261" t="s">
        <v>1237</v>
      </c>
    </row>
    <row r="262" spans="1:12">
      <c r="A262" t="s">
        <v>42</v>
      </c>
      <c r="B262" t="s">
        <v>29</v>
      </c>
      <c r="C262" t="s">
        <v>1242</v>
      </c>
      <c r="D262" t="s">
        <v>1239</v>
      </c>
      <c r="E262" t="s">
        <v>184</v>
      </c>
      <c r="F262" t="s">
        <v>43</v>
      </c>
      <c r="G262" s="4">
        <v>17.378200306519584</v>
      </c>
      <c r="H262" s="4">
        <v>1.1042921565266526</v>
      </c>
      <c r="I262">
        <v>4</v>
      </c>
      <c r="J262" t="s">
        <v>1214</v>
      </c>
      <c r="K262" t="s">
        <v>514</v>
      </c>
      <c r="L262" t="s">
        <v>1237</v>
      </c>
    </row>
    <row r="263" spans="1:12">
      <c r="A263" t="s">
        <v>42</v>
      </c>
      <c r="B263" t="s">
        <v>29</v>
      </c>
      <c r="C263" t="s">
        <v>1242</v>
      </c>
      <c r="D263" t="s">
        <v>1239</v>
      </c>
      <c r="E263" t="s">
        <v>184</v>
      </c>
      <c r="F263" t="s">
        <v>1238</v>
      </c>
      <c r="G263" s="4">
        <v>13.279075752687074</v>
      </c>
      <c r="H263" s="4">
        <v>1.103799733811927</v>
      </c>
      <c r="I263">
        <v>4</v>
      </c>
      <c r="J263" t="s">
        <v>1214</v>
      </c>
      <c r="K263" t="s">
        <v>514</v>
      </c>
      <c r="L263" t="s">
        <v>1237</v>
      </c>
    </row>
    <row r="264" spans="1:12">
      <c r="A264" t="s">
        <v>42</v>
      </c>
      <c r="B264" t="s">
        <v>29</v>
      </c>
      <c r="C264" t="s">
        <v>1242</v>
      </c>
      <c r="D264" t="s">
        <v>1239</v>
      </c>
      <c r="E264" t="s">
        <v>195</v>
      </c>
      <c r="F264" t="s">
        <v>43</v>
      </c>
      <c r="G264" s="4">
        <v>16.439822843775836</v>
      </c>
      <c r="H264" s="4">
        <v>1.1116771108511967</v>
      </c>
      <c r="I264">
        <v>4</v>
      </c>
      <c r="J264" t="s">
        <v>1214</v>
      </c>
      <c r="K264" t="s">
        <v>514</v>
      </c>
      <c r="L264" t="s">
        <v>1237</v>
      </c>
    </row>
    <row r="265" spans="1:12">
      <c r="A265" t="s">
        <v>42</v>
      </c>
      <c r="B265" t="s">
        <v>29</v>
      </c>
      <c r="C265" t="s">
        <v>1242</v>
      </c>
      <c r="D265" t="s">
        <v>1239</v>
      </c>
      <c r="E265" t="s">
        <v>195</v>
      </c>
      <c r="F265" t="s">
        <v>1238</v>
      </c>
      <c r="G265" s="4">
        <v>12.962016525842424</v>
      </c>
      <c r="H265" s="4">
        <v>0.86206668817680976</v>
      </c>
      <c r="I265">
        <v>4</v>
      </c>
      <c r="J265" t="s">
        <v>1214</v>
      </c>
      <c r="K265" t="s">
        <v>514</v>
      </c>
      <c r="L265" t="s">
        <v>1237</v>
      </c>
    </row>
    <row r="266" spans="1:12">
      <c r="A266" t="s">
        <v>42</v>
      </c>
      <c r="B266" t="s">
        <v>29</v>
      </c>
      <c r="C266" t="s">
        <v>1242</v>
      </c>
      <c r="D266" t="s">
        <v>1240</v>
      </c>
      <c r="E266" t="s">
        <v>184</v>
      </c>
      <c r="F266" t="s">
        <v>43</v>
      </c>
      <c r="G266" s="4">
        <v>19.903843846417537</v>
      </c>
      <c r="H266" s="4">
        <v>0.94527012038960256</v>
      </c>
      <c r="I266">
        <v>4</v>
      </c>
      <c r="J266" t="s">
        <v>1214</v>
      </c>
      <c r="K266" t="s">
        <v>514</v>
      </c>
      <c r="L266" t="s">
        <v>1237</v>
      </c>
    </row>
    <row r="267" spans="1:12">
      <c r="A267" t="s">
        <v>42</v>
      </c>
      <c r="B267" t="s">
        <v>29</v>
      </c>
      <c r="C267" t="s">
        <v>1242</v>
      </c>
      <c r="D267" t="s">
        <v>1240</v>
      </c>
      <c r="E267" t="s">
        <v>184</v>
      </c>
      <c r="F267" t="s">
        <v>1238</v>
      </c>
      <c r="G267" s="4">
        <v>15.336022857891864</v>
      </c>
      <c r="H267" s="4">
        <v>1.3381479511585161</v>
      </c>
      <c r="I267">
        <v>4</v>
      </c>
      <c r="J267" t="s">
        <v>1214</v>
      </c>
      <c r="K267" t="s">
        <v>514</v>
      </c>
      <c r="L267" t="s">
        <v>1237</v>
      </c>
    </row>
    <row r="268" spans="1:12">
      <c r="A268" t="s">
        <v>42</v>
      </c>
      <c r="B268" t="s">
        <v>29</v>
      </c>
      <c r="C268" t="s">
        <v>1242</v>
      </c>
      <c r="D268" t="s">
        <v>1240</v>
      </c>
      <c r="E268" t="s">
        <v>195</v>
      </c>
      <c r="F268" t="s">
        <v>43</v>
      </c>
      <c r="G268" s="4">
        <v>20.856006624452995</v>
      </c>
      <c r="H268" s="4">
        <v>1.1042920304906296</v>
      </c>
      <c r="I268">
        <v>4</v>
      </c>
      <c r="J268" t="s">
        <v>1214</v>
      </c>
      <c r="K268" t="s">
        <v>514</v>
      </c>
      <c r="L268" t="s">
        <v>1237</v>
      </c>
    </row>
    <row r="269" spans="1:12">
      <c r="A269" t="s">
        <v>42</v>
      </c>
      <c r="B269" t="s">
        <v>29</v>
      </c>
      <c r="C269" t="s">
        <v>1242</v>
      </c>
      <c r="D269" t="s">
        <v>1240</v>
      </c>
      <c r="E269" t="s">
        <v>195</v>
      </c>
      <c r="F269" t="s">
        <v>1238</v>
      </c>
      <c r="G269" s="4">
        <v>15.017979037689811</v>
      </c>
      <c r="H269" s="4">
        <v>0.62771847083022791</v>
      </c>
      <c r="I269">
        <v>4</v>
      </c>
      <c r="J269" t="s">
        <v>1214</v>
      </c>
      <c r="K269" t="s">
        <v>514</v>
      </c>
      <c r="L269" t="s">
        <v>1237</v>
      </c>
    </row>
    <row r="270" spans="1:12">
      <c r="A270" t="s">
        <v>42</v>
      </c>
      <c r="B270" t="s">
        <v>29</v>
      </c>
      <c r="C270" t="s">
        <v>1242</v>
      </c>
      <c r="D270" t="s">
        <v>1241</v>
      </c>
      <c r="E270" t="s">
        <v>184</v>
      </c>
      <c r="F270" t="s">
        <v>43</v>
      </c>
      <c r="G270" s="4">
        <v>19.117103339450274</v>
      </c>
      <c r="H270" s="4">
        <v>0.95314737139284922</v>
      </c>
      <c r="I270">
        <v>4</v>
      </c>
      <c r="J270" t="s">
        <v>1214</v>
      </c>
      <c r="K270" t="s">
        <v>514</v>
      </c>
      <c r="L270" t="s">
        <v>1237</v>
      </c>
    </row>
    <row r="271" spans="1:12">
      <c r="A271" t="s">
        <v>42</v>
      </c>
      <c r="B271" t="s">
        <v>29</v>
      </c>
      <c r="C271" t="s">
        <v>1242</v>
      </c>
      <c r="D271" t="s">
        <v>1241</v>
      </c>
      <c r="E271" t="s">
        <v>184</v>
      </c>
      <c r="F271" t="s">
        <v>1238</v>
      </c>
      <c r="G271" s="4">
        <v>14.53451269434753</v>
      </c>
      <c r="H271" s="4">
        <v>0.94527012038960256</v>
      </c>
      <c r="I271">
        <v>4</v>
      </c>
      <c r="J271" t="s">
        <v>1214</v>
      </c>
      <c r="K271" t="s">
        <v>514</v>
      </c>
      <c r="L271" t="s">
        <v>1237</v>
      </c>
    </row>
    <row r="272" spans="1:12">
      <c r="A272" t="s">
        <v>42</v>
      </c>
      <c r="B272" t="s">
        <v>29</v>
      </c>
      <c r="C272" t="s">
        <v>1242</v>
      </c>
      <c r="D272" t="s">
        <v>1241</v>
      </c>
      <c r="E272" t="s">
        <v>195</v>
      </c>
      <c r="F272" t="s">
        <v>43</v>
      </c>
      <c r="G272" s="4">
        <v>19.283510455947891</v>
      </c>
      <c r="H272" s="4">
        <v>1.1870032920607427</v>
      </c>
      <c r="I272">
        <v>4</v>
      </c>
      <c r="J272" t="s">
        <v>1214</v>
      </c>
      <c r="K272" t="s">
        <v>514</v>
      </c>
      <c r="L272" t="s">
        <v>1237</v>
      </c>
    </row>
    <row r="273" spans="1:12">
      <c r="A273" t="s">
        <v>42</v>
      </c>
      <c r="B273" t="s">
        <v>29</v>
      </c>
      <c r="C273" t="s">
        <v>1242</v>
      </c>
      <c r="D273" t="s">
        <v>1241</v>
      </c>
      <c r="E273" t="s">
        <v>195</v>
      </c>
      <c r="F273" t="s">
        <v>1238</v>
      </c>
      <c r="G273" s="4">
        <v>14.21646862207343</v>
      </c>
      <c r="H273" s="4">
        <v>1.0210885982778439</v>
      </c>
      <c r="I273">
        <v>4</v>
      </c>
      <c r="J273" t="s">
        <v>1214</v>
      </c>
      <c r="K273" t="s">
        <v>514</v>
      </c>
      <c r="L273" t="s">
        <v>1237</v>
      </c>
    </row>
    <row r="274" spans="1:12">
      <c r="A274" t="s">
        <v>42</v>
      </c>
      <c r="B274" t="s">
        <v>29</v>
      </c>
      <c r="C274" t="s">
        <v>1243</v>
      </c>
      <c r="D274" t="s">
        <v>1236</v>
      </c>
      <c r="E274" t="s">
        <v>184</v>
      </c>
      <c r="F274" t="s">
        <v>43</v>
      </c>
      <c r="G274" s="4">
        <v>15.956356500433557</v>
      </c>
      <c r="H274" s="4">
        <v>1.1042921565266526</v>
      </c>
      <c r="I274">
        <v>4</v>
      </c>
      <c r="J274" t="s">
        <v>1214</v>
      </c>
      <c r="K274" t="s">
        <v>514</v>
      </c>
      <c r="L274" t="s">
        <v>1237</v>
      </c>
    </row>
    <row r="275" spans="1:12">
      <c r="A275" t="s">
        <v>42</v>
      </c>
      <c r="B275" t="s">
        <v>29</v>
      </c>
      <c r="C275" t="s">
        <v>1243</v>
      </c>
      <c r="D275" t="s">
        <v>1236</v>
      </c>
      <c r="E275" t="s">
        <v>184</v>
      </c>
      <c r="F275" t="s">
        <v>1238</v>
      </c>
      <c r="G275" s="4">
        <v>10.75343221278912</v>
      </c>
      <c r="H275" s="4">
        <v>1.028473552602388</v>
      </c>
      <c r="I275">
        <v>4</v>
      </c>
      <c r="J275" t="s">
        <v>1214</v>
      </c>
      <c r="K275" t="s">
        <v>514</v>
      </c>
      <c r="L275" t="s">
        <v>1237</v>
      </c>
    </row>
    <row r="276" spans="1:12">
      <c r="A276" t="s">
        <v>42</v>
      </c>
      <c r="B276" t="s">
        <v>29</v>
      </c>
      <c r="C276" t="s">
        <v>1243</v>
      </c>
      <c r="D276" t="s">
        <v>1236</v>
      </c>
      <c r="E276" t="s">
        <v>195</v>
      </c>
      <c r="F276" t="s">
        <v>43</v>
      </c>
      <c r="G276" s="4">
        <v>15.017979037689811</v>
      </c>
      <c r="H276" s="4">
        <v>1.1874955887394383</v>
      </c>
      <c r="I276">
        <v>4</v>
      </c>
      <c r="J276" t="s">
        <v>1214</v>
      </c>
      <c r="K276" t="s">
        <v>514</v>
      </c>
      <c r="L276" t="s">
        <v>1237</v>
      </c>
    </row>
    <row r="277" spans="1:12">
      <c r="A277" t="s">
        <v>42</v>
      </c>
      <c r="B277" t="s">
        <v>29</v>
      </c>
      <c r="C277" t="s">
        <v>1243</v>
      </c>
      <c r="D277" t="s">
        <v>1236</v>
      </c>
      <c r="E277" t="s">
        <v>195</v>
      </c>
      <c r="F277" t="s">
        <v>1238</v>
      </c>
      <c r="G277" s="4">
        <v>13.430712960535603</v>
      </c>
      <c r="H277" s="4">
        <v>1.1042921565266526</v>
      </c>
      <c r="I277">
        <v>4</v>
      </c>
      <c r="J277" t="s">
        <v>1214</v>
      </c>
      <c r="K277" t="s">
        <v>514</v>
      </c>
      <c r="L277" t="s">
        <v>1237</v>
      </c>
    </row>
    <row r="278" spans="1:12">
      <c r="A278" t="s">
        <v>42</v>
      </c>
      <c r="B278" t="s">
        <v>29</v>
      </c>
      <c r="C278" t="s">
        <v>1243</v>
      </c>
      <c r="D278" t="s">
        <v>1239</v>
      </c>
      <c r="E278" t="s">
        <v>184</v>
      </c>
      <c r="F278" t="s">
        <v>43</v>
      </c>
      <c r="G278" s="4">
        <v>16.439822843775836</v>
      </c>
      <c r="H278" s="4">
        <v>1.1116771108511967</v>
      </c>
      <c r="I278">
        <v>4</v>
      </c>
      <c r="J278" t="s">
        <v>1214</v>
      </c>
      <c r="K278" t="s">
        <v>514</v>
      </c>
      <c r="L278" t="s">
        <v>1237</v>
      </c>
    </row>
    <row r="279" spans="1:12">
      <c r="A279" t="s">
        <v>42</v>
      </c>
      <c r="B279" t="s">
        <v>29</v>
      </c>
      <c r="C279" t="s">
        <v>1243</v>
      </c>
      <c r="D279" t="s">
        <v>1239</v>
      </c>
      <c r="E279" t="s">
        <v>184</v>
      </c>
      <c r="F279" t="s">
        <v>1238</v>
      </c>
      <c r="G279" s="4">
        <v>11.540172719756397</v>
      </c>
      <c r="H279" s="4">
        <v>1.1042921565266526</v>
      </c>
      <c r="I279">
        <v>4</v>
      </c>
      <c r="J279" t="s">
        <v>1214</v>
      </c>
      <c r="K279" t="s">
        <v>514</v>
      </c>
      <c r="L279" t="s">
        <v>1237</v>
      </c>
    </row>
    <row r="280" spans="1:12">
      <c r="A280" t="s">
        <v>42</v>
      </c>
      <c r="B280" t="s">
        <v>29</v>
      </c>
      <c r="C280" t="s">
        <v>1243</v>
      </c>
      <c r="D280" t="s">
        <v>1239</v>
      </c>
      <c r="E280" t="s">
        <v>195</v>
      </c>
      <c r="F280" t="s">
        <v>43</v>
      </c>
      <c r="G280" s="4">
        <v>15.638312428159457</v>
      </c>
      <c r="H280" s="4">
        <v>1.3460253281977856</v>
      </c>
      <c r="I280">
        <v>4</v>
      </c>
      <c r="J280" t="s">
        <v>1214</v>
      </c>
      <c r="K280" t="s">
        <v>514</v>
      </c>
      <c r="L280" t="s">
        <v>1237</v>
      </c>
    </row>
    <row r="281" spans="1:12">
      <c r="A281" t="s">
        <v>42</v>
      </c>
      <c r="B281" t="s">
        <v>29</v>
      </c>
      <c r="C281" t="s">
        <v>1243</v>
      </c>
      <c r="D281" t="s">
        <v>1239</v>
      </c>
      <c r="E281" t="s">
        <v>195</v>
      </c>
      <c r="F281" t="s">
        <v>1238</v>
      </c>
      <c r="G281" s="4">
        <v>11.857231946601047</v>
      </c>
      <c r="H281" s="4">
        <v>1.1870032920607356</v>
      </c>
      <c r="I281">
        <v>4</v>
      </c>
      <c r="J281" t="s">
        <v>1214</v>
      </c>
      <c r="K281" t="s">
        <v>514</v>
      </c>
      <c r="L281" t="s">
        <v>1237</v>
      </c>
    </row>
    <row r="282" spans="1:12">
      <c r="A282" t="s">
        <v>42</v>
      </c>
      <c r="B282" t="s">
        <v>29</v>
      </c>
      <c r="C282" t="s">
        <v>1243</v>
      </c>
      <c r="D282" t="s">
        <v>1240</v>
      </c>
      <c r="E282" t="s">
        <v>184</v>
      </c>
      <c r="F282" t="s">
        <v>43</v>
      </c>
      <c r="G282" s="4">
        <v>19.903843846417537</v>
      </c>
      <c r="H282" s="4">
        <v>1.1874954627034224</v>
      </c>
      <c r="I282">
        <v>4</v>
      </c>
      <c r="J282" t="s">
        <v>1214</v>
      </c>
      <c r="K282" t="s">
        <v>514</v>
      </c>
      <c r="L282" t="s">
        <v>1237</v>
      </c>
    </row>
    <row r="283" spans="1:12">
      <c r="A283" t="s">
        <v>42</v>
      </c>
      <c r="B283" t="s">
        <v>29</v>
      </c>
      <c r="C283" t="s">
        <v>1243</v>
      </c>
      <c r="D283" t="s">
        <v>1240</v>
      </c>
      <c r="E283" t="s">
        <v>184</v>
      </c>
      <c r="F283" t="s">
        <v>1238</v>
      </c>
      <c r="G283" s="4">
        <v>14.85255676662163</v>
      </c>
      <c r="H283" s="4">
        <v>1.2628217699489772</v>
      </c>
      <c r="I283">
        <v>4</v>
      </c>
      <c r="J283" t="s">
        <v>1214</v>
      </c>
      <c r="K283" t="s">
        <v>514</v>
      </c>
      <c r="L283" t="s">
        <v>1237</v>
      </c>
    </row>
    <row r="284" spans="1:12">
      <c r="A284" t="s">
        <v>42</v>
      </c>
      <c r="B284" t="s">
        <v>29</v>
      </c>
      <c r="C284" t="s">
        <v>1243</v>
      </c>
      <c r="D284" t="s">
        <v>1240</v>
      </c>
      <c r="E284" t="s">
        <v>195</v>
      </c>
      <c r="F284" t="s">
        <v>43</v>
      </c>
      <c r="G284" s="4">
        <v>19.117103339450274</v>
      </c>
      <c r="H284" s="4">
        <v>1.1037997338119343</v>
      </c>
      <c r="I284">
        <v>4</v>
      </c>
      <c r="J284" t="s">
        <v>1214</v>
      </c>
      <c r="K284" t="s">
        <v>514</v>
      </c>
      <c r="L284" t="s">
        <v>1237</v>
      </c>
    </row>
    <row r="285" spans="1:12">
      <c r="A285" t="s">
        <v>42</v>
      </c>
      <c r="B285" t="s">
        <v>29</v>
      </c>
      <c r="C285" t="s">
        <v>1243</v>
      </c>
      <c r="D285" t="s">
        <v>1240</v>
      </c>
      <c r="E285" t="s">
        <v>195</v>
      </c>
      <c r="F285" t="s">
        <v>1238</v>
      </c>
      <c r="G285" s="4">
        <v>14.065816259654351</v>
      </c>
      <c r="H285" s="4">
        <v>1.1874955887394383</v>
      </c>
      <c r="I285">
        <v>4</v>
      </c>
      <c r="J285" t="s">
        <v>1214</v>
      </c>
      <c r="K285" t="s">
        <v>514</v>
      </c>
      <c r="L285" t="s">
        <v>1237</v>
      </c>
    </row>
    <row r="286" spans="1:12">
      <c r="A286" t="s">
        <v>42</v>
      </c>
      <c r="B286" t="s">
        <v>29</v>
      </c>
      <c r="C286" t="s">
        <v>1243</v>
      </c>
      <c r="D286" t="s">
        <v>1241</v>
      </c>
      <c r="E286" t="s">
        <v>184</v>
      </c>
      <c r="F286" t="s">
        <v>43</v>
      </c>
      <c r="G286" s="4">
        <v>17.226563098671068</v>
      </c>
      <c r="H286" s="4">
        <v>1.1037997338119343</v>
      </c>
      <c r="I286">
        <v>4</v>
      </c>
      <c r="J286" t="s">
        <v>1214</v>
      </c>
      <c r="K286" t="s">
        <v>514</v>
      </c>
      <c r="L286" t="s">
        <v>1237</v>
      </c>
    </row>
    <row r="287" spans="1:12">
      <c r="A287" t="s">
        <v>42</v>
      </c>
      <c r="B287" t="s">
        <v>29</v>
      </c>
      <c r="C287" t="s">
        <v>1243</v>
      </c>
      <c r="D287" t="s">
        <v>1241</v>
      </c>
      <c r="E287" t="s">
        <v>184</v>
      </c>
      <c r="F287" t="s">
        <v>1238</v>
      </c>
      <c r="G287" s="4">
        <v>13.279075752687074</v>
      </c>
      <c r="H287" s="4">
        <v>0.94527012038960256</v>
      </c>
      <c r="I287">
        <v>4</v>
      </c>
      <c r="J287" t="s">
        <v>1214</v>
      </c>
      <c r="K287" t="s">
        <v>514</v>
      </c>
      <c r="L287" t="s">
        <v>1237</v>
      </c>
    </row>
    <row r="288" spans="1:12">
      <c r="A288" t="s">
        <v>42</v>
      </c>
      <c r="B288" t="s">
        <v>29</v>
      </c>
      <c r="C288" t="s">
        <v>1243</v>
      </c>
      <c r="D288" t="s">
        <v>1241</v>
      </c>
      <c r="E288" t="s">
        <v>195</v>
      </c>
      <c r="F288" t="s">
        <v>43</v>
      </c>
      <c r="G288" s="4">
        <v>18.48200004033151</v>
      </c>
      <c r="H288" s="4">
        <v>1.3460253281977856</v>
      </c>
      <c r="I288">
        <v>4</v>
      </c>
      <c r="J288" t="s">
        <v>1214</v>
      </c>
      <c r="K288" t="s">
        <v>514</v>
      </c>
      <c r="L288" t="s">
        <v>1237</v>
      </c>
    </row>
    <row r="289" spans="1:12">
      <c r="A289" t="s">
        <v>42</v>
      </c>
      <c r="B289" t="s">
        <v>29</v>
      </c>
      <c r="C289" t="s">
        <v>1243</v>
      </c>
      <c r="D289" t="s">
        <v>1241</v>
      </c>
      <c r="E289" t="s">
        <v>195</v>
      </c>
      <c r="F289" t="s">
        <v>1238</v>
      </c>
      <c r="G289" s="4">
        <v>13.89940939522878</v>
      </c>
      <c r="H289" s="4">
        <v>1.1116771108511967</v>
      </c>
      <c r="I289">
        <v>4</v>
      </c>
      <c r="J289" t="s">
        <v>1214</v>
      </c>
      <c r="K289" t="s">
        <v>514</v>
      </c>
      <c r="L289" t="s">
        <v>1237</v>
      </c>
    </row>
    <row r="290" spans="1:12">
      <c r="A290" t="s">
        <v>53</v>
      </c>
      <c r="B290" t="s">
        <v>41</v>
      </c>
      <c r="C290" t="s">
        <v>1235</v>
      </c>
      <c r="D290" t="s">
        <v>1236</v>
      </c>
      <c r="E290" t="s">
        <v>184</v>
      </c>
      <c r="F290" t="s">
        <v>43</v>
      </c>
      <c r="G290" s="4">
        <v>4.2567137314673662</v>
      </c>
      <c r="H290" s="4">
        <v>0.11014573229873714</v>
      </c>
      <c r="I290">
        <v>4</v>
      </c>
      <c r="J290" t="s">
        <v>1214</v>
      </c>
      <c r="K290" t="s">
        <v>514</v>
      </c>
      <c r="L290" t="s">
        <v>1237</v>
      </c>
    </row>
    <row r="291" spans="1:12">
      <c r="A291" t="s">
        <v>53</v>
      </c>
      <c r="B291" t="s">
        <v>41</v>
      </c>
      <c r="C291" t="s">
        <v>1235</v>
      </c>
      <c r="D291" t="s">
        <v>1236</v>
      </c>
      <c r="E291" t="s">
        <v>184</v>
      </c>
      <c r="F291" t="s">
        <v>1238</v>
      </c>
      <c r="G291" s="4">
        <v>3.2131707080504337</v>
      </c>
      <c r="H291" s="4">
        <v>0.15168719689621626</v>
      </c>
      <c r="I291">
        <v>4</v>
      </c>
      <c r="J291" t="s">
        <v>1214</v>
      </c>
      <c r="K291" t="s">
        <v>514</v>
      </c>
      <c r="L291" t="s">
        <v>1237</v>
      </c>
    </row>
    <row r="292" spans="1:12">
      <c r="A292" t="s">
        <v>53</v>
      </c>
      <c r="B292" t="s">
        <v>41</v>
      </c>
      <c r="C292" t="s">
        <v>1235</v>
      </c>
      <c r="D292" t="s">
        <v>1236</v>
      </c>
      <c r="E292" t="s">
        <v>195</v>
      </c>
      <c r="F292" t="s">
        <v>43</v>
      </c>
      <c r="G292" s="4">
        <v>4.9922816267146981</v>
      </c>
      <c r="H292" s="4">
        <v>0.19539368851323261</v>
      </c>
      <c r="I292">
        <v>4</v>
      </c>
      <c r="J292" t="s">
        <v>1214</v>
      </c>
      <c r="K292" t="s">
        <v>514</v>
      </c>
      <c r="L292" t="s">
        <v>1237</v>
      </c>
    </row>
    <row r="293" spans="1:12">
      <c r="A293" t="s">
        <v>53</v>
      </c>
      <c r="B293" t="s">
        <v>41</v>
      </c>
      <c r="C293" t="s">
        <v>1235</v>
      </c>
      <c r="D293" t="s">
        <v>1236</v>
      </c>
      <c r="E293" t="s">
        <v>195</v>
      </c>
      <c r="F293" t="s">
        <v>1238</v>
      </c>
      <c r="G293" s="4">
        <v>3.4751389774144354</v>
      </c>
      <c r="H293" s="4">
        <v>0.54247460856311569</v>
      </c>
      <c r="I293">
        <v>4</v>
      </c>
      <c r="J293" t="s">
        <v>1214</v>
      </c>
      <c r="K293" t="s">
        <v>514</v>
      </c>
      <c r="L293" t="s">
        <v>1237</v>
      </c>
    </row>
    <row r="294" spans="1:12">
      <c r="A294" t="s">
        <v>53</v>
      </c>
      <c r="B294" t="s">
        <v>41</v>
      </c>
      <c r="C294" t="s">
        <v>1235</v>
      </c>
      <c r="D294" t="s">
        <v>1239</v>
      </c>
      <c r="E294" t="s">
        <v>184</v>
      </c>
      <c r="F294" t="s">
        <v>43</v>
      </c>
      <c r="G294" s="4">
        <v>4.3855328391298292</v>
      </c>
      <c r="H294" s="4">
        <v>8.7277643064984464E-2</v>
      </c>
      <c r="I294">
        <v>4</v>
      </c>
      <c r="J294" t="s">
        <v>1214</v>
      </c>
      <c r="K294" t="s">
        <v>514</v>
      </c>
      <c r="L294" t="s">
        <v>1237</v>
      </c>
    </row>
    <row r="295" spans="1:12">
      <c r="A295" t="s">
        <v>53</v>
      </c>
      <c r="B295" t="s">
        <v>41</v>
      </c>
      <c r="C295" t="s">
        <v>1235</v>
      </c>
      <c r="D295" t="s">
        <v>1239</v>
      </c>
      <c r="E295" t="s">
        <v>184</v>
      </c>
      <c r="F295" t="s">
        <v>1238</v>
      </c>
      <c r="G295" s="4">
        <v>3.3005836912844666</v>
      </c>
      <c r="H295" s="4">
        <v>6.44095538312318E-2</v>
      </c>
      <c r="I295">
        <v>4</v>
      </c>
      <c r="J295" t="s">
        <v>1214</v>
      </c>
      <c r="K295" t="s">
        <v>514</v>
      </c>
      <c r="L295" t="s">
        <v>1237</v>
      </c>
    </row>
    <row r="296" spans="1:12">
      <c r="A296" t="s">
        <v>53</v>
      </c>
      <c r="B296" t="s">
        <v>41</v>
      </c>
      <c r="C296" t="s">
        <v>1235</v>
      </c>
      <c r="D296" t="s">
        <v>1239</v>
      </c>
      <c r="E296" t="s">
        <v>195</v>
      </c>
      <c r="F296" t="s">
        <v>43</v>
      </c>
      <c r="G296" s="4">
        <v>5.1668369821255355</v>
      </c>
      <c r="H296" s="4">
        <v>8.7277643064984464E-2</v>
      </c>
      <c r="I296">
        <v>4</v>
      </c>
      <c r="J296" t="s">
        <v>1214</v>
      </c>
      <c r="K296" t="s">
        <v>514</v>
      </c>
      <c r="L296" t="s">
        <v>1237</v>
      </c>
    </row>
    <row r="297" spans="1:12">
      <c r="A297" t="s">
        <v>53</v>
      </c>
      <c r="B297" t="s">
        <v>41</v>
      </c>
      <c r="C297" t="s">
        <v>1235</v>
      </c>
      <c r="D297" t="s">
        <v>1239</v>
      </c>
      <c r="E297" t="s">
        <v>195</v>
      </c>
      <c r="F297" t="s">
        <v>1238</v>
      </c>
      <c r="G297" s="4">
        <v>3.3419898157128975</v>
      </c>
      <c r="H297" s="4">
        <v>0.1101457669391733</v>
      </c>
      <c r="I297">
        <v>4</v>
      </c>
      <c r="J297" t="s">
        <v>1214</v>
      </c>
      <c r="K297" t="s">
        <v>514</v>
      </c>
      <c r="L297" t="s">
        <v>1237</v>
      </c>
    </row>
    <row r="298" spans="1:12">
      <c r="A298" t="s">
        <v>53</v>
      </c>
      <c r="B298" t="s">
        <v>41</v>
      </c>
      <c r="C298" t="s">
        <v>1235</v>
      </c>
      <c r="D298" t="s">
        <v>1240</v>
      </c>
      <c r="E298" t="s">
        <v>184</v>
      </c>
      <c r="F298" t="s">
        <v>43</v>
      </c>
      <c r="G298" s="4">
        <v>4.9922816267146981</v>
      </c>
      <c r="H298" s="4">
        <v>8.7277643064984464E-2</v>
      </c>
      <c r="I298">
        <v>4</v>
      </c>
      <c r="J298" t="s">
        <v>1214</v>
      </c>
      <c r="K298" t="s">
        <v>514</v>
      </c>
      <c r="L298" t="s">
        <v>1237</v>
      </c>
    </row>
    <row r="299" spans="1:12">
      <c r="A299" t="s">
        <v>53</v>
      </c>
      <c r="B299" t="s">
        <v>41</v>
      </c>
      <c r="C299" t="s">
        <v>1235</v>
      </c>
      <c r="D299" t="s">
        <v>1240</v>
      </c>
      <c r="E299" t="s">
        <v>184</v>
      </c>
      <c r="F299" t="s">
        <v>1238</v>
      </c>
      <c r="G299" s="4">
        <v>3.953068657336841</v>
      </c>
      <c r="H299" s="4">
        <v>2.0838402383263663E-2</v>
      </c>
      <c r="I299">
        <v>4</v>
      </c>
      <c r="J299" t="s">
        <v>1214</v>
      </c>
      <c r="K299" t="s">
        <v>514</v>
      </c>
      <c r="L299" t="s">
        <v>1237</v>
      </c>
    </row>
    <row r="300" spans="1:12">
      <c r="A300" t="s">
        <v>53</v>
      </c>
      <c r="B300" t="s">
        <v>41</v>
      </c>
      <c r="C300" t="s">
        <v>1235</v>
      </c>
      <c r="D300" t="s">
        <v>1240</v>
      </c>
      <c r="E300" t="s">
        <v>195</v>
      </c>
      <c r="F300" t="s">
        <v>43</v>
      </c>
      <c r="G300" s="4">
        <v>5.4288052514895373</v>
      </c>
      <c r="H300" s="4">
        <v>0.17252559927947994</v>
      </c>
      <c r="I300">
        <v>4</v>
      </c>
      <c r="J300" t="s">
        <v>1214</v>
      </c>
      <c r="K300" t="s">
        <v>514</v>
      </c>
      <c r="L300" t="s">
        <v>1237</v>
      </c>
    </row>
    <row r="301" spans="1:12">
      <c r="A301" t="s">
        <v>53</v>
      </c>
      <c r="B301" t="s">
        <v>41</v>
      </c>
      <c r="C301" t="s">
        <v>1235</v>
      </c>
      <c r="D301" t="s">
        <v>1240</v>
      </c>
      <c r="E301" t="s">
        <v>195</v>
      </c>
      <c r="F301" t="s">
        <v>1238</v>
      </c>
      <c r="G301" s="4">
        <v>4.0821584453373969</v>
      </c>
      <c r="H301" s="4">
        <v>8.7277643064984464E-2</v>
      </c>
      <c r="I301">
        <v>4</v>
      </c>
      <c r="J301" t="s">
        <v>1214</v>
      </c>
      <c r="K301" t="s">
        <v>514</v>
      </c>
      <c r="L301" t="s">
        <v>1237</v>
      </c>
    </row>
    <row r="302" spans="1:12">
      <c r="A302" t="s">
        <v>53</v>
      </c>
      <c r="B302" t="s">
        <v>41</v>
      </c>
      <c r="C302" t="s">
        <v>1235</v>
      </c>
      <c r="D302" t="s">
        <v>1241</v>
      </c>
      <c r="E302" t="s">
        <v>184</v>
      </c>
      <c r="F302" t="s">
        <v>43</v>
      </c>
      <c r="G302" s="4">
        <v>4.6889072329222623</v>
      </c>
      <c r="H302" s="4">
        <v>8.7412983234032668E-2</v>
      </c>
      <c r="I302">
        <v>4</v>
      </c>
      <c r="J302" t="s">
        <v>1214</v>
      </c>
      <c r="K302" t="s">
        <v>514</v>
      </c>
      <c r="L302" t="s">
        <v>1237</v>
      </c>
    </row>
    <row r="303" spans="1:12">
      <c r="A303" t="s">
        <v>53</v>
      </c>
      <c r="B303" t="s">
        <v>41</v>
      </c>
      <c r="C303" t="s">
        <v>1235</v>
      </c>
      <c r="D303" t="s">
        <v>1241</v>
      </c>
      <c r="E303" t="s">
        <v>184</v>
      </c>
      <c r="F303" t="s">
        <v>1238</v>
      </c>
      <c r="G303" s="4">
        <v>3.4751389774144354</v>
      </c>
      <c r="H303" s="4">
        <v>0</v>
      </c>
      <c r="I303">
        <v>4</v>
      </c>
      <c r="J303" t="s">
        <v>1214</v>
      </c>
      <c r="K303" t="s">
        <v>514</v>
      </c>
      <c r="L303" t="s">
        <v>1237</v>
      </c>
    </row>
    <row r="304" spans="1:12">
      <c r="A304" t="s">
        <v>53</v>
      </c>
      <c r="B304" t="s">
        <v>41</v>
      </c>
      <c r="C304" t="s">
        <v>1235</v>
      </c>
      <c r="D304" t="s">
        <v>1241</v>
      </c>
      <c r="E304" t="s">
        <v>195</v>
      </c>
      <c r="F304" t="s">
        <v>43</v>
      </c>
      <c r="G304" s="4">
        <v>5.3830690730220283</v>
      </c>
      <c r="H304" s="4">
        <v>6.44095538312318E-2</v>
      </c>
      <c r="I304">
        <v>4</v>
      </c>
      <c r="J304" t="s">
        <v>1214</v>
      </c>
      <c r="K304" t="s">
        <v>514</v>
      </c>
      <c r="L304" t="s">
        <v>1237</v>
      </c>
    </row>
    <row r="305" spans="1:12">
      <c r="A305" t="s">
        <v>53</v>
      </c>
      <c r="B305" t="s">
        <v>41</v>
      </c>
      <c r="C305" t="s">
        <v>1235</v>
      </c>
      <c r="D305" t="s">
        <v>1241</v>
      </c>
      <c r="E305" t="s">
        <v>195</v>
      </c>
      <c r="F305" t="s">
        <v>1238</v>
      </c>
      <c r="G305" s="4">
        <v>3.8659263544409006</v>
      </c>
      <c r="H305" s="4">
        <v>0.13098413468200079</v>
      </c>
      <c r="I305">
        <v>4</v>
      </c>
      <c r="J305" t="s">
        <v>1214</v>
      </c>
      <c r="K305" t="s">
        <v>514</v>
      </c>
      <c r="L305" t="s">
        <v>1237</v>
      </c>
    </row>
    <row r="306" spans="1:12">
      <c r="A306" t="s">
        <v>53</v>
      </c>
      <c r="B306" t="s">
        <v>41</v>
      </c>
      <c r="C306" t="s">
        <v>1242</v>
      </c>
      <c r="D306" t="s">
        <v>1236</v>
      </c>
      <c r="E306" t="s">
        <v>184</v>
      </c>
      <c r="F306" t="s">
        <v>43</v>
      </c>
      <c r="G306" s="4">
        <v>4.4312690175973346</v>
      </c>
      <c r="H306" s="4">
        <v>0.10811604544824814</v>
      </c>
      <c r="I306">
        <v>4</v>
      </c>
      <c r="J306" t="s">
        <v>1214</v>
      </c>
      <c r="K306" t="s">
        <v>514</v>
      </c>
      <c r="L306" t="s">
        <v>1237</v>
      </c>
    </row>
    <row r="307" spans="1:12">
      <c r="A307" t="s">
        <v>53</v>
      </c>
      <c r="B307" t="s">
        <v>41</v>
      </c>
      <c r="C307" t="s">
        <v>1242</v>
      </c>
      <c r="D307" t="s">
        <v>1236</v>
      </c>
      <c r="E307" t="s">
        <v>184</v>
      </c>
      <c r="F307" t="s">
        <v>1238</v>
      </c>
      <c r="G307" s="4">
        <v>3.3005836912844666</v>
      </c>
      <c r="H307" s="4">
        <v>2.2868123874186862E-2</v>
      </c>
      <c r="I307">
        <v>4</v>
      </c>
      <c r="J307" t="s">
        <v>1214</v>
      </c>
      <c r="K307" t="s">
        <v>514</v>
      </c>
      <c r="L307" t="s">
        <v>1237</v>
      </c>
    </row>
    <row r="308" spans="1:12">
      <c r="A308" t="s">
        <v>53</v>
      </c>
      <c r="B308" t="s">
        <v>41</v>
      </c>
      <c r="C308" t="s">
        <v>1242</v>
      </c>
      <c r="D308" t="s">
        <v>1236</v>
      </c>
      <c r="E308" t="s">
        <v>195</v>
      </c>
      <c r="F308" t="s">
        <v>43</v>
      </c>
      <c r="G308" s="4">
        <v>5.079694609948727</v>
      </c>
      <c r="H308" s="4">
        <v>0.19539368851323261</v>
      </c>
      <c r="I308">
        <v>4</v>
      </c>
      <c r="J308" t="s">
        <v>1214</v>
      </c>
      <c r="K308" t="s">
        <v>514</v>
      </c>
      <c r="L308" t="s">
        <v>1237</v>
      </c>
    </row>
    <row r="309" spans="1:12">
      <c r="A309" t="s">
        <v>53</v>
      </c>
      <c r="B309" t="s">
        <v>41</v>
      </c>
      <c r="C309" t="s">
        <v>1242</v>
      </c>
      <c r="D309" t="s">
        <v>1236</v>
      </c>
      <c r="E309" t="s">
        <v>195</v>
      </c>
      <c r="F309" t="s">
        <v>1238</v>
      </c>
      <c r="G309" s="4">
        <v>3.2589068865179391</v>
      </c>
      <c r="H309" s="4">
        <v>8.5112650685881461E-2</v>
      </c>
      <c r="I309">
        <v>4</v>
      </c>
      <c r="J309" t="s">
        <v>1214</v>
      </c>
      <c r="K309" t="s">
        <v>514</v>
      </c>
      <c r="L309" t="s">
        <v>1237</v>
      </c>
    </row>
    <row r="310" spans="1:12">
      <c r="A310" t="s">
        <v>53</v>
      </c>
      <c r="B310" t="s">
        <v>41</v>
      </c>
      <c r="C310" t="s">
        <v>1242</v>
      </c>
      <c r="D310" t="s">
        <v>1239</v>
      </c>
      <c r="E310" t="s">
        <v>184</v>
      </c>
      <c r="F310" t="s">
        <v>43</v>
      </c>
      <c r="G310" s="4">
        <v>4.2567137314673662</v>
      </c>
      <c r="H310" s="4">
        <v>8.7277643064984464E-2</v>
      </c>
      <c r="I310">
        <v>4</v>
      </c>
      <c r="J310" t="s">
        <v>1214</v>
      </c>
      <c r="K310" t="s">
        <v>514</v>
      </c>
      <c r="L310" t="s">
        <v>1237</v>
      </c>
    </row>
    <row r="311" spans="1:12">
      <c r="A311" t="s">
        <v>53</v>
      </c>
      <c r="B311" t="s">
        <v>41</v>
      </c>
      <c r="C311" t="s">
        <v>1242</v>
      </c>
      <c r="D311" t="s">
        <v>1239</v>
      </c>
      <c r="E311" t="s">
        <v>184</v>
      </c>
      <c r="F311" t="s">
        <v>1238</v>
      </c>
      <c r="G311" s="4">
        <v>3.2131707080504337</v>
      </c>
      <c r="H311" s="4">
        <v>0.1079807399196361</v>
      </c>
      <c r="I311">
        <v>4</v>
      </c>
      <c r="J311" t="s">
        <v>1214</v>
      </c>
      <c r="K311" t="s">
        <v>514</v>
      </c>
      <c r="L311" t="s">
        <v>1237</v>
      </c>
    </row>
    <row r="312" spans="1:12">
      <c r="A312" t="s">
        <v>53</v>
      </c>
      <c r="B312" t="s">
        <v>41</v>
      </c>
      <c r="C312" t="s">
        <v>1242</v>
      </c>
      <c r="D312" t="s">
        <v>1239</v>
      </c>
      <c r="E312" t="s">
        <v>195</v>
      </c>
      <c r="F312" t="s">
        <v>43</v>
      </c>
      <c r="G312" s="4">
        <v>5.2542498960786999</v>
      </c>
      <c r="H312" s="4">
        <v>0.10811601080781394</v>
      </c>
      <c r="I312">
        <v>4</v>
      </c>
      <c r="J312" t="s">
        <v>1214</v>
      </c>
      <c r="K312" t="s">
        <v>514</v>
      </c>
      <c r="L312" t="s">
        <v>1237</v>
      </c>
    </row>
    <row r="313" spans="1:12">
      <c r="A313" t="s">
        <v>53</v>
      </c>
      <c r="B313" t="s">
        <v>41</v>
      </c>
      <c r="C313" t="s">
        <v>1242</v>
      </c>
      <c r="D313" t="s">
        <v>1239</v>
      </c>
      <c r="E313" t="s">
        <v>195</v>
      </c>
      <c r="F313" t="s">
        <v>1238</v>
      </c>
      <c r="G313" s="4">
        <v>3.2131707080504337</v>
      </c>
      <c r="H313" s="4">
        <v>0.23896483996120271</v>
      </c>
      <c r="I313">
        <v>4</v>
      </c>
      <c r="J313" t="s">
        <v>1214</v>
      </c>
      <c r="K313" t="s">
        <v>514</v>
      </c>
      <c r="L313" t="s">
        <v>1237</v>
      </c>
    </row>
    <row r="314" spans="1:12">
      <c r="A314" t="s">
        <v>53</v>
      </c>
      <c r="B314" t="s">
        <v>41</v>
      </c>
      <c r="C314" t="s">
        <v>1242</v>
      </c>
      <c r="D314" t="s">
        <v>1240</v>
      </c>
      <c r="E314" t="s">
        <v>184</v>
      </c>
      <c r="F314" t="s">
        <v>43</v>
      </c>
      <c r="G314" s="4">
        <v>5.079694609948727</v>
      </c>
      <c r="H314" s="4">
        <v>0.15168719689621626</v>
      </c>
      <c r="I314">
        <v>4</v>
      </c>
      <c r="J314" t="s">
        <v>1214</v>
      </c>
      <c r="K314" t="s">
        <v>514</v>
      </c>
      <c r="L314" t="s">
        <v>1237</v>
      </c>
    </row>
    <row r="315" spans="1:12">
      <c r="A315" t="s">
        <v>53</v>
      </c>
      <c r="B315" t="s">
        <v>41</v>
      </c>
      <c r="C315" t="s">
        <v>1242</v>
      </c>
      <c r="D315" t="s">
        <v>1240</v>
      </c>
      <c r="E315" t="s">
        <v>184</v>
      </c>
      <c r="F315" t="s">
        <v>1238</v>
      </c>
      <c r="G315" s="4">
        <v>3.8201901759733952</v>
      </c>
      <c r="H315" s="4">
        <v>6.6574580850769005E-2</v>
      </c>
      <c r="I315">
        <v>4</v>
      </c>
      <c r="J315" t="s">
        <v>1214</v>
      </c>
      <c r="K315" t="s">
        <v>514</v>
      </c>
      <c r="L315" t="s">
        <v>1237</v>
      </c>
    </row>
    <row r="316" spans="1:12">
      <c r="A316" t="s">
        <v>53</v>
      </c>
      <c r="B316" t="s">
        <v>41</v>
      </c>
      <c r="C316" t="s">
        <v>1242</v>
      </c>
      <c r="D316" t="s">
        <v>1240</v>
      </c>
      <c r="E316" t="s">
        <v>195</v>
      </c>
      <c r="F316" t="s">
        <v>43</v>
      </c>
      <c r="G316" s="4">
        <v>5.5162181654427016</v>
      </c>
      <c r="H316" s="4">
        <v>0.13098413468200079</v>
      </c>
      <c r="I316">
        <v>4</v>
      </c>
      <c r="J316" t="s">
        <v>1214</v>
      </c>
      <c r="K316" t="s">
        <v>514</v>
      </c>
      <c r="L316" t="s">
        <v>1237</v>
      </c>
    </row>
    <row r="317" spans="1:12">
      <c r="A317" t="s">
        <v>53</v>
      </c>
      <c r="B317" t="s">
        <v>41</v>
      </c>
      <c r="C317" t="s">
        <v>1242</v>
      </c>
      <c r="D317" t="s">
        <v>1240</v>
      </c>
      <c r="E317" t="s">
        <v>195</v>
      </c>
      <c r="F317" t="s">
        <v>1238</v>
      </c>
      <c r="G317" s="4">
        <v>3.9073324788693315</v>
      </c>
      <c r="H317" s="4">
        <v>0.10798070527920191</v>
      </c>
      <c r="I317">
        <v>4</v>
      </c>
      <c r="J317" t="s">
        <v>1214</v>
      </c>
      <c r="K317" t="s">
        <v>514</v>
      </c>
      <c r="L317" t="s">
        <v>1237</v>
      </c>
    </row>
    <row r="318" spans="1:12">
      <c r="A318" t="s">
        <v>53</v>
      </c>
      <c r="B318" t="s">
        <v>41</v>
      </c>
      <c r="C318" t="s">
        <v>1242</v>
      </c>
      <c r="D318" t="s">
        <v>1241</v>
      </c>
      <c r="E318" t="s">
        <v>184</v>
      </c>
      <c r="F318" t="s">
        <v>43</v>
      </c>
      <c r="G318" s="4">
        <v>4.647230497436607</v>
      </c>
      <c r="H318" s="4">
        <v>0.30350973396148073</v>
      </c>
      <c r="I318">
        <v>4</v>
      </c>
      <c r="J318" t="s">
        <v>1214</v>
      </c>
      <c r="K318" t="s">
        <v>514</v>
      </c>
      <c r="L318" t="s">
        <v>1237</v>
      </c>
    </row>
    <row r="319" spans="1:12">
      <c r="A319" t="s">
        <v>53</v>
      </c>
      <c r="B319" t="s">
        <v>41</v>
      </c>
      <c r="C319" t="s">
        <v>1242</v>
      </c>
      <c r="D319" t="s">
        <v>1241</v>
      </c>
      <c r="E319" t="s">
        <v>184</v>
      </c>
      <c r="F319" t="s">
        <v>1238</v>
      </c>
      <c r="G319" s="4">
        <v>3.3419898157128975</v>
      </c>
      <c r="H319" s="4">
        <v>0.10811601080781394</v>
      </c>
      <c r="I319">
        <v>4</v>
      </c>
      <c r="J319" t="s">
        <v>1214</v>
      </c>
      <c r="K319" t="s">
        <v>514</v>
      </c>
      <c r="L319" t="s">
        <v>1237</v>
      </c>
    </row>
    <row r="320" spans="1:12">
      <c r="A320" t="s">
        <v>53</v>
      </c>
      <c r="B320" t="s">
        <v>41</v>
      </c>
      <c r="C320" t="s">
        <v>1242</v>
      </c>
      <c r="D320" t="s">
        <v>1241</v>
      </c>
      <c r="E320" t="s">
        <v>195</v>
      </c>
      <c r="F320" t="s">
        <v>43</v>
      </c>
      <c r="G320" s="4">
        <v>5.3830690730220283</v>
      </c>
      <c r="H320" s="4">
        <v>0</v>
      </c>
      <c r="I320">
        <v>4</v>
      </c>
      <c r="J320" t="s">
        <v>1214</v>
      </c>
      <c r="K320" t="s">
        <v>514</v>
      </c>
      <c r="L320" t="s">
        <v>1237</v>
      </c>
    </row>
    <row r="321" spans="1:12">
      <c r="A321" t="s">
        <v>53</v>
      </c>
      <c r="B321" t="s">
        <v>41</v>
      </c>
      <c r="C321" t="s">
        <v>1242</v>
      </c>
      <c r="D321" t="s">
        <v>1241</v>
      </c>
      <c r="E321" t="s">
        <v>195</v>
      </c>
      <c r="F321" t="s">
        <v>1238</v>
      </c>
      <c r="G321" s="4">
        <v>3.6913710683109318</v>
      </c>
      <c r="H321" s="4">
        <v>8.7277643064984464E-2</v>
      </c>
      <c r="I321">
        <v>4</v>
      </c>
      <c r="J321" t="s">
        <v>1214</v>
      </c>
      <c r="K321" t="s">
        <v>514</v>
      </c>
      <c r="L321" t="s">
        <v>1237</v>
      </c>
    </row>
    <row r="322" spans="1:12">
      <c r="A322" t="s">
        <v>53</v>
      </c>
      <c r="B322" t="s">
        <v>41</v>
      </c>
      <c r="C322" t="s">
        <v>1243</v>
      </c>
      <c r="D322" t="s">
        <v>1236</v>
      </c>
      <c r="E322" t="s">
        <v>184</v>
      </c>
      <c r="F322" t="s">
        <v>43</v>
      </c>
      <c r="G322" s="4">
        <v>4.2567137314673662</v>
      </c>
      <c r="H322" s="4">
        <v>4.3571186088402332E-2</v>
      </c>
      <c r="I322">
        <v>4</v>
      </c>
      <c r="J322" t="s">
        <v>1214</v>
      </c>
      <c r="K322" t="s">
        <v>514</v>
      </c>
      <c r="L322" t="s">
        <v>1237</v>
      </c>
    </row>
    <row r="323" spans="1:12">
      <c r="A323" t="s">
        <v>53</v>
      </c>
      <c r="B323" t="s">
        <v>41</v>
      </c>
      <c r="C323" t="s">
        <v>1243</v>
      </c>
      <c r="D323" t="s">
        <v>1236</v>
      </c>
      <c r="E323" t="s">
        <v>184</v>
      </c>
      <c r="F323" t="s">
        <v>1238</v>
      </c>
      <c r="G323" s="4">
        <v>3.42940279894693</v>
      </c>
      <c r="H323" s="4">
        <v>8.7277643064984464E-2</v>
      </c>
      <c r="I323">
        <v>4</v>
      </c>
      <c r="J323" t="s">
        <v>1214</v>
      </c>
      <c r="K323" t="s">
        <v>514</v>
      </c>
      <c r="L323" t="s">
        <v>1237</v>
      </c>
    </row>
    <row r="324" spans="1:12">
      <c r="A324" t="s">
        <v>53</v>
      </c>
      <c r="B324" t="s">
        <v>41</v>
      </c>
      <c r="C324" t="s">
        <v>1243</v>
      </c>
      <c r="D324" t="s">
        <v>1236</v>
      </c>
      <c r="E324" t="s">
        <v>195</v>
      </c>
      <c r="F324" t="s">
        <v>43</v>
      </c>
      <c r="G324" s="4">
        <v>4.9051393238187586</v>
      </c>
      <c r="H324" s="4">
        <v>0.25980324234446439</v>
      </c>
      <c r="I324">
        <v>4</v>
      </c>
      <c r="J324" t="s">
        <v>1214</v>
      </c>
      <c r="K324" t="s">
        <v>514</v>
      </c>
      <c r="L324" t="s">
        <v>1237</v>
      </c>
    </row>
    <row r="325" spans="1:12">
      <c r="A325" t="s">
        <v>53</v>
      </c>
      <c r="B325" t="s">
        <v>41</v>
      </c>
      <c r="C325" t="s">
        <v>1243</v>
      </c>
      <c r="D325" t="s">
        <v>1236</v>
      </c>
      <c r="E325" t="s">
        <v>195</v>
      </c>
      <c r="F325" t="s">
        <v>1238</v>
      </c>
      <c r="G325" s="4">
        <v>3.4751389774144354</v>
      </c>
      <c r="H325" s="4">
        <v>8.7277643064984464E-2</v>
      </c>
      <c r="I325">
        <v>4</v>
      </c>
      <c r="J325" t="s">
        <v>1214</v>
      </c>
      <c r="K325" t="s">
        <v>514</v>
      </c>
      <c r="L325" t="s">
        <v>1237</v>
      </c>
    </row>
    <row r="326" spans="1:12">
      <c r="A326" t="s">
        <v>53</v>
      </c>
      <c r="B326" t="s">
        <v>41</v>
      </c>
      <c r="C326" t="s">
        <v>1243</v>
      </c>
      <c r="D326" t="s">
        <v>1239</v>
      </c>
      <c r="E326" t="s">
        <v>184</v>
      </c>
      <c r="F326" t="s">
        <v>43</v>
      </c>
      <c r="G326" s="4">
        <v>4.2981198558957967</v>
      </c>
      <c r="H326" s="4">
        <v>8.7277677705418666E-2</v>
      </c>
      <c r="I326">
        <v>4</v>
      </c>
      <c r="J326" t="s">
        <v>1214</v>
      </c>
      <c r="K326" t="s">
        <v>514</v>
      </c>
      <c r="L326" t="s">
        <v>1237</v>
      </c>
    </row>
    <row r="327" spans="1:12">
      <c r="A327" t="s">
        <v>53</v>
      </c>
      <c r="B327" t="s">
        <v>41</v>
      </c>
      <c r="C327" t="s">
        <v>1243</v>
      </c>
      <c r="D327" t="s">
        <v>1239</v>
      </c>
      <c r="E327" t="s">
        <v>184</v>
      </c>
      <c r="F327" t="s">
        <v>1238</v>
      </c>
      <c r="G327" s="4">
        <v>3.3005836912844666</v>
      </c>
      <c r="H327" s="4">
        <v>0.19525838298462056</v>
      </c>
      <c r="I327">
        <v>4</v>
      </c>
      <c r="J327" t="s">
        <v>1214</v>
      </c>
      <c r="K327" t="s">
        <v>514</v>
      </c>
      <c r="L327" t="s">
        <v>1237</v>
      </c>
    </row>
    <row r="328" spans="1:12">
      <c r="A328" t="s">
        <v>53</v>
      </c>
      <c r="B328" t="s">
        <v>41</v>
      </c>
      <c r="C328" t="s">
        <v>1243</v>
      </c>
      <c r="D328" t="s">
        <v>1239</v>
      </c>
      <c r="E328" t="s">
        <v>195</v>
      </c>
      <c r="F328" t="s">
        <v>43</v>
      </c>
      <c r="G328" s="4">
        <v>4.7763202161562948</v>
      </c>
      <c r="H328" s="4">
        <v>0.15182253706526447</v>
      </c>
      <c r="I328">
        <v>4</v>
      </c>
      <c r="J328" t="s">
        <v>1214</v>
      </c>
      <c r="K328" t="s">
        <v>514</v>
      </c>
      <c r="L328" t="s">
        <v>1237</v>
      </c>
    </row>
    <row r="329" spans="1:12">
      <c r="A329" t="s">
        <v>53</v>
      </c>
      <c r="B329" t="s">
        <v>41</v>
      </c>
      <c r="C329" t="s">
        <v>1243</v>
      </c>
      <c r="D329" t="s">
        <v>1239</v>
      </c>
      <c r="E329" t="s">
        <v>195</v>
      </c>
      <c r="F329" t="s">
        <v>1238</v>
      </c>
      <c r="G329" s="4">
        <v>3.4751389774144354</v>
      </c>
      <c r="H329" s="4">
        <v>8.7277643064984464E-2</v>
      </c>
      <c r="I329">
        <v>4</v>
      </c>
      <c r="J329" t="s">
        <v>1214</v>
      </c>
      <c r="K329" t="s">
        <v>514</v>
      </c>
      <c r="L329" t="s">
        <v>1237</v>
      </c>
    </row>
    <row r="330" spans="1:12">
      <c r="A330" t="s">
        <v>53</v>
      </c>
      <c r="B330" t="s">
        <v>41</v>
      </c>
      <c r="C330" t="s">
        <v>1243</v>
      </c>
      <c r="D330" t="s">
        <v>1240</v>
      </c>
      <c r="E330" t="s">
        <v>184</v>
      </c>
      <c r="F330" t="s">
        <v>43</v>
      </c>
      <c r="G330" s="4">
        <v>5.2542498960786999</v>
      </c>
      <c r="H330" s="4">
        <v>0.21623209089649431</v>
      </c>
      <c r="I330">
        <v>4</v>
      </c>
      <c r="J330" t="s">
        <v>1214</v>
      </c>
      <c r="K330" t="s">
        <v>514</v>
      </c>
      <c r="L330" t="s">
        <v>1237</v>
      </c>
    </row>
    <row r="331" spans="1:12">
      <c r="A331" t="s">
        <v>53</v>
      </c>
      <c r="B331" t="s">
        <v>41</v>
      </c>
      <c r="C331" t="s">
        <v>1243</v>
      </c>
      <c r="D331" t="s">
        <v>1240</v>
      </c>
      <c r="E331" t="s">
        <v>184</v>
      </c>
      <c r="F331" t="s">
        <v>1238</v>
      </c>
      <c r="G331" s="4">
        <v>3.5168157821809589</v>
      </c>
      <c r="H331" s="4">
        <v>0.12895441319107565</v>
      </c>
      <c r="I331">
        <v>4</v>
      </c>
      <c r="J331" t="s">
        <v>1214</v>
      </c>
      <c r="K331" t="s">
        <v>514</v>
      </c>
      <c r="L331" t="s">
        <v>1237</v>
      </c>
    </row>
    <row r="332" spans="1:12">
      <c r="A332" t="s">
        <v>53</v>
      </c>
      <c r="B332" t="s">
        <v>41</v>
      </c>
      <c r="C332" t="s">
        <v>1243</v>
      </c>
      <c r="D332" t="s">
        <v>1240</v>
      </c>
      <c r="E332" t="s">
        <v>195</v>
      </c>
      <c r="F332" t="s">
        <v>43</v>
      </c>
      <c r="G332" s="4">
        <v>5.7321796452819704</v>
      </c>
      <c r="H332" s="4">
        <v>0.11014573229873911</v>
      </c>
      <c r="I332">
        <v>4</v>
      </c>
      <c r="J332" t="s">
        <v>1214</v>
      </c>
      <c r="K332" t="s">
        <v>514</v>
      </c>
      <c r="L332" t="s">
        <v>1237</v>
      </c>
    </row>
    <row r="333" spans="1:12">
      <c r="A333" t="s">
        <v>53</v>
      </c>
      <c r="B333" t="s">
        <v>41</v>
      </c>
      <c r="C333" t="s">
        <v>1243</v>
      </c>
      <c r="D333" t="s">
        <v>1240</v>
      </c>
      <c r="E333" t="s">
        <v>195</v>
      </c>
      <c r="F333" t="s">
        <v>1238</v>
      </c>
      <c r="G333" s="4">
        <v>3.9947454621033645</v>
      </c>
      <c r="H333" s="4">
        <v>6.44095538312318E-2</v>
      </c>
      <c r="I333">
        <v>4</v>
      </c>
      <c r="J333" t="s">
        <v>1214</v>
      </c>
      <c r="K333" t="s">
        <v>514</v>
      </c>
      <c r="L333" t="s">
        <v>1237</v>
      </c>
    </row>
    <row r="334" spans="1:12">
      <c r="A334" t="s">
        <v>53</v>
      </c>
      <c r="B334" t="s">
        <v>41</v>
      </c>
      <c r="C334" t="s">
        <v>1243</v>
      </c>
      <c r="D334" t="s">
        <v>1241</v>
      </c>
      <c r="E334" t="s">
        <v>184</v>
      </c>
      <c r="F334" t="s">
        <v>43</v>
      </c>
      <c r="G334" s="4">
        <v>4.5600881252597985</v>
      </c>
      <c r="H334" s="4">
        <v>0.11014576693917133</v>
      </c>
      <c r="I334">
        <v>4</v>
      </c>
      <c r="J334" t="s">
        <v>1214</v>
      </c>
      <c r="K334" t="s">
        <v>514</v>
      </c>
      <c r="L334" t="s">
        <v>1237</v>
      </c>
    </row>
    <row r="335" spans="1:12">
      <c r="A335" t="s">
        <v>53</v>
      </c>
      <c r="B335" t="s">
        <v>41</v>
      </c>
      <c r="C335" t="s">
        <v>1243</v>
      </c>
      <c r="D335" t="s">
        <v>1241</v>
      </c>
      <c r="E335" t="s">
        <v>184</v>
      </c>
      <c r="F335" t="s">
        <v>1238</v>
      </c>
      <c r="G335" s="4">
        <v>3.4751389774144354</v>
      </c>
      <c r="H335" s="4">
        <v>8.7277643064984464E-2</v>
      </c>
      <c r="I335">
        <v>4</v>
      </c>
      <c r="J335" t="s">
        <v>1214</v>
      </c>
      <c r="K335" t="s">
        <v>514</v>
      </c>
      <c r="L335" t="s">
        <v>1237</v>
      </c>
    </row>
    <row r="336" spans="1:12">
      <c r="A336" t="s">
        <v>53</v>
      </c>
      <c r="B336" t="s">
        <v>41</v>
      </c>
      <c r="C336" t="s">
        <v>1243</v>
      </c>
      <c r="D336" t="s">
        <v>1241</v>
      </c>
      <c r="E336" t="s">
        <v>195</v>
      </c>
      <c r="F336" t="s">
        <v>43</v>
      </c>
      <c r="G336" s="4">
        <v>5.2959267008452233</v>
      </c>
      <c r="H336" s="4">
        <v>4.3706491617016334E-2</v>
      </c>
      <c r="I336">
        <v>4</v>
      </c>
      <c r="J336" t="s">
        <v>1214</v>
      </c>
      <c r="K336" t="s">
        <v>514</v>
      </c>
      <c r="L336" t="s">
        <v>1237</v>
      </c>
    </row>
    <row r="337" spans="1:12">
      <c r="A337" t="s">
        <v>53</v>
      </c>
      <c r="B337" t="s">
        <v>41</v>
      </c>
      <c r="C337" t="s">
        <v>1243</v>
      </c>
      <c r="D337" t="s">
        <v>1241</v>
      </c>
      <c r="E337" t="s">
        <v>195</v>
      </c>
      <c r="F337" t="s">
        <v>1238</v>
      </c>
      <c r="G337" s="4">
        <v>3.6913710683109318</v>
      </c>
      <c r="H337" s="4">
        <v>2.2868089233754638E-2</v>
      </c>
      <c r="I337">
        <v>4</v>
      </c>
      <c r="J337" t="s">
        <v>1214</v>
      </c>
      <c r="K337" t="s">
        <v>514</v>
      </c>
      <c r="L337" t="s">
        <v>1237</v>
      </c>
    </row>
    <row r="338" spans="1:12">
      <c r="A338" t="s">
        <v>53</v>
      </c>
      <c r="B338" t="s">
        <v>29</v>
      </c>
      <c r="C338" t="s">
        <v>1235</v>
      </c>
      <c r="D338" t="s">
        <v>1236</v>
      </c>
      <c r="E338" t="s">
        <v>184</v>
      </c>
      <c r="F338" t="s">
        <v>43</v>
      </c>
      <c r="G338" s="4">
        <v>3.2477736005259472</v>
      </c>
      <c r="H338" s="4">
        <v>9.2023095278677344E-2</v>
      </c>
      <c r="I338">
        <v>4</v>
      </c>
      <c r="J338" t="s">
        <v>1214</v>
      </c>
      <c r="K338" t="s">
        <v>514</v>
      </c>
      <c r="L338" t="s">
        <v>1237</v>
      </c>
    </row>
    <row r="339" spans="1:12">
      <c r="A339" t="s">
        <v>53</v>
      </c>
      <c r="B339" t="s">
        <v>29</v>
      </c>
      <c r="C339" t="s">
        <v>1235</v>
      </c>
      <c r="D339" t="s">
        <v>1236</v>
      </c>
      <c r="E339" t="s">
        <v>184</v>
      </c>
      <c r="F339" t="s">
        <v>1238</v>
      </c>
      <c r="G339" s="4">
        <v>2.2878798850714683</v>
      </c>
      <c r="H339" s="4">
        <v>0.13810599235433046</v>
      </c>
      <c r="I339">
        <v>4</v>
      </c>
      <c r="J339" t="s">
        <v>1214</v>
      </c>
      <c r="K339" t="s">
        <v>514</v>
      </c>
      <c r="L339" t="s">
        <v>1237</v>
      </c>
    </row>
    <row r="340" spans="1:12">
      <c r="A340" t="s">
        <v>53</v>
      </c>
      <c r="B340" t="s">
        <v>29</v>
      </c>
      <c r="C340" t="s">
        <v>1235</v>
      </c>
      <c r="D340" t="s">
        <v>1236</v>
      </c>
      <c r="E340" t="s">
        <v>195</v>
      </c>
      <c r="F340" t="s">
        <v>43</v>
      </c>
      <c r="G340" s="4">
        <v>3.7516893033675101</v>
      </c>
      <c r="H340" s="4">
        <v>0.43400665952421513</v>
      </c>
      <c r="I340">
        <v>4</v>
      </c>
      <c r="J340" t="s">
        <v>1214</v>
      </c>
      <c r="K340" t="s">
        <v>514</v>
      </c>
      <c r="L340" t="s">
        <v>1237</v>
      </c>
    </row>
    <row r="341" spans="1:12">
      <c r="A341" t="s">
        <v>53</v>
      </c>
      <c r="B341" t="s">
        <v>29</v>
      </c>
      <c r="C341" t="s">
        <v>1235</v>
      </c>
      <c r="D341" t="s">
        <v>1236</v>
      </c>
      <c r="E341" t="s">
        <v>195</v>
      </c>
      <c r="F341" t="s">
        <v>1238</v>
      </c>
      <c r="G341" s="4">
        <v>2.6516921765808772</v>
      </c>
      <c r="H341" s="4">
        <v>0.54999852686941475</v>
      </c>
      <c r="I341">
        <v>4</v>
      </c>
      <c r="J341" t="s">
        <v>1214</v>
      </c>
      <c r="K341" t="s">
        <v>514</v>
      </c>
      <c r="L341" t="s">
        <v>1237</v>
      </c>
    </row>
    <row r="342" spans="1:12">
      <c r="A342" t="s">
        <v>53</v>
      </c>
      <c r="B342" t="s">
        <v>29</v>
      </c>
      <c r="C342" t="s">
        <v>1235</v>
      </c>
      <c r="D342" t="s">
        <v>1239</v>
      </c>
      <c r="E342" t="s">
        <v>184</v>
      </c>
      <c r="F342" t="s">
        <v>43</v>
      </c>
      <c r="G342" s="4">
        <v>3.3835968492049995</v>
      </c>
      <c r="H342" s="4">
        <v>8.9740351603399146E-2</v>
      </c>
      <c r="I342">
        <v>4</v>
      </c>
      <c r="J342" t="s">
        <v>1214</v>
      </c>
      <c r="K342" t="s">
        <v>514</v>
      </c>
      <c r="L342" t="s">
        <v>1237</v>
      </c>
    </row>
    <row r="343" spans="1:12">
      <c r="A343" t="s">
        <v>53</v>
      </c>
      <c r="B343" t="s">
        <v>29</v>
      </c>
      <c r="C343" t="s">
        <v>1235</v>
      </c>
      <c r="D343" t="s">
        <v>1239</v>
      </c>
      <c r="E343" t="s">
        <v>184</v>
      </c>
      <c r="F343" t="s">
        <v>1238</v>
      </c>
      <c r="G343" s="4">
        <v>2.2878798850714683</v>
      </c>
      <c r="H343" s="4">
        <v>0.11399452141517927</v>
      </c>
      <c r="I343">
        <v>4</v>
      </c>
      <c r="J343" t="s">
        <v>1214</v>
      </c>
      <c r="K343" t="s">
        <v>514</v>
      </c>
      <c r="L343" t="s">
        <v>1237</v>
      </c>
    </row>
    <row r="344" spans="1:12">
      <c r="A344" t="s">
        <v>53</v>
      </c>
      <c r="B344" t="s">
        <v>29</v>
      </c>
      <c r="C344" t="s">
        <v>1235</v>
      </c>
      <c r="D344" t="s">
        <v>1239</v>
      </c>
      <c r="E344" t="s">
        <v>195</v>
      </c>
      <c r="F344" t="s">
        <v>43</v>
      </c>
      <c r="G344" s="4">
        <v>3.6598088339136603</v>
      </c>
      <c r="H344" s="4">
        <v>9.2023095278677344E-2</v>
      </c>
      <c r="I344">
        <v>4</v>
      </c>
      <c r="J344" t="s">
        <v>1214</v>
      </c>
      <c r="K344" t="s">
        <v>514</v>
      </c>
      <c r="L344" t="s">
        <v>1237</v>
      </c>
    </row>
    <row r="345" spans="1:12">
      <c r="A345" t="s">
        <v>53</v>
      </c>
      <c r="B345" t="s">
        <v>29</v>
      </c>
      <c r="C345" t="s">
        <v>1235</v>
      </c>
      <c r="D345" t="s">
        <v>1239</v>
      </c>
      <c r="E345" t="s">
        <v>195</v>
      </c>
      <c r="F345" t="s">
        <v>1238</v>
      </c>
      <c r="G345" s="4">
        <v>2.6077493243078775</v>
      </c>
      <c r="H345" s="4">
        <v>0.11399452141517927</v>
      </c>
      <c r="I345">
        <v>4</v>
      </c>
      <c r="J345" t="s">
        <v>1214</v>
      </c>
      <c r="K345" t="s">
        <v>514</v>
      </c>
      <c r="L345" t="s">
        <v>1237</v>
      </c>
    </row>
    <row r="346" spans="1:12">
      <c r="A346" t="s">
        <v>53</v>
      </c>
      <c r="B346" t="s">
        <v>29</v>
      </c>
      <c r="C346" t="s">
        <v>1235</v>
      </c>
      <c r="D346" t="s">
        <v>1240</v>
      </c>
      <c r="E346" t="s">
        <v>184</v>
      </c>
      <c r="F346" t="s">
        <v>43</v>
      </c>
      <c r="G346" s="4">
        <v>4.2995477854342754</v>
      </c>
      <c r="H346" s="4">
        <v>9.2023095278677344E-2</v>
      </c>
      <c r="I346">
        <v>4</v>
      </c>
      <c r="J346" t="s">
        <v>1214</v>
      </c>
      <c r="K346" t="s">
        <v>514</v>
      </c>
      <c r="L346" t="s">
        <v>1237</v>
      </c>
    </row>
    <row r="347" spans="1:12">
      <c r="A347" t="s">
        <v>53</v>
      </c>
      <c r="B347" t="s">
        <v>29</v>
      </c>
      <c r="C347" t="s">
        <v>1235</v>
      </c>
      <c r="D347" t="s">
        <v>1240</v>
      </c>
      <c r="E347" t="s">
        <v>184</v>
      </c>
      <c r="F347" t="s">
        <v>1238</v>
      </c>
      <c r="G347" s="4">
        <v>2.8839613090165384</v>
      </c>
      <c r="H347" s="4">
        <v>4.594019820302421E-2</v>
      </c>
      <c r="I347">
        <v>4</v>
      </c>
      <c r="J347" t="s">
        <v>1214</v>
      </c>
      <c r="K347" t="s">
        <v>514</v>
      </c>
      <c r="L347" t="s">
        <v>1237</v>
      </c>
    </row>
    <row r="348" spans="1:12">
      <c r="A348" t="s">
        <v>53</v>
      </c>
      <c r="B348" t="s">
        <v>29</v>
      </c>
      <c r="C348" t="s">
        <v>1235</v>
      </c>
      <c r="D348" t="s">
        <v>1240</v>
      </c>
      <c r="E348" t="s">
        <v>195</v>
      </c>
      <c r="F348" t="s">
        <v>43</v>
      </c>
      <c r="G348" s="4">
        <v>4.3917135065377826</v>
      </c>
      <c r="H348" s="4">
        <v>0.15993471961820244</v>
      </c>
      <c r="I348">
        <v>4</v>
      </c>
      <c r="J348" t="s">
        <v>1214</v>
      </c>
      <c r="K348" t="s">
        <v>514</v>
      </c>
      <c r="L348" t="s">
        <v>1237</v>
      </c>
    </row>
    <row r="349" spans="1:12">
      <c r="A349" t="s">
        <v>53</v>
      </c>
      <c r="B349" t="s">
        <v>29</v>
      </c>
      <c r="C349" t="s">
        <v>1235</v>
      </c>
      <c r="D349" t="s">
        <v>1240</v>
      </c>
      <c r="E349" t="s">
        <v>195</v>
      </c>
      <c r="F349" t="s">
        <v>1238</v>
      </c>
      <c r="G349" s="4">
        <v>2.971561615817286</v>
      </c>
      <c r="H349" s="4">
        <v>8.9883013952129359E-2</v>
      </c>
      <c r="I349">
        <v>4</v>
      </c>
      <c r="J349" t="s">
        <v>1214</v>
      </c>
      <c r="K349" t="s">
        <v>514</v>
      </c>
      <c r="L349" t="s">
        <v>1237</v>
      </c>
    </row>
    <row r="350" spans="1:12">
      <c r="A350" t="s">
        <v>53</v>
      </c>
      <c r="B350" t="s">
        <v>29</v>
      </c>
      <c r="C350" t="s">
        <v>1235</v>
      </c>
      <c r="D350" t="s">
        <v>1241</v>
      </c>
      <c r="E350" t="s">
        <v>184</v>
      </c>
      <c r="F350" t="s">
        <v>43</v>
      </c>
      <c r="G350" s="4">
        <v>3.7080317757919645</v>
      </c>
      <c r="H350" s="4">
        <v>8.988305047602807E-2</v>
      </c>
      <c r="I350">
        <v>4</v>
      </c>
      <c r="J350" t="s">
        <v>1214</v>
      </c>
      <c r="K350" t="s">
        <v>514</v>
      </c>
      <c r="L350" t="s">
        <v>1237</v>
      </c>
    </row>
    <row r="351" spans="1:12">
      <c r="A351" t="s">
        <v>53</v>
      </c>
      <c r="B351" t="s">
        <v>29</v>
      </c>
      <c r="C351" t="s">
        <v>1235</v>
      </c>
      <c r="D351" t="s">
        <v>1241</v>
      </c>
      <c r="E351" t="s">
        <v>184</v>
      </c>
      <c r="F351" t="s">
        <v>1238</v>
      </c>
      <c r="G351" s="4">
        <v>2.4719260756288253</v>
      </c>
      <c r="H351" s="4">
        <v>0</v>
      </c>
      <c r="I351">
        <v>4</v>
      </c>
      <c r="J351" t="s">
        <v>1214</v>
      </c>
      <c r="K351" t="s">
        <v>514</v>
      </c>
      <c r="L351" t="s">
        <v>1237</v>
      </c>
    </row>
    <row r="352" spans="1:12">
      <c r="A352" t="s">
        <v>53</v>
      </c>
      <c r="B352" t="s">
        <v>29</v>
      </c>
      <c r="C352" t="s">
        <v>1235</v>
      </c>
      <c r="D352" t="s">
        <v>1241</v>
      </c>
      <c r="E352" t="s">
        <v>195</v>
      </c>
      <c r="F352" t="s">
        <v>43</v>
      </c>
      <c r="G352" s="4">
        <v>4.0715587426039113</v>
      </c>
      <c r="H352" s="4">
        <v>0.11399452141517927</v>
      </c>
      <c r="I352">
        <v>4</v>
      </c>
      <c r="J352" t="s">
        <v>1214</v>
      </c>
      <c r="K352" t="s">
        <v>514</v>
      </c>
      <c r="L352" t="s">
        <v>1237</v>
      </c>
    </row>
    <row r="353" spans="1:12">
      <c r="A353" t="s">
        <v>53</v>
      </c>
      <c r="B353" t="s">
        <v>29</v>
      </c>
      <c r="C353" t="s">
        <v>1235</v>
      </c>
      <c r="D353" t="s">
        <v>1241</v>
      </c>
      <c r="E353" t="s">
        <v>195</v>
      </c>
      <c r="F353" t="s">
        <v>1238</v>
      </c>
      <c r="G353" s="4">
        <v>2.8839613090165384</v>
      </c>
      <c r="H353" s="4">
        <v>0.11399452141517927</v>
      </c>
      <c r="I353">
        <v>4</v>
      </c>
      <c r="J353" t="s">
        <v>1214</v>
      </c>
      <c r="K353" t="s">
        <v>514</v>
      </c>
      <c r="L353" t="s">
        <v>1237</v>
      </c>
    </row>
    <row r="354" spans="1:12">
      <c r="A354" t="s">
        <v>53</v>
      </c>
      <c r="B354" t="s">
        <v>29</v>
      </c>
      <c r="C354" t="s">
        <v>1242</v>
      </c>
      <c r="D354" t="s">
        <v>1236</v>
      </c>
      <c r="E354" t="s">
        <v>184</v>
      </c>
      <c r="F354" t="s">
        <v>43</v>
      </c>
      <c r="G354" s="4">
        <v>3.4318197910833037</v>
      </c>
      <c r="H354" s="4">
        <v>0.11385185906644905</v>
      </c>
      <c r="I354">
        <v>4</v>
      </c>
      <c r="J354" t="s">
        <v>1214</v>
      </c>
      <c r="K354" t="s">
        <v>514</v>
      </c>
      <c r="L354" t="s">
        <v>1237</v>
      </c>
    </row>
    <row r="355" spans="1:12">
      <c r="A355" t="s">
        <v>53</v>
      </c>
      <c r="B355" t="s">
        <v>29</v>
      </c>
      <c r="C355" t="s">
        <v>1242</v>
      </c>
      <c r="D355" t="s">
        <v>1236</v>
      </c>
      <c r="E355" t="s">
        <v>184</v>
      </c>
      <c r="F355" t="s">
        <v>1238</v>
      </c>
      <c r="G355" s="4">
        <v>2.4719260756288253</v>
      </c>
      <c r="H355" s="4">
        <v>2.1971389612603219E-2</v>
      </c>
      <c r="I355">
        <v>4</v>
      </c>
      <c r="J355" t="s">
        <v>1214</v>
      </c>
      <c r="K355" t="s">
        <v>514</v>
      </c>
      <c r="L355" t="s">
        <v>1237</v>
      </c>
    </row>
    <row r="356" spans="1:12">
      <c r="A356" t="s">
        <v>53</v>
      </c>
      <c r="B356" t="s">
        <v>29</v>
      </c>
      <c r="C356" t="s">
        <v>1242</v>
      </c>
      <c r="D356" t="s">
        <v>1236</v>
      </c>
      <c r="E356" t="s">
        <v>195</v>
      </c>
      <c r="F356" t="s">
        <v>43</v>
      </c>
      <c r="G356" s="4">
        <v>3.4318197910833037</v>
      </c>
      <c r="H356" s="4">
        <v>0.2060176166938566</v>
      </c>
      <c r="I356">
        <v>4</v>
      </c>
      <c r="J356" t="s">
        <v>1214</v>
      </c>
      <c r="K356" t="s">
        <v>514</v>
      </c>
      <c r="L356" t="s">
        <v>1237</v>
      </c>
    </row>
    <row r="357" spans="1:12">
      <c r="A357" t="s">
        <v>53</v>
      </c>
      <c r="B357" t="s">
        <v>29</v>
      </c>
      <c r="C357" t="s">
        <v>1242</v>
      </c>
      <c r="D357" t="s">
        <v>1236</v>
      </c>
      <c r="E357" t="s">
        <v>195</v>
      </c>
      <c r="F357" t="s">
        <v>1238</v>
      </c>
      <c r="G357" s="4">
        <v>2.5158689279018249</v>
      </c>
      <c r="H357" s="4">
        <v>0.11399452141517927</v>
      </c>
      <c r="I357">
        <v>4</v>
      </c>
      <c r="J357" t="s">
        <v>1214</v>
      </c>
      <c r="K357" t="s">
        <v>514</v>
      </c>
      <c r="L357" t="s">
        <v>1237</v>
      </c>
    </row>
    <row r="358" spans="1:12">
      <c r="A358" t="s">
        <v>53</v>
      </c>
      <c r="B358" t="s">
        <v>29</v>
      </c>
      <c r="C358" t="s">
        <v>1242</v>
      </c>
      <c r="D358" t="s">
        <v>1239</v>
      </c>
      <c r="E358" t="s">
        <v>184</v>
      </c>
      <c r="F358" t="s">
        <v>43</v>
      </c>
      <c r="G358" s="4">
        <v>3.2477736005259472</v>
      </c>
      <c r="H358" s="4">
        <v>0.11399452141517927</v>
      </c>
      <c r="I358">
        <v>4</v>
      </c>
      <c r="J358" t="s">
        <v>1214</v>
      </c>
      <c r="K358" t="s">
        <v>514</v>
      </c>
      <c r="L358" t="s">
        <v>1237</v>
      </c>
    </row>
    <row r="359" spans="1:12">
      <c r="A359" t="s">
        <v>53</v>
      </c>
      <c r="B359" t="s">
        <v>29</v>
      </c>
      <c r="C359" t="s">
        <v>1242</v>
      </c>
      <c r="D359" t="s">
        <v>1239</v>
      </c>
      <c r="E359" t="s">
        <v>184</v>
      </c>
      <c r="F359" t="s">
        <v>1238</v>
      </c>
      <c r="G359" s="4">
        <v>2.195714090920164</v>
      </c>
      <c r="H359" s="4">
        <v>0.11385182254255034</v>
      </c>
      <c r="I359">
        <v>4</v>
      </c>
      <c r="J359" t="s">
        <v>1214</v>
      </c>
      <c r="K359" t="s">
        <v>514</v>
      </c>
      <c r="L359" t="s">
        <v>1237</v>
      </c>
    </row>
    <row r="360" spans="1:12">
      <c r="A360" t="s">
        <v>53</v>
      </c>
      <c r="B360" t="s">
        <v>29</v>
      </c>
      <c r="C360" t="s">
        <v>1242</v>
      </c>
      <c r="D360" t="s">
        <v>1239</v>
      </c>
      <c r="E360" t="s">
        <v>195</v>
      </c>
      <c r="F360" t="s">
        <v>43</v>
      </c>
      <c r="G360" s="4">
        <v>3.5237002605371455</v>
      </c>
      <c r="H360" s="4">
        <v>0.13810599235433046</v>
      </c>
      <c r="I360">
        <v>4</v>
      </c>
      <c r="J360" t="s">
        <v>1214</v>
      </c>
      <c r="K360" t="s">
        <v>514</v>
      </c>
      <c r="L360" t="s">
        <v>1237</v>
      </c>
    </row>
    <row r="361" spans="1:12">
      <c r="A361" t="s">
        <v>53</v>
      </c>
      <c r="B361" t="s">
        <v>29</v>
      </c>
      <c r="C361" t="s">
        <v>1242</v>
      </c>
      <c r="D361" t="s">
        <v>1239</v>
      </c>
      <c r="E361" t="s">
        <v>195</v>
      </c>
      <c r="F361" t="s">
        <v>1238</v>
      </c>
      <c r="G361" s="4">
        <v>2.4237031337505206</v>
      </c>
      <c r="H361" s="4">
        <v>0.25210051376950976</v>
      </c>
      <c r="I361">
        <v>4</v>
      </c>
      <c r="J361" t="s">
        <v>1214</v>
      </c>
      <c r="K361" t="s">
        <v>514</v>
      </c>
      <c r="L361" t="s">
        <v>1237</v>
      </c>
    </row>
    <row r="362" spans="1:12">
      <c r="A362" t="s">
        <v>53</v>
      </c>
      <c r="B362" t="s">
        <v>29</v>
      </c>
      <c r="C362" t="s">
        <v>1242</v>
      </c>
      <c r="D362" t="s">
        <v>1240</v>
      </c>
      <c r="E362" t="s">
        <v>184</v>
      </c>
      <c r="F362" t="s">
        <v>43</v>
      </c>
      <c r="G362" s="4">
        <v>4.0715587426039113</v>
      </c>
      <c r="H362" s="4">
        <v>0.1600774184908324</v>
      </c>
      <c r="I362">
        <v>4</v>
      </c>
      <c r="J362" t="s">
        <v>1214</v>
      </c>
      <c r="K362" t="s">
        <v>514</v>
      </c>
      <c r="L362" t="s">
        <v>1237</v>
      </c>
    </row>
    <row r="363" spans="1:12">
      <c r="A363" t="s">
        <v>53</v>
      </c>
      <c r="B363" t="s">
        <v>29</v>
      </c>
      <c r="C363" t="s">
        <v>1242</v>
      </c>
      <c r="D363" t="s">
        <v>1240</v>
      </c>
      <c r="E363" t="s">
        <v>184</v>
      </c>
      <c r="F363" t="s">
        <v>1238</v>
      </c>
      <c r="G363" s="4">
        <v>2.8357383671382337</v>
      </c>
      <c r="H363" s="4">
        <v>7.0194368014804331E-2</v>
      </c>
      <c r="I363">
        <v>4</v>
      </c>
      <c r="J363" t="s">
        <v>1214</v>
      </c>
      <c r="K363" t="s">
        <v>514</v>
      </c>
      <c r="L363" t="s">
        <v>1237</v>
      </c>
    </row>
    <row r="364" spans="1:12">
      <c r="A364" t="s">
        <v>53</v>
      </c>
      <c r="B364" t="s">
        <v>29</v>
      </c>
      <c r="C364" t="s">
        <v>1242</v>
      </c>
      <c r="D364" t="s">
        <v>1240</v>
      </c>
      <c r="E364" t="s">
        <v>195</v>
      </c>
      <c r="F364" t="s">
        <v>43</v>
      </c>
      <c r="G364" s="4">
        <v>4.4835939759916243</v>
      </c>
      <c r="H364" s="4">
        <v>9.2023095278676303E-2</v>
      </c>
      <c r="I364">
        <v>4</v>
      </c>
      <c r="J364" t="s">
        <v>1214</v>
      </c>
      <c r="K364" t="s">
        <v>514</v>
      </c>
      <c r="L364" t="s">
        <v>1237</v>
      </c>
    </row>
    <row r="365" spans="1:12">
      <c r="A365" t="s">
        <v>53</v>
      </c>
      <c r="B365" t="s">
        <v>29</v>
      </c>
      <c r="C365" t="s">
        <v>1242</v>
      </c>
      <c r="D365" t="s">
        <v>1240</v>
      </c>
      <c r="E365" t="s">
        <v>195</v>
      </c>
      <c r="F365" t="s">
        <v>1238</v>
      </c>
      <c r="G365" s="4">
        <v>2.9276188365920839</v>
      </c>
      <c r="H365" s="4">
        <v>0.11399452141517927</v>
      </c>
      <c r="I365">
        <v>4</v>
      </c>
      <c r="J365" t="s">
        <v>1214</v>
      </c>
      <c r="K365" t="s">
        <v>514</v>
      </c>
      <c r="L365" t="s">
        <v>1237</v>
      </c>
    </row>
    <row r="366" spans="1:12">
      <c r="A366" t="s">
        <v>53</v>
      </c>
      <c r="B366" t="s">
        <v>29</v>
      </c>
      <c r="C366" t="s">
        <v>1242</v>
      </c>
      <c r="D366" t="s">
        <v>1241</v>
      </c>
      <c r="E366" t="s">
        <v>184</v>
      </c>
      <c r="F366" t="s">
        <v>43</v>
      </c>
      <c r="G366" s="4">
        <v>3.6598088339136603</v>
      </c>
      <c r="H366" s="4">
        <v>0.32001213810903589</v>
      </c>
      <c r="I366">
        <v>4</v>
      </c>
      <c r="J366" t="s">
        <v>1214</v>
      </c>
      <c r="K366" t="s">
        <v>514</v>
      </c>
      <c r="L366" t="s">
        <v>1237</v>
      </c>
    </row>
    <row r="367" spans="1:12">
      <c r="A367" t="s">
        <v>53</v>
      </c>
      <c r="B367" t="s">
        <v>29</v>
      </c>
      <c r="C367" t="s">
        <v>1242</v>
      </c>
      <c r="D367" t="s">
        <v>1241</v>
      </c>
      <c r="E367" t="s">
        <v>184</v>
      </c>
      <c r="F367" t="s">
        <v>1238</v>
      </c>
      <c r="G367" s="4">
        <v>2.6516921765808772</v>
      </c>
      <c r="H367" s="4">
        <v>0.11385185906644905</v>
      </c>
      <c r="I367">
        <v>4</v>
      </c>
      <c r="J367" t="s">
        <v>1214</v>
      </c>
      <c r="K367" t="s">
        <v>514</v>
      </c>
      <c r="L367" t="s">
        <v>1237</v>
      </c>
    </row>
    <row r="368" spans="1:12">
      <c r="A368" t="s">
        <v>53</v>
      </c>
      <c r="B368" t="s">
        <v>29</v>
      </c>
      <c r="C368" t="s">
        <v>1242</v>
      </c>
      <c r="D368" t="s">
        <v>1241</v>
      </c>
      <c r="E368" t="s">
        <v>195</v>
      </c>
      <c r="F368" t="s">
        <v>43</v>
      </c>
      <c r="G368" s="4">
        <v>4.2558902578587299</v>
      </c>
      <c r="H368" s="4">
        <v>6.7911624339526133E-2</v>
      </c>
      <c r="I368">
        <v>4</v>
      </c>
      <c r="J368" t="s">
        <v>1214</v>
      </c>
      <c r="K368" t="s">
        <v>514</v>
      </c>
      <c r="L368" t="s">
        <v>1237</v>
      </c>
    </row>
    <row r="369" spans="1:12">
      <c r="A369" t="s">
        <v>53</v>
      </c>
      <c r="B369" t="s">
        <v>29</v>
      </c>
      <c r="C369" t="s">
        <v>1242</v>
      </c>
      <c r="D369" t="s">
        <v>1241</v>
      </c>
      <c r="E369" t="s">
        <v>195</v>
      </c>
      <c r="F369" t="s">
        <v>1238</v>
      </c>
      <c r="G369" s="4">
        <v>2.6999151184591814</v>
      </c>
      <c r="H369" s="4">
        <v>9.2023095278677344E-2</v>
      </c>
      <c r="I369">
        <v>4</v>
      </c>
      <c r="J369" t="s">
        <v>1214</v>
      </c>
      <c r="K369" t="s">
        <v>514</v>
      </c>
      <c r="L369" t="s">
        <v>1237</v>
      </c>
    </row>
    <row r="370" spans="1:12">
      <c r="A370" t="s">
        <v>53</v>
      </c>
      <c r="B370" t="s">
        <v>29</v>
      </c>
      <c r="C370" t="s">
        <v>1243</v>
      </c>
      <c r="D370" t="s">
        <v>1236</v>
      </c>
      <c r="E370" t="s">
        <v>184</v>
      </c>
      <c r="F370" t="s">
        <v>43</v>
      </c>
      <c r="G370" s="4">
        <v>3.2477736005259472</v>
      </c>
      <c r="H370" s="4">
        <v>4.6082897075653127E-2</v>
      </c>
      <c r="I370">
        <v>4</v>
      </c>
      <c r="J370" t="s">
        <v>1214</v>
      </c>
      <c r="K370" t="s">
        <v>514</v>
      </c>
      <c r="L370" t="s">
        <v>1237</v>
      </c>
    </row>
    <row r="371" spans="1:12">
      <c r="A371" t="s">
        <v>53</v>
      </c>
      <c r="B371" t="s">
        <v>29</v>
      </c>
      <c r="C371" t="s">
        <v>1243</v>
      </c>
      <c r="D371" t="s">
        <v>1236</v>
      </c>
      <c r="E371" t="s">
        <v>184</v>
      </c>
      <c r="F371" t="s">
        <v>1238</v>
      </c>
      <c r="G371" s="4">
        <v>2.2396569431931637</v>
      </c>
      <c r="H371" s="4">
        <v>9.2023095278677344E-2</v>
      </c>
      <c r="I371">
        <v>4</v>
      </c>
      <c r="J371" t="s">
        <v>1214</v>
      </c>
      <c r="K371" t="s">
        <v>514</v>
      </c>
      <c r="L371" t="s">
        <v>1237</v>
      </c>
    </row>
    <row r="372" spans="1:12">
      <c r="A372" t="s">
        <v>53</v>
      </c>
      <c r="B372" t="s">
        <v>29</v>
      </c>
      <c r="C372" t="s">
        <v>1243</v>
      </c>
      <c r="D372" t="s">
        <v>1236</v>
      </c>
      <c r="E372" t="s">
        <v>195</v>
      </c>
      <c r="F372" t="s">
        <v>43</v>
      </c>
      <c r="G372" s="4">
        <v>3.9357354939248586</v>
      </c>
      <c r="H372" s="4">
        <v>0.27392924103338273</v>
      </c>
      <c r="I372">
        <v>4</v>
      </c>
      <c r="J372" t="s">
        <v>1214</v>
      </c>
      <c r="K372" t="s">
        <v>514</v>
      </c>
      <c r="L372" t="s">
        <v>1237</v>
      </c>
    </row>
    <row r="373" spans="1:12">
      <c r="A373" t="s">
        <v>53</v>
      </c>
      <c r="B373" t="s">
        <v>29</v>
      </c>
      <c r="C373" t="s">
        <v>1243</v>
      </c>
      <c r="D373" t="s">
        <v>1236</v>
      </c>
      <c r="E373" t="s">
        <v>195</v>
      </c>
      <c r="F373" t="s">
        <v>1238</v>
      </c>
      <c r="G373" s="4">
        <v>2.5595263824295729</v>
      </c>
      <c r="H373" s="4">
        <v>8.988305047602807E-2</v>
      </c>
      <c r="I373">
        <v>4</v>
      </c>
      <c r="J373" t="s">
        <v>1214</v>
      </c>
      <c r="K373" t="s">
        <v>514</v>
      </c>
      <c r="L373" t="s">
        <v>1237</v>
      </c>
    </row>
    <row r="374" spans="1:12">
      <c r="A374" t="s">
        <v>53</v>
      </c>
      <c r="B374" t="s">
        <v>29</v>
      </c>
      <c r="C374" t="s">
        <v>1243</v>
      </c>
      <c r="D374" t="s">
        <v>1239</v>
      </c>
      <c r="E374" t="s">
        <v>184</v>
      </c>
      <c r="F374" t="s">
        <v>43</v>
      </c>
      <c r="G374" s="4">
        <v>3.2038308213007447</v>
      </c>
      <c r="H374" s="4">
        <v>4.6082897075653127E-2</v>
      </c>
      <c r="I374">
        <v>4</v>
      </c>
      <c r="J374" t="s">
        <v>1214</v>
      </c>
      <c r="K374" t="s">
        <v>514</v>
      </c>
      <c r="L374" t="s">
        <v>1237</v>
      </c>
    </row>
    <row r="375" spans="1:12">
      <c r="A375" t="s">
        <v>53</v>
      </c>
      <c r="B375" t="s">
        <v>29</v>
      </c>
      <c r="C375" t="s">
        <v>1243</v>
      </c>
      <c r="D375" t="s">
        <v>1239</v>
      </c>
      <c r="E375" t="s">
        <v>184</v>
      </c>
      <c r="F375" t="s">
        <v>1238</v>
      </c>
      <c r="G375" s="4">
        <v>2.3318227373444764</v>
      </c>
      <c r="H375" s="4">
        <v>0.18418885290608489</v>
      </c>
      <c r="I375">
        <v>4</v>
      </c>
      <c r="J375" t="s">
        <v>1214</v>
      </c>
      <c r="K375" t="s">
        <v>514</v>
      </c>
      <c r="L375" t="s">
        <v>1237</v>
      </c>
    </row>
    <row r="376" spans="1:12">
      <c r="A376" t="s">
        <v>53</v>
      </c>
      <c r="B376" t="s">
        <v>29</v>
      </c>
      <c r="C376" t="s">
        <v>1243</v>
      </c>
      <c r="D376" t="s">
        <v>1239</v>
      </c>
      <c r="E376" t="s">
        <v>195</v>
      </c>
      <c r="F376" t="s">
        <v>43</v>
      </c>
      <c r="G376" s="4">
        <v>3.5237002605371455</v>
      </c>
      <c r="H376" s="4">
        <v>0.13810599235433046</v>
      </c>
      <c r="I376">
        <v>4</v>
      </c>
      <c r="J376" t="s">
        <v>1214</v>
      </c>
      <c r="K376" t="s">
        <v>514</v>
      </c>
      <c r="L376" t="s">
        <v>1237</v>
      </c>
    </row>
    <row r="377" spans="1:12">
      <c r="A377" t="s">
        <v>53</v>
      </c>
      <c r="B377" t="s">
        <v>29</v>
      </c>
      <c r="C377" t="s">
        <v>1243</v>
      </c>
      <c r="D377" t="s">
        <v>1239</v>
      </c>
      <c r="E377" t="s">
        <v>195</v>
      </c>
      <c r="F377" t="s">
        <v>1238</v>
      </c>
      <c r="G377" s="4">
        <v>2.4719260756288253</v>
      </c>
      <c r="H377" s="4">
        <v>0.11399452141517927</v>
      </c>
      <c r="I377">
        <v>4</v>
      </c>
      <c r="J377" t="s">
        <v>1214</v>
      </c>
      <c r="K377" t="s">
        <v>514</v>
      </c>
      <c r="L377" t="s">
        <v>1237</v>
      </c>
    </row>
    <row r="378" spans="1:12">
      <c r="A378" t="s">
        <v>53</v>
      </c>
      <c r="B378" t="s">
        <v>29</v>
      </c>
      <c r="C378" t="s">
        <v>1243</v>
      </c>
      <c r="D378" t="s">
        <v>1240</v>
      </c>
      <c r="E378" t="s">
        <v>184</v>
      </c>
      <c r="F378" t="s">
        <v>43</v>
      </c>
      <c r="G378" s="4">
        <v>4.2558902578587299</v>
      </c>
      <c r="H378" s="4">
        <v>0.22784634395772962</v>
      </c>
      <c r="I378">
        <v>4</v>
      </c>
      <c r="J378" t="s">
        <v>1214</v>
      </c>
      <c r="K378" t="s">
        <v>514</v>
      </c>
      <c r="L378" t="s">
        <v>1237</v>
      </c>
    </row>
    <row r="379" spans="1:12">
      <c r="A379" t="s">
        <v>53</v>
      </c>
      <c r="B379" t="s">
        <v>29</v>
      </c>
      <c r="C379" t="s">
        <v>1243</v>
      </c>
      <c r="D379" t="s">
        <v>1240</v>
      </c>
      <c r="E379" t="s">
        <v>184</v>
      </c>
      <c r="F379" t="s">
        <v>1238</v>
      </c>
      <c r="G379" s="4">
        <v>2.9276188365920839</v>
      </c>
      <c r="H379" s="4">
        <v>0.11399452141517927</v>
      </c>
      <c r="I379">
        <v>4</v>
      </c>
      <c r="J379" t="s">
        <v>1214</v>
      </c>
      <c r="K379" t="s">
        <v>514</v>
      </c>
      <c r="L379" t="s">
        <v>1237</v>
      </c>
    </row>
    <row r="380" spans="1:12">
      <c r="A380" t="s">
        <v>53</v>
      </c>
      <c r="B380" t="s">
        <v>29</v>
      </c>
      <c r="C380" t="s">
        <v>1243</v>
      </c>
      <c r="D380" t="s">
        <v>1240</v>
      </c>
      <c r="E380" t="s">
        <v>195</v>
      </c>
      <c r="F380" t="s">
        <v>43</v>
      </c>
      <c r="G380" s="4">
        <v>4.7115829457741834</v>
      </c>
      <c r="H380" s="4">
        <v>0.11399452141518031</v>
      </c>
      <c r="I380">
        <v>4</v>
      </c>
      <c r="J380" t="s">
        <v>1214</v>
      </c>
      <c r="K380" t="s">
        <v>514</v>
      </c>
      <c r="L380" t="s">
        <v>1237</v>
      </c>
    </row>
    <row r="381" spans="1:12">
      <c r="A381" t="s">
        <v>53</v>
      </c>
      <c r="B381" t="s">
        <v>29</v>
      </c>
      <c r="C381" t="s">
        <v>1243</v>
      </c>
      <c r="D381" t="s">
        <v>1240</v>
      </c>
      <c r="E381" t="s">
        <v>195</v>
      </c>
      <c r="F381" t="s">
        <v>1238</v>
      </c>
      <c r="G381" s="4">
        <v>3.0197845576955906</v>
      </c>
      <c r="H381" s="4">
        <v>4.6082860551754416E-2</v>
      </c>
      <c r="I381">
        <v>4</v>
      </c>
      <c r="J381" t="s">
        <v>1214</v>
      </c>
      <c r="K381" t="s">
        <v>514</v>
      </c>
      <c r="L381" t="s">
        <v>1237</v>
      </c>
    </row>
    <row r="382" spans="1:12">
      <c r="A382" t="s">
        <v>53</v>
      </c>
      <c r="B382" t="s">
        <v>29</v>
      </c>
      <c r="C382" t="s">
        <v>1243</v>
      </c>
      <c r="D382" t="s">
        <v>1241</v>
      </c>
      <c r="E382" t="s">
        <v>184</v>
      </c>
      <c r="F382" t="s">
        <v>43</v>
      </c>
      <c r="G382" s="4">
        <v>3.5237002605371455</v>
      </c>
      <c r="H382" s="4">
        <v>0.11399452141517927</v>
      </c>
      <c r="I382">
        <v>4</v>
      </c>
      <c r="J382" t="s">
        <v>1214</v>
      </c>
      <c r="K382" t="s">
        <v>514</v>
      </c>
      <c r="L382" t="s">
        <v>1237</v>
      </c>
    </row>
    <row r="383" spans="1:12">
      <c r="A383" t="s">
        <v>53</v>
      </c>
      <c r="B383" t="s">
        <v>29</v>
      </c>
      <c r="C383" t="s">
        <v>1243</v>
      </c>
      <c r="D383" t="s">
        <v>1241</v>
      </c>
      <c r="E383" t="s">
        <v>184</v>
      </c>
      <c r="F383" t="s">
        <v>1238</v>
      </c>
      <c r="G383" s="4">
        <v>2.4719260756288253</v>
      </c>
      <c r="H383" s="4">
        <v>0.11399452141517927</v>
      </c>
      <c r="I383">
        <v>4</v>
      </c>
      <c r="J383" t="s">
        <v>1214</v>
      </c>
      <c r="K383" t="s">
        <v>514</v>
      </c>
      <c r="L383" t="s">
        <v>1237</v>
      </c>
    </row>
    <row r="384" spans="1:12">
      <c r="A384" t="s">
        <v>53</v>
      </c>
      <c r="B384" t="s">
        <v>29</v>
      </c>
      <c r="C384" t="s">
        <v>1243</v>
      </c>
      <c r="D384" t="s">
        <v>1241</v>
      </c>
      <c r="E384" t="s">
        <v>195</v>
      </c>
      <c r="F384" t="s">
        <v>43</v>
      </c>
      <c r="G384" s="4">
        <v>4.2995477854342754</v>
      </c>
      <c r="H384" s="4">
        <v>4.5940234726922921E-2</v>
      </c>
      <c r="I384">
        <v>4</v>
      </c>
      <c r="J384" t="s">
        <v>1214</v>
      </c>
      <c r="K384" t="s">
        <v>514</v>
      </c>
      <c r="L384" t="s">
        <v>1237</v>
      </c>
    </row>
    <row r="385" spans="1:12">
      <c r="A385" t="s">
        <v>53</v>
      </c>
      <c r="B385" t="s">
        <v>29</v>
      </c>
      <c r="C385" t="s">
        <v>1243</v>
      </c>
      <c r="D385" t="s">
        <v>1241</v>
      </c>
      <c r="E385" t="s">
        <v>195</v>
      </c>
      <c r="F385" t="s">
        <v>1238</v>
      </c>
      <c r="G385" s="4">
        <v>2.8839613090165384</v>
      </c>
      <c r="H385" s="4">
        <v>0</v>
      </c>
      <c r="I385">
        <v>4</v>
      </c>
      <c r="J385" t="s">
        <v>1214</v>
      </c>
      <c r="K385" t="s">
        <v>514</v>
      </c>
      <c r="L385" t="s">
        <v>1237</v>
      </c>
    </row>
    <row r="386" spans="1:12">
      <c r="A386" t="s">
        <v>337</v>
      </c>
      <c r="B386" t="s">
        <v>41</v>
      </c>
      <c r="C386" t="s">
        <v>1235</v>
      </c>
      <c r="D386" t="s">
        <v>1236</v>
      </c>
      <c r="E386" t="s">
        <v>184</v>
      </c>
      <c r="F386" t="s">
        <v>43</v>
      </c>
      <c r="G386" s="4">
        <v>7.5875789893617016</v>
      </c>
      <c r="H386" s="4">
        <v>0.16752200797871777</v>
      </c>
      <c r="I386">
        <v>4</v>
      </c>
      <c r="J386" t="s">
        <v>1214</v>
      </c>
      <c r="K386" t="s">
        <v>550</v>
      </c>
      <c r="L386" t="s">
        <v>1237</v>
      </c>
    </row>
    <row r="387" spans="1:12">
      <c r="A387" t="s">
        <v>337</v>
      </c>
      <c r="B387" t="s">
        <v>41</v>
      </c>
      <c r="C387" t="s">
        <v>1235</v>
      </c>
      <c r="D387" t="s">
        <v>1236</v>
      </c>
      <c r="E387" t="s">
        <v>184</v>
      </c>
      <c r="F387" t="s">
        <v>1238</v>
      </c>
      <c r="G387" s="4">
        <v>6.1674078457446804</v>
      </c>
      <c r="H387" s="4">
        <v>0.12362865691489361</v>
      </c>
      <c r="I387">
        <v>4</v>
      </c>
      <c r="J387" t="s">
        <v>1214</v>
      </c>
      <c r="K387" t="s">
        <v>550</v>
      </c>
      <c r="L387" t="s">
        <v>1237</v>
      </c>
    </row>
    <row r="388" spans="1:12">
      <c r="A388" t="s">
        <v>337</v>
      </c>
      <c r="B388" t="s">
        <v>41</v>
      </c>
      <c r="C388" t="s">
        <v>1235</v>
      </c>
      <c r="D388" t="s">
        <v>1236</v>
      </c>
      <c r="E388" t="s">
        <v>195</v>
      </c>
      <c r="F388" t="s">
        <v>43</v>
      </c>
      <c r="G388" s="4">
        <v>8.3376621010638292</v>
      </c>
      <c r="H388" s="4">
        <v>0.1236287234042627</v>
      </c>
      <c r="I388">
        <v>4</v>
      </c>
      <c r="J388" t="s">
        <v>1214</v>
      </c>
      <c r="K388" t="s">
        <v>550</v>
      </c>
      <c r="L388" t="s">
        <v>1237</v>
      </c>
    </row>
    <row r="389" spans="1:12">
      <c r="A389" t="s">
        <v>337</v>
      </c>
      <c r="B389" t="s">
        <v>41</v>
      </c>
      <c r="C389" t="s">
        <v>1235</v>
      </c>
      <c r="D389" t="s">
        <v>1236</v>
      </c>
      <c r="E389" t="s">
        <v>195</v>
      </c>
      <c r="F389" t="s">
        <v>1238</v>
      </c>
      <c r="G389" s="4">
        <v>7.3403216755319143</v>
      </c>
      <c r="H389" s="4">
        <v>0.16362619680851434</v>
      </c>
      <c r="I389">
        <v>4</v>
      </c>
      <c r="J389" t="s">
        <v>1214</v>
      </c>
      <c r="K389" t="s">
        <v>550</v>
      </c>
      <c r="L389" t="s">
        <v>1237</v>
      </c>
    </row>
    <row r="390" spans="1:12">
      <c r="A390" t="s">
        <v>337</v>
      </c>
      <c r="B390" t="s">
        <v>41</v>
      </c>
      <c r="C390" t="s">
        <v>1235</v>
      </c>
      <c r="D390" t="s">
        <v>1239</v>
      </c>
      <c r="E390" t="s">
        <v>184</v>
      </c>
      <c r="F390" t="s">
        <v>43</v>
      </c>
      <c r="G390" s="4">
        <v>6.7502285904255315</v>
      </c>
      <c r="H390" s="4">
        <v>0.7500831117021276</v>
      </c>
      <c r="I390">
        <v>4</v>
      </c>
      <c r="J390" t="s">
        <v>1214</v>
      </c>
      <c r="K390" t="s">
        <v>550</v>
      </c>
      <c r="L390" t="s">
        <v>1237</v>
      </c>
    </row>
    <row r="391" spans="1:12">
      <c r="A391" t="s">
        <v>337</v>
      </c>
      <c r="B391" t="s">
        <v>41</v>
      </c>
      <c r="C391" t="s">
        <v>1235</v>
      </c>
      <c r="D391" t="s">
        <v>1239</v>
      </c>
      <c r="E391" t="s">
        <v>184</v>
      </c>
      <c r="F391" t="s">
        <v>1238</v>
      </c>
      <c r="G391" s="4">
        <v>6.3351896276595738</v>
      </c>
      <c r="H391" s="4">
        <v>0.16752200797872532</v>
      </c>
      <c r="I391">
        <v>4</v>
      </c>
      <c r="J391" t="s">
        <v>1214</v>
      </c>
      <c r="K391" t="s">
        <v>550</v>
      </c>
      <c r="L391" t="s">
        <v>1237</v>
      </c>
    </row>
    <row r="392" spans="1:12">
      <c r="A392" t="s">
        <v>337</v>
      </c>
      <c r="B392" t="s">
        <v>41</v>
      </c>
      <c r="C392" t="s">
        <v>1235</v>
      </c>
      <c r="D392" t="s">
        <v>1239</v>
      </c>
      <c r="E392" t="s">
        <v>195</v>
      </c>
      <c r="F392" t="s">
        <v>43</v>
      </c>
      <c r="G392" s="4">
        <v>7.3403216755319143</v>
      </c>
      <c r="H392" s="4">
        <v>0.1236287234042627</v>
      </c>
      <c r="I392">
        <v>4</v>
      </c>
      <c r="J392" t="s">
        <v>1214</v>
      </c>
      <c r="K392" t="s">
        <v>550</v>
      </c>
      <c r="L392" t="s">
        <v>1237</v>
      </c>
    </row>
    <row r="393" spans="1:12">
      <c r="A393" t="s">
        <v>337</v>
      </c>
      <c r="B393" t="s">
        <v>41</v>
      </c>
      <c r="C393" t="s">
        <v>1235</v>
      </c>
      <c r="D393" t="s">
        <v>1239</v>
      </c>
      <c r="E393" t="s">
        <v>195</v>
      </c>
      <c r="F393" t="s">
        <v>1238</v>
      </c>
      <c r="G393" s="4">
        <v>7.1730594414893609</v>
      </c>
      <c r="H393" s="4">
        <v>0.12388836436170406</v>
      </c>
      <c r="I393">
        <v>4</v>
      </c>
      <c r="J393" t="s">
        <v>1214</v>
      </c>
      <c r="K393" t="s">
        <v>550</v>
      </c>
      <c r="L393" t="s">
        <v>1237</v>
      </c>
    </row>
    <row r="394" spans="1:12">
      <c r="A394" t="s">
        <v>337</v>
      </c>
      <c r="B394" t="s">
        <v>41</v>
      </c>
      <c r="C394" t="s">
        <v>1235</v>
      </c>
      <c r="D394" t="s">
        <v>1240</v>
      </c>
      <c r="E394" t="s">
        <v>184</v>
      </c>
      <c r="F394" t="s">
        <v>43</v>
      </c>
      <c r="G394" s="4">
        <v>8.2581865691489362</v>
      </c>
      <c r="H394" s="4">
        <v>0.12362865691489361</v>
      </c>
      <c r="I394">
        <v>4</v>
      </c>
      <c r="J394" t="s">
        <v>1214</v>
      </c>
      <c r="K394" t="s">
        <v>550</v>
      </c>
      <c r="L394" t="s">
        <v>1237</v>
      </c>
    </row>
    <row r="395" spans="1:12">
      <c r="A395" t="s">
        <v>337</v>
      </c>
      <c r="B395" t="s">
        <v>41</v>
      </c>
      <c r="C395" t="s">
        <v>1235</v>
      </c>
      <c r="D395" t="s">
        <v>1240</v>
      </c>
      <c r="E395" t="s">
        <v>184</v>
      </c>
      <c r="F395" t="s">
        <v>1238</v>
      </c>
      <c r="G395" s="4">
        <v>7.0852726063829783</v>
      </c>
      <c r="H395" s="4">
        <v>0.16778171542552822</v>
      </c>
      <c r="I395">
        <v>4</v>
      </c>
      <c r="J395" t="s">
        <v>1214</v>
      </c>
      <c r="K395" t="s">
        <v>550</v>
      </c>
      <c r="L395" t="s">
        <v>1237</v>
      </c>
    </row>
    <row r="396" spans="1:12">
      <c r="A396" t="s">
        <v>337</v>
      </c>
      <c r="B396" t="s">
        <v>41</v>
      </c>
      <c r="C396" t="s">
        <v>1235</v>
      </c>
      <c r="D396" t="s">
        <v>1240</v>
      </c>
      <c r="E396" t="s">
        <v>195</v>
      </c>
      <c r="F396" t="s">
        <v>43</v>
      </c>
      <c r="G396" s="4">
        <v>9.3350025265957441</v>
      </c>
      <c r="H396" s="4">
        <v>0.16752207446808687</v>
      </c>
      <c r="I396">
        <v>4</v>
      </c>
      <c r="J396" t="s">
        <v>1214</v>
      </c>
      <c r="K396" t="s">
        <v>550</v>
      </c>
      <c r="L396" t="s">
        <v>1237</v>
      </c>
    </row>
    <row r="397" spans="1:12">
      <c r="A397" t="s">
        <v>337</v>
      </c>
      <c r="B397" t="s">
        <v>41</v>
      </c>
      <c r="C397" t="s">
        <v>1235</v>
      </c>
      <c r="D397" t="s">
        <v>1240</v>
      </c>
      <c r="E397" t="s">
        <v>195</v>
      </c>
      <c r="F397" t="s">
        <v>1238</v>
      </c>
      <c r="G397" s="4">
        <v>7.3403216755319143</v>
      </c>
      <c r="H397" s="4">
        <v>8.3631183510641999E-2</v>
      </c>
      <c r="I397">
        <v>4</v>
      </c>
      <c r="J397" t="s">
        <v>1214</v>
      </c>
      <c r="K397" t="s">
        <v>550</v>
      </c>
      <c r="L397" t="s">
        <v>1237</v>
      </c>
    </row>
    <row r="398" spans="1:12">
      <c r="A398" t="s">
        <v>337</v>
      </c>
      <c r="B398" t="s">
        <v>41</v>
      </c>
      <c r="C398" t="s">
        <v>1235</v>
      </c>
      <c r="D398" t="s">
        <v>1241</v>
      </c>
      <c r="E398" t="s">
        <v>184</v>
      </c>
      <c r="F398" t="s">
        <v>43</v>
      </c>
      <c r="G398" s="4">
        <v>8.3376621010638292</v>
      </c>
      <c r="H398" s="4">
        <v>4.3633643617021274E-2</v>
      </c>
      <c r="I398">
        <v>4</v>
      </c>
      <c r="J398" t="s">
        <v>1214</v>
      </c>
      <c r="K398" t="s">
        <v>550</v>
      </c>
      <c r="L398" t="s">
        <v>1237</v>
      </c>
    </row>
    <row r="399" spans="1:12">
      <c r="A399" t="s">
        <v>337</v>
      </c>
      <c r="B399" t="s">
        <v>41</v>
      </c>
      <c r="C399" t="s">
        <v>1235</v>
      </c>
      <c r="D399" t="s">
        <v>1241</v>
      </c>
      <c r="E399" t="s">
        <v>184</v>
      </c>
      <c r="F399" t="s">
        <v>1238</v>
      </c>
      <c r="G399" s="4">
        <v>6.3351896276595738</v>
      </c>
      <c r="H399" s="4">
        <v>0.16752200797872532</v>
      </c>
      <c r="I399">
        <v>4</v>
      </c>
      <c r="J399" t="s">
        <v>1214</v>
      </c>
      <c r="K399" t="s">
        <v>550</v>
      </c>
      <c r="L399" t="s">
        <v>1237</v>
      </c>
    </row>
    <row r="400" spans="1:12">
      <c r="A400" t="s">
        <v>337</v>
      </c>
      <c r="B400" t="s">
        <v>41</v>
      </c>
      <c r="C400" t="s">
        <v>1235</v>
      </c>
      <c r="D400" t="s">
        <v>1241</v>
      </c>
      <c r="E400" t="s">
        <v>195</v>
      </c>
      <c r="F400" t="s">
        <v>43</v>
      </c>
      <c r="G400" s="4">
        <v>8.3376621010638292</v>
      </c>
      <c r="H400" s="4">
        <v>8.3631183510641999E-2</v>
      </c>
      <c r="I400">
        <v>4</v>
      </c>
      <c r="J400" t="s">
        <v>1214</v>
      </c>
      <c r="K400" t="s">
        <v>550</v>
      </c>
      <c r="L400" t="s">
        <v>1237</v>
      </c>
    </row>
    <row r="401" spans="1:12">
      <c r="A401" t="s">
        <v>337</v>
      </c>
      <c r="B401" t="s">
        <v>41</v>
      </c>
      <c r="C401" t="s">
        <v>1235</v>
      </c>
      <c r="D401" t="s">
        <v>1241</v>
      </c>
      <c r="E401" t="s">
        <v>195</v>
      </c>
      <c r="F401" t="s">
        <v>1238</v>
      </c>
      <c r="G401" s="4">
        <v>6.3351896276595738</v>
      </c>
      <c r="H401" s="4">
        <v>0.16752200797872532</v>
      </c>
      <c r="I401">
        <v>4</v>
      </c>
      <c r="J401" t="s">
        <v>1214</v>
      </c>
      <c r="K401" t="s">
        <v>550</v>
      </c>
      <c r="L401" t="s">
        <v>1237</v>
      </c>
    </row>
    <row r="402" spans="1:12">
      <c r="A402" t="s">
        <v>337</v>
      </c>
      <c r="B402" t="s">
        <v>41</v>
      </c>
      <c r="C402" t="s">
        <v>1242</v>
      </c>
      <c r="D402" t="s">
        <v>1236</v>
      </c>
      <c r="E402" t="s">
        <v>184</v>
      </c>
      <c r="F402" t="s">
        <v>43</v>
      </c>
      <c r="G402" s="4">
        <v>7.3403216755319143</v>
      </c>
      <c r="H402" s="4">
        <v>0.16362619680851434</v>
      </c>
      <c r="I402">
        <v>4</v>
      </c>
      <c r="J402" t="s">
        <v>1214</v>
      </c>
      <c r="K402" t="s">
        <v>550</v>
      </c>
      <c r="L402" t="s">
        <v>1237</v>
      </c>
    </row>
    <row r="403" spans="1:12">
      <c r="A403" t="s">
        <v>337</v>
      </c>
      <c r="B403" t="s">
        <v>41</v>
      </c>
      <c r="C403" t="s">
        <v>1242</v>
      </c>
      <c r="D403" t="s">
        <v>1236</v>
      </c>
      <c r="E403" t="s">
        <v>184</v>
      </c>
      <c r="F403" t="s">
        <v>1238</v>
      </c>
      <c r="G403" s="4">
        <v>6.3351896276595738</v>
      </c>
      <c r="H403" s="4">
        <v>0.16752200797872532</v>
      </c>
      <c r="I403">
        <v>4</v>
      </c>
      <c r="J403" t="s">
        <v>1214</v>
      </c>
      <c r="K403" t="s">
        <v>550</v>
      </c>
      <c r="L403" t="s">
        <v>1237</v>
      </c>
    </row>
    <row r="404" spans="1:12">
      <c r="A404" t="s">
        <v>337</v>
      </c>
      <c r="B404" t="s">
        <v>41</v>
      </c>
      <c r="C404" t="s">
        <v>1242</v>
      </c>
      <c r="D404" t="s">
        <v>1236</v>
      </c>
      <c r="E404" t="s">
        <v>195</v>
      </c>
      <c r="F404" t="s">
        <v>43</v>
      </c>
      <c r="G404" s="4">
        <v>8.3376621010638292</v>
      </c>
      <c r="H404" s="4">
        <v>0.20751954787233848</v>
      </c>
      <c r="I404">
        <v>4</v>
      </c>
      <c r="J404" t="s">
        <v>1214</v>
      </c>
      <c r="K404" t="s">
        <v>550</v>
      </c>
      <c r="L404" t="s">
        <v>1237</v>
      </c>
    </row>
    <row r="405" spans="1:12">
      <c r="A405" t="s">
        <v>337</v>
      </c>
      <c r="B405" t="s">
        <v>41</v>
      </c>
      <c r="C405" t="s">
        <v>1242</v>
      </c>
      <c r="D405" t="s">
        <v>1236</v>
      </c>
      <c r="E405" t="s">
        <v>195</v>
      </c>
      <c r="F405" t="s">
        <v>1238</v>
      </c>
      <c r="G405" s="4">
        <v>7.3403216755319143</v>
      </c>
      <c r="H405" s="4">
        <v>0.16362619680851434</v>
      </c>
      <c r="I405">
        <v>4</v>
      </c>
      <c r="J405" t="s">
        <v>1214</v>
      </c>
      <c r="K405" t="s">
        <v>550</v>
      </c>
      <c r="L405" t="s">
        <v>1237</v>
      </c>
    </row>
    <row r="406" spans="1:12">
      <c r="A406" t="s">
        <v>337</v>
      </c>
      <c r="B406" t="s">
        <v>41</v>
      </c>
      <c r="C406" t="s">
        <v>1242</v>
      </c>
      <c r="D406" t="s">
        <v>1239</v>
      </c>
      <c r="E406" t="s">
        <v>184</v>
      </c>
      <c r="F406" t="s">
        <v>43</v>
      </c>
      <c r="G406" s="4">
        <v>7.5081034574468086</v>
      </c>
      <c r="H406" s="4">
        <v>0.16362613031914525</v>
      </c>
      <c r="I406">
        <v>4</v>
      </c>
      <c r="J406" t="s">
        <v>1214</v>
      </c>
      <c r="K406" t="s">
        <v>550</v>
      </c>
      <c r="L406" t="s">
        <v>1237</v>
      </c>
    </row>
    <row r="407" spans="1:12">
      <c r="A407" t="s">
        <v>337</v>
      </c>
      <c r="B407" t="s">
        <v>41</v>
      </c>
      <c r="C407" t="s">
        <v>1242</v>
      </c>
      <c r="D407" t="s">
        <v>1239</v>
      </c>
      <c r="E407" t="s">
        <v>184</v>
      </c>
      <c r="F407" t="s">
        <v>1238</v>
      </c>
      <c r="G407" s="4">
        <v>7.3403216755319143</v>
      </c>
      <c r="H407" s="4">
        <v>0.16362619680851434</v>
      </c>
      <c r="I407">
        <v>4</v>
      </c>
      <c r="J407" t="s">
        <v>1214</v>
      </c>
      <c r="K407" t="s">
        <v>550</v>
      </c>
      <c r="L407" t="s">
        <v>1237</v>
      </c>
    </row>
    <row r="408" spans="1:12">
      <c r="A408" t="s">
        <v>337</v>
      </c>
      <c r="B408" t="s">
        <v>41</v>
      </c>
      <c r="C408" t="s">
        <v>1242</v>
      </c>
      <c r="D408" t="s">
        <v>1239</v>
      </c>
      <c r="E408" t="s">
        <v>195</v>
      </c>
      <c r="F408" t="s">
        <v>43</v>
      </c>
      <c r="G408" s="4">
        <v>8.4176571808510641</v>
      </c>
      <c r="H408" s="4">
        <v>0.12388836436170406</v>
      </c>
      <c r="I408">
        <v>4</v>
      </c>
      <c r="J408" t="s">
        <v>1214</v>
      </c>
      <c r="K408" t="s">
        <v>550</v>
      </c>
      <c r="L408" t="s">
        <v>1237</v>
      </c>
    </row>
    <row r="409" spans="1:12">
      <c r="A409" t="s">
        <v>337</v>
      </c>
      <c r="B409" t="s">
        <v>41</v>
      </c>
      <c r="C409" t="s">
        <v>1242</v>
      </c>
      <c r="D409" t="s">
        <v>1239</v>
      </c>
      <c r="E409" t="s">
        <v>195</v>
      </c>
      <c r="F409" t="s">
        <v>1238</v>
      </c>
      <c r="G409" s="4">
        <v>6.5024518617021272</v>
      </c>
      <c r="H409" s="4">
        <v>0.71008557180850695</v>
      </c>
      <c r="I409">
        <v>4</v>
      </c>
      <c r="J409" t="s">
        <v>1214</v>
      </c>
      <c r="K409" t="s">
        <v>550</v>
      </c>
      <c r="L409" t="s">
        <v>1237</v>
      </c>
    </row>
    <row r="410" spans="1:12">
      <c r="A410" t="s">
        <v>337</v>
      </c>
      <c r="B410" t="s">
        <v>41</v>
      </c>
      <c r="C410" t="s">
        <v>1242</v>
      </c>
      <c r="D410" t="s">
        <v>1240</v>
      </c>
      <c r="E410" t="s">
        <v>184</v>
      </c>
      <c r="F410" t="s">
        <v>43</v>
      </c>
      <c r="G410" s="4">
        <v>9.007750265957446</v>
      </c>
      <c r="H410" s="4">
        <v>0.16362613031914525</v>
      </c>
      <c r="I410">
        <v>4</v>
      </c>
      <c r="J410" t="s">
        <v>1214</v>
      </c>
      <c r="K410" t="s">
        <v>550</v>
      </c>
      <c r="L410" t="s">
        <v>1237</v>
      </c>
    </row>
    <row r="411" spans="1:12">
      <c r="A411" t="s">
        <v>337</v>
      </c>
      <c r="B411" t="s">
        <v>41</v>
      </c>
      <c r="C411" t="s">
        <v>1242</v>
      </c>
      <c r="D411" t="s">
        <v>1240</v>
      </c>
      <c r="E411" t="s">
        <v>184</v>
      </c>
      <c r="F411" t="s">
        <v>1238</v>
      </c>
      <c r="G411" s="4">
        <v>7.5081034574468086</v>
      </c>
      <c r="H411" s="4">
        <v>8.3890824468083339E-2</v>
      </c>
      <c r="I411">
        <v>4</v>
      </c>
      <c r="J411" t="s">
        <v>1214</v>
      </c>
      <c r="K411" t="s">
        <v>550</v>
      </c>
      <c r="L411" t="s">
        <v>1237</v>
      </c>
    </row>
    <row r="412" spans="1:12">
      <c r="A412" t="s">
        <v>337</v>
      </c>
      <c r="B412" t="s">
        <v>41</v>
      </c>
      <c r="C412" t="s">
        <v>1242</v>
      </c>
      <c r="D412" t="s">
        <v>1240</v>
      </c>
      <c r="E412" t="s">
        <v>195</v>
      </c>
      <c r="F412" t="s">
        <v>43</v>
      </c>
      <c r="G412" s="4">
        <v>9.0877452127659577</v>
      </c>
      <c r="H412" s="4">
        <v>0.16752200797871777</v>
      </c>
      <c r="I412">
        <v>4</v>
      </c>
      <c r="J412" t="s">
        <v>1214</v>
      </c>
      <c r="K412" t="s">
        <v>550</v>
      </c>
      <c r="L412" t="s">
        <v>1237</v>
      </c>
    </row>
    <row r="413" spans="1:12">
      <c r="A413" t="s">
        <v>337</v>
      </c>
      <c r="B413" t="s">
        <v>41</v>
      </c>
      <c r="C413" t="s">
        <v>1242</v>
      </c>
      <c r="D413" t="s">
        <v>1240</v>
      </c>
      <c r="E413" t="s">
        <v>195</v>
      </c>
      <c r="F413" t="s">
        <v>1238</v>
      </c>
      <c r="G413" s="4">
        <v>7.5875789893617016</v>
      </c>
      <c r="H413" s="4">
        <v>8.3631117021272905E-2</v>
      </c>
      <c r="I413">
        <v>4</v>
      </c>
      <c r="J413" t="s">
        <v>1214</v>
      </c>
      <c r="K413" t="s">
        <v>550</v>
      </c>
      <c r="L413" t="s">
        <v>1237</v>
      </c>
    </row>
    <row r="414" spans="1:12">
      <c r="A414" t="s">
        <v>337</v>
      </c>
      <c r="B414" t="s">
        <v>41</v>
      </c>
      <c r="C414" t="s">
        <v>1242</v>
      </c>
      <c r="D414" t="s">
        <v>1241</v>
      </c>
      <c r="E414" t="s">
        <v>184</v>
      </c>
      <c r="F414" t="s">
        <v>43</v>
      </c>
      <c r="G414" s="4">
        <v>8.5849194148936174</v>
      </c>
      <c r="H414" s="4">
        <v>0.37504162234043292</v>
      </c>
      <c r="I414">
        <v>4</v>
      </c>
      <c r="J414" t="s">
        <v>1214</v>
      </c>
      <c r="K414" t="s">
        <v>550</v>
      </c>
      <c r="L414" t="s">
        <v>1237</v>
      </c>
    </row>
    <row r="415" spans="1:12">
      <c r="A415" t="s">
        <v>337</v>
      </c>
      <c r="B415" t="s">
        <v>41</v>
      </c>
      <c r="C415" t="s">
        <v>1242</v>
      </c>
      <c r="D415" t="s">
        <v>1241</v>
      </c>
      <c r="E415" t="s">
        <v>184</v>
      </c>
      <c r="F415" t="s">
        <v>1238</v>
      </c>
      <c r="G415" s="4">
        <v>7.3403216755319143</v>
      </c>
      <c r="H415" s="4">
        <v>8.3631183510641999E-2</v>
      </c>
      <c r="I415">
        <v>4</v>
      </c>
      <c r="J415" t="s">
        <v>1214</v>
      </c>
      <c r="K415" t="s">
        <v>550</v>
      </c>
      <c r="L415" t="s">
        <v>1237</v>
      </c>
    </row>
    <row r="416" spans="1:12">
      <c r="A416" t="s">
        <v>337</v>
      </c>
      <c r="B416" t="s">
        <v>41</v>
      </c>
      <c r="C416" t="s">
        <v>1242</v>
      </c>
      <c r="D416" t="s">
        <v>1241</v>
      </c>
      <c r="E416" t="s">
        <v>195</v>
      </c>
      <c r="F416" t="s">
        <v>43</v>
      </c>
      <c r="G416" s="4">
        <v>8.7527011968085109</v>
      </c>
      <c r="H416" s="4">
        <v>0.3350440159574431</v>
      </c>
      <c r="I416">
        <v>4</v>
      </c>
      <c r="J416" t="s">
        <v>1214</v>
      </c>
      <c r="K416" t="s">
        <v>550</v>
      </c>
      <c r="L416" t="s">
        <v>1237</v>
      </c>
    </row>
    <row r="417" spans="1:12">
      <c r="A417" t="s">
        <v>337</v>
      </c>
      <c r="B417" t="s">
        <v>41</v>
      </c>
      <c r="C417" t="s">
        <v>1242</v>
      </c>
      <c r="D417" t="s">
        <v>1241</v>
      </c>
      <c r="E417" t="s">
        <v>195</v>
      </c>
      <c r="F417" t="s">
        <v>1238</v>
      </c>
      <c r="G417" s="4">
        <v>7.2525349734042548</v>
      </c>
      <c r="H417" s="4">
        <v>0.12752453457446616</v>
      </c>
      <c r="I417">
        <v>4</v>
      </c>
      <c r="J417" t="s">
        <v>1214</v>
      </c>
      <c r="K417" t="s">
        <v>550</v>
      </c>
      <c r="L417" t="s">
        <v>1237</v>
      </c>
    </row>
    <row r="418" spans="1:12">
      <c r="A418" t="s">
        <v>337</v>
      </c>
      <c r="B418" t="s">
        <v>41</v>
      </c>
      <c r="C418" t="s">
        <v>1243</v>
      </c>
      <c r="D418" t="s">
        <v>1236</v>
      </c>
      <c r="E418" t="s">
        <v>184</v>
      </c>
      <c r="F418" t="s">
        <v>43</v>
      </c>
      <c r="G418" s="4">
        <v>7.4203167553191482</v>
      </c>
      <c r="H418" s="4">
        <v>0.20725977393616651</v>
      </c>
      <c r="I418">
        <v>4</v>
      </c>
      <c r="J418" t="s">
        <v>1214</v>
      </c>
      <c r="K418" t="s">
        <v>550</v>
      </c>
      <c r="L418" t="s">
        <v>1237</v>
      </c>
    </row>
    <row r="419" spans="1:12">
      <c r="A419" t="s">
        <v>337</v>
      </c>
      <c r="B419" t="s">
        <v>41</v>
      </c>
      <c r="C419" t="s">
        <v>1243</v>
      </c>
      <c r="D419" t="s">
        <v>1236</v>
      </c>
      <c r="E419" t="s">
        <v>184</v>
      </c>
      <c r="F419" t="s">
        <v>1238</v>
      </c>
      <c r="G419" s="4">
        <v>7.6675740691489356</v>
      </c>
      <c r="H419" s="4">
        <v>3.9737765957441183E-2</v>
      </c>
      <c r="I419">
        <v>4</v>
      </c>
      <c r="J419" t="s">
        <v>1214</v>
      </c>
      <c r="K419" t="s">
        <v>550</v>
      </c>
      <c r="L419" t="s">
        <v>1237</v>
      </c>
    </row>
    <row r="420" spans="1:12">
      <c r="A420" t="s">
        <v>337</v>
      </c>
      <c r="B420" t="s">
        <v>41</v>
      </c>
      <c r="C420" t="s">
        <v>1243</v>
      </c>
      <c r="D420" t="s">
        <v>1236</v>
      </c>
      <c r="E420" t="s">
        <v>195</v>
      </c>
      <c r="F420" t="s">
        <v>43</v>
      </c>
      <c r="G420" s="4">
        <v>8.4176571808510641</v>
      </c>
      <c r="H420" s="4">
        <v>8.3890890957444869E-2</v>
      </c>
      <c r="I420">
        <v>4</v>
      </c>
      <c r="J420" t="s">
        <v>1214</v>
      </c>
      <c r="K420" t="s">
        <v>550</v>
      </c>
      <c r="L420" t="s">
        <v>1237</v>
      </c>
    </row>
    <row r="421" spans="1:12">
      <c r="A421" t="s">
        <v>337</v>
      </c>
      <c r="B421" t="s">
        <v>41</v>
      </c>
      <c r="C421" t="s">
        <v>1243</v>
      </c>
      <c r="D421" t="s">
        <v>1236</v>
      </c>
      <c r="E421" t="s">
        <v>195</v>
      </c>
      <c r="F421" t="s">
        <v>1238</v>
      </c>
      <c r="G421" s="4">
        <v>7.7553607712765951</v>
      </c>
      <c r="H421" s="4">
        <v>4.3893417553193252E-2</v>
      </c>
      <c r="I421">
        <v>4</v>
      </c>
      <c r="J421" t="s">
        <v>1214</v>
      </c>
      <c r="K421" t="s">
        <v>550</v>
      </c>
      <c r="L421" t="s">
        <v>1237</v>
      </c>
    </row>
    <row r="422" spans="1:12">
      <c r="A422" t="s">
        <v>337</v>
      </c>
      <c r="B422" t="s">
        <v>41</v>
      </c>
      <c r="C422" t="s">
        <v>1243</v>
      </c>
      <c r="D422" t="s">
        <v>1239</v>
      </c>
      <c r="E422" t="s">
        <v>184</v>
      </c>
      <c r="F422" t="s">
        <v>43</v>
      </c>
      <c r="G422" s="4">
        <v>7.5875789893617016</v>
      </c>
      <c r="H422" s="4">
        <v>0.37504162234043292</v>
      </c>
      <c r="I422">
        <v>4</v>
      </c>
      <c r="J422" t="s">
        <v>1214</v>
      </c>
      <c r="K422" t="s">
        <v>550</v>
      </c>
      <c r="L422" t="s">
        <v>1237</v>
      </c>
    </row>
    <row r="423" spans="1:12">
      <c r="A423" t="s">
        <v>337</v>
      </c>
      <c r="B423" t="s">
        <v>41</v>
      </c>
      <c r="C423" t="s">
        <v>1243</v>
      </c>
      <c r="D423" t="s">
        <v>1239</v>
      </c>
      <c r="E423" t="s">
        <v>184</v>
      </c>
      <c r="F423" t="s">
        <v>1238</v>
      </c>
      <c r="G423" s="4">
        <v>7.4203167553191482</v>
      </c>
      <c r="H423" s="4">
        <v>0.12362865691489361</v>
      </c>
      <c r="I423">
        <v>4</v>
      </c>
      <c r="J423" t="s">
        <v>1214</v>
      </c>
      <c r="K423" t="s">
        <v>550</v>
      </c>
      <c r="L423" t="s">
        <v>1237</v>
      </c>
    </row>
    <row r="424" spans="1:12">
      <c r="A424" t="s">
        <v>337</v>
      </c>
      <c r="B424" t="s">
        <v>41</v>
      </c>
      <c r="C424" t="s">
        <v>1243</v>
      </c>
      <c r="D424" t="s">
        <v>1239</v>
      </c>
      <c r="E424" t="s">
        <v>195</v>
      </c>
      <c r="F424" t="s">
        <v>43</v>
      </c>
      <c r="G424" s="4">
        <v>8.3376621010638292</v>
      </c>
      <c r="H424" s="4">
        <v>0.16752207446808687</v>
      </c>
      <c r="I424">
        <v>4</v>
      </c>
      <c r="J424" t="s">
        <v>1214</v>
      </c>
      <c r="K424" t="s">
        <v>550</v>
      </c>
      <c r="L424" t="s">
        <v>1237</v>
      </c>
    </row>
    <row r="425" spans="1:12">
      <c r="A425" t="s">
        <v>337</v>
      </c>
      <c r="B425" t="s">
        <v>41</v>
      </c>
      <c r="C425" t="s">
        <v>1243</v>
      </c>
      <c r="D425" t="s">
        <v>1239</v>
      </c>
      <c r="E425" t="s">
        <v>195</v>
      </c>
      <c r="F425" t="s">
        <v>1238</v>
      </c>
      <c r="G425" s="4">
        <v>7.3403216755319143</v>
      </c>
      <c r="H425" s="4">
        <v>8.3631183510641999E-2</v>
      </c>
      <c r="I425">
        <v>4</v>
      </c>
      <c r="J425" t="s">
        <v>1214</v>
      </c>
      <c r="K425" t="s">
        <v>550</v>
      </c>
      <c r="L425" t="s">
        <v>1237</v>
      </c>
    </row>
    <row r="426" spans="1:12">
      <c r="A426" t="s">
        <v>337</v>
      </c>
      <c r="B426" t="s">
        <v>41</v>
      </c>
      <c r="C426" t="s">
        <v>1243</v>
      </c>
      <c r="D426" t="s">
        <v>1240</v>
      </c>
      <c r="E426" t="s">
        <v>184</v>
      </c>
      <c r="F426" t="s">
        <v>43</v>
      </c>
      <c r="G426" s="4">
        <v>9.0877452127659577</v>
      </c>
      <c r="H426" s="4">
        <v>0.20725977393616651</v>
      </c>
      <c r="I426">
        <v>4</v>
      </c>
      <c r="J426" t="s">
        <v>1214</v>
      </c>
      <c r="K426" t="s">
        <v>550</v>
      </c>
      <c r="L426" t="s">
        <v>1237</v>
      </c>
    </row>
    <row r="427" spans="1:12">
      <c r="A427" t="s">
        <v>337</v>
      </c>
      <c r="B427" t="s">
        <v>41</v>
      </c>
      <c r="C427" t="s">
        <v>1243</v>
      </c>
      <c r="D427" t="s">
        <v>1240</v>
      </c>
      <c r="E427" t="s">
        <v>184</v>
      </c>
      <c r="F427" t="s">
        <v>1238</v>
      </c>
      <c r="G427" s="4">
        <v>7.2525349734042548</v>
      </c>
      <c r="H427" s="4">
        <v>0.1236287234042627</v>
      </c>
      <c r="I427">
        <v>4</v>
      </c>
      <c r="J427" t="s">
        <v>1214</v>
      </c>
      <c r="K427" t="s">
        <v>550</v>
      </c>
      <c r="L427" t="s">
        <v>1237</v>
      </c>
    </row>
    <row r="428" spans="1:12">
      <c r="A428" t="s">
        <v>337</v>
      </c>
      <c r="B428" t="s">
        <v>41</v>
      </c>
      <c r="C428" t="s">
        <v>1243</v>
      </c>
      <c r="D428" t="s">
        <v>1240</v>
      </c>
      <c r="E428" t="s">
        <v>195</v>
      </c>
      <c r="F428" t="s">
        <v>43</v>
      </c>
      <c r="G428" s="4">
        <v>10.005090691489361</v>
      </c>
      <c r="H428" s="4">
        <v>0.20725977393617406</v>
      </c>
      <c r="I428">
        <v>4</v>
      </c>
      <c r="J428" t="s">
        <v>1214</v>
      </c>
      <c r="K428" t="s">
        <v>550</v>
      </c>
      <c r="L428" t="s">
        <v>1237</v>
      </c>
    </row>
    <row r="429" spans="1:12">
      <c r="A429" t="s">
        <v>337</v>
      </c>
      <c r="B429" t="s">
        <v>41</v>
      </c>
      <c r="C429" t="s">
        <v>1243</v>
      </c>
      <c r="D429" t="s">
        <v>1240</v>
      </c>
      <c r="E429" t="s">
        <v>195</v>
      </c>
      <c r="F429" t="s">
        <v>1238</v>
      </c>
      <c r="G429" s="4">
        <v>8.1703998670212759</v>
      </c>
      <c r="H429" s="4">
        <v>0.50282579787234039</v>
      </c>
      <c r="I429">
        <v>4</v>
      </c>
      <c r="J429" t="s">
        <v>1214</v>
      </c>
      <c r="K429" t="s">
        <v>550</v>
      </c>
      <c r="L429" t="s">
        <v>1237</v>
      </c>
    </row>
    <row r="430" spans="1:12">
      <c r="A430" t="s">
        <v>337</v>
      </c>
      <c r="B430" t="s">
        <v>41</v>
      </c>
      <c r="C430" t="s">
        <v>1243</v>
      </c>
      <c r="D430" t="s">
        <v>1241</v>
      </c>
      <c r="E430" t="s">
        <v>184</v>
      </c>
      <c r="F430" t="s">
        <v>43</v>
      </c>
      <c r="G430" s="4">
        <v>8.672706117021276</v>
      </c>
      <c r="H430" s="4">
        <v>0.25141289893617019</v>
      </c>
      <c r="I430">
        <v>4</v>
      </c>
      <c r="J430" t="s">
        <v>1214</v>
      </c>
      <c r="K430" t="s">
        <v>550</v>
      </c>
      <c r="L430" t="s">
        <v>1237</v>
      </c>
    </row>
    <row r="431" spans="1:12">
      <c r="A431" t="s">
        <v>337</v>
      </c>
      <c r="B431" t="s">
        <v>41</v>
      </c>
      <c r="C431" t="s">
        <v>1243</v>
      </c>
      <c r="D431" t="s">
        <v>1241</v>
      </c>
      <c r="E431" t="s">
        <v>184</v>
      </c>
      <c r="F431" t="s">
        <v>1238</v>
      </c>
      <c r="G431" s="4">
        <v>7.3403216755319143</v>
      </c>
      <c r="H431" s="4">
        <v>0.1236287234042627</v>
      </c>
      <c r="I431">
        <v>4</v>
      </c>
      <c r="J431" t="s">
        <v>1214</v>
      </c>
      <c r="K431" t="s">
        <v>550</v>
      </c>
      <c r="L431" t="s">
        <v>1237</v>
      </c>
    </row>
    <row r="432" spans="1:12">
      <c r="A432" t="s">
        <v>337</v>
      </c>
      <c r="B432" t="s">
        <v>41</v>
      </c>
      <c r="C432" t="s">
        <v>1243</v>
      </c>
      <c r="D432" t="s">
        <v>1241</v>
      </c>
      <c r="E432" t="s">
        <v>195</v>
      </c>
      <c r="F432" t="s">
        <v>43</v>
      </c>
      <c r="G432" s="4">
        <v>9.007750265957446</v>
      </c>
      <c r="H432" s="4">
        <v>0.58645691489361329</v>
      </c>
      <c r="I432">
        <v>4</v>
      </c>
      <c r="J432" t="s">
        <v>1214</v>
      </c>
      <c r="K432" t="s">
        <v>550</v>
      </c>
      <c r="L432" t="s">
        <v>1237</v>
      </c>
    </row>
    <row r="433" spans="1:12">
      <c r="A433" t="s">
        <v>337</v>
      </c>
      <c r="B433" t="s">
        <v>41</v>
      </c>
      <c r="C433" t="s">
        <v>1243</v>
      </c>
      <c r="D433" t="s">
        <v>1241</v>
      </c>
      <c r="E433" t="s">
        <v>195</v>
      </c>
      <c r="F433" t="s">
        <v>1238</v>
      </c>
      <c r="G433" s="4">
        <v>7.5875789893617016</v>
      </c>
      <c r="H433" s="4">
        <v>0.50256609042553002</v>
      </c>
      <c r="I433">
        <v>4</v>
      </c>
      <c r="J433" t="s">
        <v>1214</v>
      </c>
      <c r="K433" t="s">
        <v>550</v>
      </c>
      <c r="L433" t="s">
        <v>1237</v>
      </c>
    </row>
    <row r="434" spans="1:12">
      <c r="A434" t="s">
        <v>337</v>
      </c>
      <c r="B434" t="s">
        <v>29</v>
      </c>
      <c r="C434" t="s">
        <v>1235</v>
      </c>
      <c r="D434" t="s">
        <v>1236</v>
      </c>
      <c r="E434" t="s">
        <v>184</v>
      </c>
      <c r="F434" t="s">
        <v>43</v>
      </c>
      <c r="G434" s="4">
        <v>6.8593137469613019</v>
      </c>
      <c r="H434" s="4">
        <v>0.13794764678828919</v>
      </c>
      <c r="I434">
        <v>4</v>
      </c>
      <c r="J434" t="s">
        <v>1214</v>
      </c>
      <c r="K434" t="s">
        <v>550</v>
      </c>
      <c r="L434" t="s">
        <v>1237</v>
      </c>
    </row>
    <row r="435" spans="1:12">
      <c r="A435" t="s">
        <v>337</v>
      </c>
      <c r="B435" t="s">
        <v>29</v>
      </c>
      <c r="C435" t="s">
        <v>1235</v>
      </c>
      <c r="D435" t="s">
        <v>1236</v>
      </c>
      <c r="E435" t="s">
        <v>184</v>
      </c>
      <c r="F435" t="s">
        <v>1238</v>
      </c>
      <c r="G435" s="4">
        <v>6.5175457173517914</v>
      </c>
      <c r="H435" s="4">
        <v>0.27589534832789775</v>
      </c>
      <c r="I435">
        <v>4</v>
      </c>
      <c r="J435" t="s">
        <v>1214</v>
      </c>
      <c r="K435" t="s">
        <v>550</v>
      </c>
      <c r="L435" t="s">
        <v>1237</v>
      </c>
    </row>
    <row r="436" spans="1:12">
      <c r="A436" t="s">
        <v>337</v>
      </c>
      <c r="B436" t="s">
        <v>29</v>
      </c>
      <c r="C436" t="s">
        <v>1235</v>
      </c>
      <c r="D436" t="s">
        <v>1236</v>
      </c>
      <c r="E436" t="s">
        <v>195</v>
      </c>
      <c r="F436" t="s">
        <v>43</v>
      </c>
      <c r="G436" s="4">
        <v>6.7934411204310088</v>
      </c>
      <c r="H436" s="4">
        <v>0.34176802960951352</v>
      </c>
      <c r="I436">
        <v>4</v>
      </c>
      <c r="J436" t="s">
        <v>1214</v>
      </c>
      <c r="K436" t="s">
        <v>550</v>
      </c>
      <c r="L436" t="s">
        <v>1237</v>
      </c>
    </row>
    <row r="437" spans="1:12">
      <c r="A437" t="s">
        <v>337</v>
      </c>
      <c r="B437" t="s">
        <v>29</v>
      </c>
      <c r="C437" t="s">
        <v>1235</v>
      </c>
      <c r="D437" t="s">
        <v>1236</v>
      </c>
      <c r="E437" t="s">
        <v>195</v>
      </c>
      <c r="F437" t="s">
        <v>1238</v>
      </c>
      <c r="G437" s="4">
        <v>6.3139393574385174</v>
      </c>
      <c r="H437" s="4">
        <v>0.13794764678828608</v>
      </c>
      <c r="I437">
        <v>4</v>
      </c>
      <c r="J437" t="s">
        <v>1214</v>
      </c>
      <c r="K437" t="s">
        <v>550</v>
      </c>
      <c r="L437" t="s">
        <v>1237</v>
      </c>
    </row>
    <row r="438" spans="1:12">
      <c r="A438" t="s">
        <v>337</v>
      </c>
      <c r="B438" t="s">
        <v>29</v>
      </c>
      <c r="C438" t="s">
        <v>1235</v>
      </c>
      <c r="D438" t="s">
        <v>1239</v>
      </c>
      <c r="E438" t="s">
        <v>184</v>
      </c>
      <c r="F438" t="s">
        <v>43</v>
      </c>
      <c r="G438" s="4">
        <v>6.8593137469613019</v>
      </c>
      <c r="H438" s="4">
        <v>0.27589534832789464</v>
      </c>
      <c r="I438">
        <v>4</v>
      </c>
      <c r="J438" t="s">
        <v>1214</v>
      </c>
      <c r="K438" t="s">
        <v>550</v>
      </c>
      <c r="L438" t="s">
        <v>1237</v>
      </c>
    </row>
    <row r="439" spans="1:12">
      <c r="A439" t="s">
        <v>337</v>
      </c>
      <c r="B439" t="s">
        <v>29</v>
      </c>
      <c r="C439" t="s">
        <v>1235</v>
      </c>
      <c r="D439" t="s">
        <v>1239</v>
      </c>
      <c r="E439" t="s">
        <v>184</v>
      </c>
      <c r="F439" t="s">
        <v>1238</v>
      </c>
      <c r="G439" s="4">
        <v>5.4203806311732112</v>
      </c>
      <c r="H439" s="4">
        <v>0.17088401480475521</v>
      </c>
      <c r="I439">
        <v>4</v>
      </c>
      <c r="J439" t="s">
        <v>1214</v>
      </c>
      <c r="K439" t="s">
        <v>550</v>
      </c>
      <c r="L439" t="s">
        <v>1237</v>
      </c>
    </row>
    <row r="440" spans="1:12">
      <c r="A440" t="s">
        <v>337</v>
      </c>
      <c r="B440" t="s">
        <v>29</v>
      </c>
      <c r="C440" t="s">
        <v>1235</v>
      </c>
      <c r="D440" t="s">
        <v>1239</v>
      </c>
      <c r="E440" t="s">
        <v>195</v>
      </c>
      <c r="F440" t="s">
        <v>43</v>
      </c>
      <c r="G440" s="4">
        <v>6.3139393574385174</v>
      </c>
      <c r="H440" s="4">
        <v>0.13794764678828608</v>
      </c>
      <c r="I440">
        <v>4</v>
      </c>
      <c r="J440" t="s">
        <v>1214</v>
      </c>
      <c r="K440" t="s">
        <v>550</v>
      </c>
      <c r="L440" t="s">
        <v>1237</v>
      </c>
    </row>
    <row r="441" spans="1:12">
      <c r="A441" t="s">
        <v>337</v>
      </c>
      <c r="B441" t="s">
        <v>29</v>
      </c>
      <c r="C441" t="s">
        <v>1235</v>
      </c>
      <c r="D441" t="s">
        <v>1239</v>
      </c>
      <c r="E441" t="s">
        <v>195</v>
      </c>
      <c r="F441" t="s">
        <v>1238</v>
      </c>
      <c r="G441" s="4">
        <v>6.1757777972449199</v>
      </c>
      <c r="H441" s="4">
        <v>0.17409211361993818</v>
      </c>
      <c r="I441">
        <v>4</v>
      </c>
      <c r="J441" t="s">
        <v>1214</v>
      </c>
      <c r="K441" t="s">
        <v>550</v>
      </c>
      <c r="L441" t="s">
        <v>1237</v>
      </c>
    </row>
    <row r="442" spans="1:12">
      <c r="A442" t="s">
        <v>337</v>
      </c>
      <c r="B442" t="s">
        <v>29</v>
      </c>
      <c r="C442" t="s">
        <v>1235</v>
      </c>
      <c r="D442" t="s">
        <v>1240</v>
      </c>
      <c r="E442" t="s">
        <v>184</v>
      </c>
      <c r="F442" t="s">
        <v>43</v>
      </c>
      <c r="G442" s="4">
        <v>7.3388155099537933</v>
      </c>
      <c r="H442" s="4">
        <v>6.9080780096801853E-2</v>
      </c>
      <c r="I442">
        <v>4</v>
      </c>
      <c r="J442" t="s">
        <v>1214</v>
      </c>
      <c r="K442" t="s">
        <v>550</v>
      </c>
      <c r="L442" t="s">
        <v>1237</v>
      </c>
    </row>
    <row r="443" spans="1:12">
      <c r="A443" t="s">
        <v>337</v>
      </c>
      <c r="B443" t="s">
        <v>29</v>
      </c>
      <c r="C443" t="s">
        <v>1235</v>
      </c>
      <c r="D443" t="s">
        <v>1240</v>
      </c>
      <c r="E443" t="s">
        <v>184</v>
      </c>
      <c r="F443" t="s">
        <v>1238</v>
      </c>
      <c r="G443" s="4">
        <v>6.3139393574385174</v>
      </c>
      <c r="H443" s="4">
        <v>0.13794764678828608</v>
      </c>
      <c r="I443">
        <v>4</v>
      </c>
      <c r="J443" t="s">
        <v>1214</v>
      </c>
      <c r="K443" t="s">
        <v>550</v>
      </c>
      <c r="L443" t="s">
        <v>1237</v>
      </c>
    </row>
    <row r="444" spans="1:12">
      <c r="A444" t="s">
        <v>337</v>
      </c>
      <c r="B444" t="s">
        <v>29</v>
      </c>
      <c r="C444" t="s">
        <v>1235</v>
      </c>
      <c r="D444" t="s">
        <v>1240</v>
      </c>
      <c r="E444" t="s">
        <v>195</v>
      </c>
      <c r="F444" t="s">
        <v>43</v>
      </c>
      <c r="G444" s="4">
        <v>7.3388155099537933</v>
      </c>
      <c r="H444" s="4">
        <v>0.1706701013994438</v>
      </c>
      <c r="I444">
        <v>4</v>
      </c>
      <c r="J444" t="s">
        <v>1214</v>
      </c>
      <c r="K444" t="s">
        <v>550</v>
      </c>
      <c r="L444" t="s">
        <v>1237</v>
      </c>
    </row>
    <row r="445" spans="1:12">
      <c r="A445" t="s">
        <v>337</v>
      </c>
      <c r="B445" t="s">
        <v>29</v>
      </c>
      <c r="C445" t="s">
        <v>1235</v>
      </c>
      <c r="D445" t="s">
        <v>1240</v>
      </c>
      <c r="E445" t="s">
        <v>195</v>
      </c>
      <c r="F445" t="s">
        <v>1238</v>
      </c>
      <c r="G445" s="4">
        <v>6.3139393574385174</v>
      </c>
      <c r="H445" s="4">
        <v>0.10501133352313943</v>
      </c>
      <c r="I445">
        <v>4</v>
      </c>
      <c r="J445" t="s">
        <v>1214</v>
      </c>
      <c r="K445" t="s">
        <v>550</v>
      </c>
      <c r="L445" t="s">
        <v>1237</v>
      </c>
    </row>
    <row r="446" spans="1:12">
      <c r="A446" t="s">
        <v>337</v>
      </c>
      <c r="B446" t="s">
        <v>29</v>
      </c>
      <c r="C446" t="s">
        <v>1235</v>
      </c>
      <c r="D446" t="s">
        <v>1241</v>
      </c>
      <c r="E446" t="s">
        <v>184</v>
      </c>
      <c r="F446" t="s">
        <v>43</v>
      </c>
      <c r="G446" s="4">
        <v>7.4111044436170976</v>
      </c>
      <c r="H446" s="4">
        <v>0.10180323470795646</v>
      </c>
      <c r="I446">
        <v>4</v>
      </c>
      <c r="J446" t="s">
        <v>1214</v>
      </c>
      <c r="K446" t="s">
        <v>550</v>
      </c>
      <c r="L446" t="s">
        <v>1237</v>
      </c>
    </row>
    <row r="447" spans="1:12">
      <c r="A447" t="s">
        <v>337</v>
      </c>
      <c r="B447" t="s">
        <v>29</v>
      </c>
      <c r="C447" t="s">
        <v>1235</v>
      </c>
      <c r="D447" t="s">
        <v>1241</v>
      </c>
      <c r="E447" t="s">
        <v>184</v>
      </c>
      <c r="F447" t="s">
        <v>1238</v>
      </c>
      <c r="G447" s="4">
        <v>5.348091807012552</v>
      </c>
      <c r="H447" s="4">
        <v>0.13794770153960856</v>
      </c>
      <c r="I447">
        <v>4</v>
      </c>
      <c r="J447" t="s">
        <v>1214</v>
      </c>
      <c r="K447" t="s">
        <v>550</v>
      </c>
      <c r="L447" t="s">
        <v>1237</v>
      </c>
    </row>
    <row r="448" spans="1:12">
      <c r="A448" t="s">
        <v>337</v>
      </c>
      <c r="B448" t="s">
        <v>29</v>
      </c>
      <c r="C448" t="s">
        <v>1235</v>
      </c>
      <c r="D448" t="s">
        <v>1241</v>
      </c>
      <c r="E448" t="s">
        <v>195</v>
      </c>
      <c r="F448" t="s">
        <v>43</v>
      </c>
      <c r="G448" s="4">
        <v>7.3388155099537933</v>
      </c>
      <c r="H448" s="4">
        <v>6.9080780096801853E-2</v>
      </c>
      <c r="I448">
        <v>4</v>
      </c>
      <c r="J448" t="s">
        <v>1214</v>
      </c>
      <c r="K448" t="s">
        <v>550</v>
      </c>
      <c r="L448" t="s">
        <v>1237</v>
      </c>
    </row>
    <row r="449" spans="1:12">
      <c r="A449" t="s">
        <v>337</v>
      </c>
      <c r="B449" t="s">
        <v>29</v>
      </c>
      <c r="C449" t="s">
        <v>1235</v>
      </c>
      <c r="D449" t="s">
        <v>1241</v>
      </c>
      <c r="E449" t="s">
        <v>195</v>
      </c>
      <c r="F449" t="s">
        <v>1238</v>
      </c>
      <c r="G449" s="4">
        <v>5.2167741617572982</v>
      </c>
      <c r="H449" s="4">
        <v>0.1018031799566371</v>
      </c>
      <c r="I449">
        <v>4</v>
      </c>
      <c r="J449" t="s">
        <v>1214</v>
      </c>
      <c r="K449" t="s">
        <v>550</v>
      </c>
      <c r="L449" t="s">
        <v>1237</v>
      </c>
    </row>
    <row r="450" spans="1:12">
      <c r="A450" t="s">
        <v>337</v>
      </c>
      <c r="B450" t="s">
        <v>29</v>
      </c>
      <c r="C450" t="s">
        <v>1242</v>
      </c>
      <c r="D450" t="s">
        <v>1236</v>
      </c>
      <c r="E450" t="s">
        <v>184</v>
      </c>
      <c r="F450" t="s">
        <v>43</v>
      </c>
      <c r="G450" s="4">
        <v>6.3139393574385174</v>
      </c>
      <c r="H450" s="4">
        <v>0.17088396005343584</v>
      </c>
      <c r="I450">
        <v>4</v>
      </c>
      <c r="J450" t="s">
        <v>1214</v>
      </c>
      <c r="K450" t="s">
        <v>550</v>
      </c>
      <c r="L450" t="s">
        <v>1237</v>
      </c>
    </row>
    <row r="451" spans="1:12">
      <c r="A451" t="s">
        <v>337</v>
      </c>
      <c r="B451" t="s">
        <v>29</v>
      </c>
      <c r="C451" t="s">
        <v>1242</v>
      </c>
      <c r="D451" t="s">
        <v>1236</v>
      </c>
      <c r="E451" t="s">
        <v>184</v>
      </c>
      <c r="F451" t="s">
        <v>1238</v>
      </c>
      <c r="G451" s="4">
        <v>6.3139393574385174</v>
      </c>
      <c r="H451" s="4">
        <v>0.13794764678828608</v>
      </c>
      <c r="I451">
        <v>4</v>
      </c>
      <c r="J451" t="s">
        <v>1214</v>
      </c>
      <c r="K451" t="s">
        <v>550</v>
      </c>
      <c r="L451" t="s">
        <v>1237</v>
      </c>
    </row>
    <row r="452" spans="1:12">
      <c r="A452" t="s">
        <v>337</v>
      </c>
      <c r="B452" t="s">
        <v>29</v>
      </c>
      <c r="C452" t="s">
        <v>1242</v>
      </c>
      <c r="D452" t="s">
        <v>1236</v>
      </c>
      <c r="E452" t="s">
        <v>195</v>
      </c>
      <c r="F452" t="s">
        <v>43</v>
      </c>
      <c r="G452" s="4">
        <v>7.3388155099537933</v>
      </c>
      <c r="H452" s="4">
        <v>0.13794764678828608</v>
      </c>
      <c r="I452">
        <v>4</v>
      </c>
      <c r="J452" t="s">
        <v>1214</v>
      </c>
      <c r="K452" t="s">
        <v>550</v>
      </c>
      <c r="L452" t="s">
        <v>1237</v>
      </c>
    </row>
    <row r="453" spans="1:12">
      <c r="A453" t="s">
        <v>337</v>
      </c>
      <c r="B453" t="s">
        <v>29</v>
      </c>
      <c r="C453" t="s">
        <v>1242</v>
      </c>
      <c r="D453" t="s">
        <v>1236</v>
      </c>
      <c r="E453" t="s">
        <v>195</v>
      </c>
      <c r="F453" t="s">
        <v>1238</v>
      </c>
      <c r="G453" s="4">
        <v>5.8344374849433871</v>
      </c>
      <c r="H453" s="4">
        <v>0.13473960272442559</v>
      </c>
      <c r="I453">
        <v>4</v>
      </c>
      <c r="J453" t="s">
        <v>1214</v>
      </c>
      <c r="K453" t="s">
        <v>550</v>
      </c>
      <c r="L453" t="s">
        <v>1237</v>
      </c>
    </row>
    <row r="454" spans="1:12">
      <c r="A454" t="s">
        <v>337</v>
      </c>
      <c r="B454" t="s">
        <v>29</v>
      </c>
      <c r="C454" t="s">
        <v>1242</v>
      </c>
      <c r="D454" t="s">
        <v>1239</v>
      </c>
      <c r="E454" t="s">
        <v>184</v>
      </c>
      <c r="F454" t="s">
        <v>43</v>
      </c>
      <c r="G454" s="4">
        <v>6.5175457173517914</v>
      </c>
      <c r="H454" s="4">
        <v>0.13794764678828608</v>
      </c>
      <c r="I454">
        <v>4</v>
      </c>
      <c r="J454" t="s">
        <v>1214</v>
      </c>
      <c r="K454" t="s">
        <v>550</v>
      </c>
      <c r="L454" t="s">
        <v>1237</v>
      </c>
    </row>
    <row r="455" spans="1:12">
      <c r="A455" t="s">
        <v>337</v>
      </c>
      <c r="B455" t="s">
        <v>29</v>
      </c>
      <c r="C455" t="s">
        <v>1242</v>
      </c>
      <c r="D455" t="s">
        <v>1239</v>
      </c>
      <c r="E455" t="s">
        <v>184</v>
      </c>
      <c r="F455" t="s">
        <v>1238</v>
      </c>
      <c r="G455" s="4">
        <v>6.3139393574385174</v>
      </c>
      <c r="H455" s="4">
        <v>0.17088396005343584</v>
      </c>
      <c r="I455">
        <v>4</v>
      </c>
      <c r="J455" t="s">
        <v>1214</v>
      </c>
      <c r="K455" t="s">
        <v>550</v>
      </c>
      <c r="L455" t="s">
        <v>1237</v>
      </c>
    </row>
    <row r="456" spans="1:12">
      <c r="A456" t="s">
        <v>337</v>
      </c>
      <c r="B456" t="s">
        <v>29</v>
      </c>
      <c r="C456" t="s">
        <v>1242</v>
      </c>
      <c r="D456" t="s">
        <v>1239</v>
      </c>
      <c r="E456" t="s">
        <v>195</v>
      </c>
      <c r="F456" t="s">
        <v>43</v>
      </c>
      <c r="G456" s="4">
        <v>7.6147109130330106</v>
      </c>
      <c r="H456" s="4">
        <v>0.10522519217713147</v>
      </c>
      <c r="I456">
        <v>4</v>
      </c>
      <c r="J456" t="s">
        <v>1214</v>
      </c>
      <c r="K456" t="s">
        <v>550</v>
      </c>
      <c r="L456" t="s">
        <v>1237</v>
      </c>
    </row>
    <row r="457" spans="1:12">
      <c r="A457" t="s">
        <v>337</v>
      </c>
      <c r="B457" t="s">
        <v>29</v>
      </c>
      <c r="C457" t="s">
        <v>1242</v>
      </c>
      <c r="D457" t="s">
        <v>1239</v>
      </c>
      <c r="E457" t="s">
        <v>195</v>
      </c>
      <c r="F457" t="s">
        <v>1238</v>
      </c>
      <c r="G457" s="4">
        <v>5.4862533672061558</v>
      </c>
      <c r="H457" s="4">
        <v>0.34155411620419901</v>
      </c>
      <c r="I457">
        <v>4</v>
      </c>
      <c r="J457" t="s">
        <v>1214</v>
      </c>
      <c r="K457" t="s">
        <v>550</v>
      </c>
      <c r="L457" t="s">
        <v>1237</v>
      </c>
    </row>
    <row r="458" spans="1:12">
      <c r="A458" t="s">
        <v>337</v>
      </c>
      <c r="B458" t="s">
        <v>29</v>
      </c>
      <c r="C458" t="s">
        <v>1242</v>
      </c>
      <c r="D458" t="s">
        <v>1240</v>
      </c>
      <c r="E458" t="s">
        <v>184</v>
      </c>
      <c r="F458" t="s">
        <v>43</v>
      </c>
      <c r="G458" s="4">
        <v>8.0287677668031865</v>
      </c>
      <c r="H458" s="4">
        <v>0.20702842688508794</v>
      </c>
      <c r="I458">
        <v>4</v>
      </c>
      <c r="J458" t="s">
        <v>1214</v>
      </c>
      <c r="K458" t="s">
        <v>550</v>
      </c>
      <c r="L458" t="s">
        <v>1237</v>
      </c>
    </row>
    <row r="459" spans="1:12">
      <c r="A459" t="s">
        <v>337</v>
      </c>
      <c r="B459" t="s">
        <v>29</v>
      </c>
      <c r="C459" t="s">
        <v>1242</v>
      </c>
      <c r="D459" t="s">
        <v>1240</v>
      </c>
      <c r="E459" t="s">
        <v>184</v>
      </c>
      <c r="F459" t="s">
        <v>1238</v>
      </c>
      <c r="G459" s="4">
        <v>6.5175457173517914</v>
      </c>
      <c r="H459" s="4">
        <v>0.1020170933619485</v>
      </c>
      <c r="I459">
        <v>4</v>
      </c>
      <c r="J459" t="s">
        <v>1214</v>
      </c>
      <c r="K459" t="s">
        <v>550</v>
      </c>
      <c r="L459" t="s">
        <v>1237</v>
      </c>
    </row>
    <row r="460" spans="1:12">
      <c r="A460" t="s">
        <v>337</v>
      </c>
      <c r="B460" t="s">
        <v>29</v>
      </c>
      <c r="C460" t="s">
        <v>1242</v>
      </c>
      <c r="D460" t="s">
        <v>1240</v>
      </c>
      <c r="E460" t="s">
        <v>195</v>
      </c>
      <c r="F460" t="s">
        <v>43</v>
      </c>
      <c r="G460" s="4">
        <v>8.0287677668031865</v>
      </c>
      <c r="H460" s="4">
        <v>0.10180323470795646</v>
      </c>
      <c r="I460">
        <v>4</v>
      </c>
      <c r="J460" t="s">
        <v>1214</v>
      </c>
      <c r="K460" t="s">
        <v>550</v>
      </c>
      <c r="L460" t="s">
        <v>1237</v>
      </c>
    </row>
    <row r="461" spans="1:12">
      <c r="A461" t="s">
        <v>337</v>
      </c>
      <c r="B461" t="s">
        <v>29</v>
      </c>
      <c r="C461" t="s">
        <v>1242</v>
      </c>
      <c r="D461" t="s">
        <v>1240</v>
      </c>
      <c r="E461" t="s">
        <v>195</v>
      </c>
      <c r="F461" t="s">
        <v>1238</v>
      </c>
      <c r="G461" s="4">
        <v>6.5834184533847298</v>
      </c>
      <c r="H461" s="4">
        <v>6.8866921442806706E-2</v>
      </c>
      <c r="I461">
        <v>4</v>
      </c>
      <c r="J461" t="s">
        <v>1214</v>
      </c>
      <c r="K461" t="s">
        <v>550</v>
      </c>
      <c r="L461" t="s">
        <v>1237</v>
      </c>
    </row>
    <row r="462" spans="1:12">
      <c r="A462" t="s">
        <v>337</v>
      </c>
      <c r="B462" t="s">
        <v>29</v>
      </c>
      <c r="C462" t="s">
        <v>1242</v>
      </c>
      <c r="D462" t="s">
        <v>1241</v>
      </c>
      <c r="E462" t="s">
        <v>184</v>
      </c>
      <c r="F462" t="s">
        <v>43</v>
      </c>
      <c r="G462" s="4">
        <v>7.5492660038106951</v>
      </c>
      <c r="H462" s="4">
        <v>0.37769852828453176</v>
      </c>
      <c r="I462">
        <v>4</v>
      </c>
      <c r="J462" t="s">
        <v>1214</v>
      </c>
      <c r="K462" t="s">
        <v>550</v>
      </c>
      <c r="L462" t="s">
        <v>1237</v>
      </c>
    </row>
    <row r="463" spans="1:12">
      <c r="A463" t="s">
        <v>337</v>
      </c>
      <c r="B463" t="s">
        <v>29</v>
      </c>
      <c r="C463" t="s">
        <v>1242</v>
      </c>
      <c r="D463" t="s">
        <v>1241</v>
      </c>
      <c r="E463" t="s">
        <v>184</v>
      </c>
      <c r="F463" t="s">
        <v>1238</v>
      </c>
      <c r="G463" s="4">
        <v>6.3798119839688168</v>
      </c>
      <c r="H463" s="4">
        <v>6.8866866691487338E-2</v>
      </c>
      <c r="I463">
        <v>4</v>
      </c>
      <c r="J463" t="s">
        <v>1214</v>
      </c>
      <c r="K463" t="s">
        <v>550</v>
      </c>
      <c r="L463" t="s">
        <v>1237</v>
      </c>
    </row>
    <row r="464" spans="1:12">
      <c r="A464" t="s">
        <v>337</v>
      </c>
      <c r="B464" t="s">
        <v>29</v>
      </c>
      <c r="C464" t="s">
        <v>1242</v>
      </c>
      <c r="D464" t="s">
        <v>1241</v>
      </c>
      <c r="E464" t="s">
        <v>195</v>
      </c>
      <c r="F464" t="s">
        <v>43</v>
      </c>
      <c r="G464" s="4">
        <v>7.8906062066095828</v>
      </c>
      <c r="H464" s="4">
        <v>0.34176802960951663</v>
      </c>
      <c r="I464">
        <v>4</v>
      </c>
      <c r="J464" t="s">
        <v>1214</v>
      </c>
      <c r="K464" t="s">
        <v>550</v>
      </c>
      <c r="L464" t="s">
        <v>1237</v>
      </c>
    </row>
    <row r="465" spans="1:12">
      <c r="A465" t="s">
        <v>337</v>
      </c>
      <c r="B465" t="s">
        <v>29</v>
      </c>
      <c r="C465" t="s">
        <v>1242</v>
      </c>
      <c r="D465" t="s">
        <v>1241</v>
      </c>
      <c r="E465" t="s">
        <v>195</v>
      </c>
      <c r="F465" t="s">
        <v>1238</v>
      </c>
      <c r="G465" s="4">
        <v>6.2416504237752131</v>
      </c>
      <c r="H465" s="4">
        <v>0.13794770153960856</v>
      </c>
      <c r="I465">
        <v>4</v>
      </c>
      <c r="J465" t="s">
        <v>1214</v>
      </c>
      <c r="K465" t="s">
        <v>550</v>
      </c>
      <c r="L465" t="s">
        <v>1237</v>
      </c>
    </row>
    <row r="466" spans="1:12">
      <c r="A466" t="s">
        <v>337</v>
      </c>
      <c r="B466" t="s">
        <v>29</v>
      </c>
      <c r="C466" t="s">
        <v>1243</v>
      </c>
      <c r="D466" t="s">
        <v>1236</v>
      </c>
      <c r="E466" t="s">
        <v>184</v>
      </c>
      <c r="F466" t="s">
        <v>43</v>
      </c>
      <c r="G466" s="4">
        <v>6.2416504237752131</v>
      </c>
      <c r="H466" s="4">
        <v>0.13794770153960856</v>
      </c>
      <c r="I466">
        <v>4</v>
      </c>
      <c r="J466" t="s">
        <v>1214</v>
      </c>
      <c r="K466" t="s">
        <v>550</v>
      </c>
      <c r="L466" t="s">
        <v>1237</v>
      </c>
    </row>
    <row r="467" spans="1:12">
      <c r="A467" t="s">
        <v>337</v>
      </c>
      <c r="B467" t="s">
        <v>29</v>
      </c>
      <c r="C467" t="s">
        <v>1243</v>
      </c>
      <c r="D467" t="s">
        <v>1236</v>
      </c>
      <c r="E467" t="s">
        <v>184</v>
      </c>
      <c r="F467" t="s">
        <v>1238</v>
      </c>
      <c r="G467" s="4">
        <v>6.5834184533847298</v>
      </c>
      <c r="H467" s="4">
        <v>0.13473960272442559</v>
      </c>
      <c r="I467">
        <v>4</v>
      </c>
      <c r="J467" t="s">
        <v>1214</v>
      </c>
      <c r="K467" t="s">
        <v>550</v>
      </c>
      <c r="L467" t="s">
        <v>1237</v>
      </c>
    </row>
    <row r="468" spans="1:12">
      <c r="A468" t="s">
        <v>337</v>
      </c>
      <c r="B468" t="s">
        <v>29</v>
      </c>
      <c r="C468" t="s">
        <v>1243</v>
      </c>
      <c r="D468" t="s">
        <v>1236</v>
      </c>
      <c r="E468" t="s">
        <v>195</v>
      </c>
      <c r="F468" t="s">
        <v>43</v>
      </c>
      <c r="G468" s="4">
        <v>8.4359807056350125</v>
      </c>
      <c r="H468" s="4">
        <v>0.10180323470795646</v>
      </c>
      <c r="I468">
        <v>4</v>
      </c>
      <c r="J468" t="s">
        <v>1214</v>
      </c>
      <c r="K468" t="s">
        <v>550</v>
      </c>
      <c r="L468" t="s">
        <v>1237</v>
      </c>
    </row>
    <row r="469" spans="1:12">
      <c r="A469" t="s">
        <v>337</v>
      </c>
      <c r="B469" t="s">
        <v>29</v>
      </c>
      <c r="C469" t="s">
        <v>1243</v>
      </c>
      <c r="D469" t="s">
        <v>1236</v>
      </c>
      <c r="E469" t="s">
        <v>195</v>
      </c>
      <c r="F469" t="s">
        <v>1238</v>
      </c>
      <c r="G469" s="4">
        <v>6.5834184533847298</v>
      </c>
      <c r="H469" s="4">
        <v>6.8866921442806706E-2</v>
      </c>
      <c r="I469">
        <v>4</v>
      </c>
      <c r="J469" t="s">
        <v>1214</v>
      </c>
      <c r="K469" t="s">
        <v>550</v>
      </c>
      <c r="L469" t="s">
        <v>1237</v>
      </c>
    </row>
    <row r="470" spans="1:12">
      <c r="A470" t="s">
        <v>337</v>
      </c>
      <c r="B470" t="s">
        <v>29</v>
      </c>
      <c r="C470" t="s">
        <v>1243</v>
      </c>
      <c r="D470" t="s">
        <v>1239</v>
      </c>
      <c r="E470" t="s">
        <v>184</v>
      </c>
      <c r="F470" t="s">
        <v>43</v>
      </c>
      <c r="G470" s="4">
        <v>6.7934411204310088</v>
      </c>
      <c r="H470" s="4">
        <v>0.37449048422067127</v>
      </c>
      <c r="I470">
        <v>4</v>
      </c>
      <c r="J470" t="s">
        <v>1214</v>
      </c>
      <c r="K470" t="s">
        <v>550</v>
      </c>
      <c r="L470" t="s">
        <v>1237</v>
      </c>
    </row>
    <row r="471" spans="1:12">
      <c r="A471" t="s">
        <v>337</v>
      </c>
      <c r="B471" t="s">
        <v>29</v>
      </c>
      <c r="C471" t="s">
        <v>1243</v>
      </c>
      <c r="D471" t="s">
        <v>1239</v>
      </c>
      <c r="E471" t="s">
        <v>184</v>
      </c>
      <c r="F471" t="s">
        <v>1238</v>
      </c>
      <c r="G471" s="4">
        <v>6.8593137469613019</v>
      </c>
      <c r="H471" s="4">
        <v>0.10180323470795646</v>
      </c>
      <c r="I471">
        <v>4</v>
      </c>
      <c r="J471" t="s">
        <v>1214</v>
      </c>
      <c r="K471" t="s">
        <v>550</v>
      </c>
      <c r="L471" t="s">
        <v>1237</v>
      </c>
    </row>
    <row r="472" spans="1:12">
      <c r="A472" t="s">
        <v>337</v>
      </c>
      <c r="B472" t="s">
        <v>29</v>
      </c>
      <c r="C472" t="s">
        <v>1243</v>
      </c>
      <c r="D472" t="s">
        <v>1239</v>
      </c>
      <c r="E472" t="s">
        <v>195</v>
      </c>
      <c r="F472" t="s">
        <v>43</v>
      </c>
      <c r="G472" s="4">
        <v>7.3388155099537933</v>
      </c>
      <c r="H472" s="4">
        <v>0.13794764678828608</v>
      </c>
      <c r="I472">
        <v>4</v>
      </c>
      <c r="J472" t="s">
        <v>1214</v>
      </c>
      <c r="K472" t="s">
        <v>550</v>
      </c>
      <c r="L472" t="s">
        <v>1237</v>
      </c>
    </row>
    <row r="473" spans="1:12">
      <c r="A473" t="s">
        <v>337</v>
      </c>
      <c r="B473" t="s">
        <v>29</v>
      </c>
      <c r="C473" t="s">
        <v>1243</v>
      </c>
      <c r="D473" t="s">
        <v>1239</v>
      </c>
      <c r="E473" t="s">
        <v>195</v>
      </c>
      <c r="F473" t="s">
        <v>1238</v>
      </c>
      <c r="G473" s="4">
        <v>6.2416504237752131</v>
      </c>
      <c r="H473" s="4">
        <v>3.2936313265146649E-2</v>
      </c>
      <c r="I473">
        <v>4</v>
      </c>
      <c r="J473" t="s">
        <v>1214</v>
      </c>
      <c r="K473" t="s">
        <v>550</v>
      </c>
      <c r="L473" t="s">
        <v>1237</v>
      </c>
    </row>
    <row r="474" spans="1:12">
      <c r="A474" t="s">
        <v>337</v>
      </c>
      <c r="B474" t="s">
        <v>29</v>
      </c>
      <c r="C474" t="s">
        <v>1243</v>
      </c>
      <c r="D474" t="s">
        <v>1240</v>
      </c>
      <c r="E474" t="s">
        <v>184</v>
      </c>
      <c r="F474" t="s">
        <v>43</v>
      </c>
      <c r="G474" s="4">
        <v>8.0946403933334796</v>
      </c>
      <c r="H474" s="4">
        <v>0.23975088149624255</v>
      </c>
      <c r="I474">
        <v>4</v>
      </c>
      <c r="J474" t="s">
        <v>1214</v>
      </c>
      <c r="K474" t="s">
        <v>550</v>
      </c>
      <c r="L474" t="s">
        <v>1237</v>
      </c>
    </row>
    <row r="475" spans="1:12">
      <c r="A475" t="s">
        <v>337</v>
      </c>
      <c r="B475" t="s">
        <v>29</v>
      </c>
      <c r="C475" t="s">
        <v>1243</v>
      </c>
      <c r="D475" t="s">
        <v>1240</v>
      </c>
      <c r="E475" t="s">
        <v>184</v>
      </c>
      <c r="F475" t="s">
        <v>1238</v>
      </c>
      <c r="G475" s="4">
        <v>6.1757777972449199</v>
      </c>
      <c r="H475" s="4">
        <v>0.2068145682310959</v>
      </c>
      <c r="I475">
        <v>4</v>
      </c>
      <c r="J475" t="s">
        <v>1214</v>
      </c>
      <c r="K475" t="s">
        <v>550</v>
      </c>
      <c r="L475" t="s">
        <v>1237</v>
      </c>
    </row>
    <row r="476" spans="1:12">
      <c r="A476" t="s">
        <v>337</v>
      </c>
      <c r="B476" t="s">
        <v>29</v>
      </c>
      <c r="C476" t="s">
        <v>1243</v>
      </c>
      <c r="D476" t="s">
        <v>1240</v>
      </c>
      <c r="E476" t="s">
        <v>195</v>
      </c>
      <c r="F476" t="s">
        <v>43</v>
      </c>
      <c r="G476" s="4">
        <v>8.8500375594051874</v>
      </c>
      <c r="H476" s="4">
        <v>0.37769852828453176</v>
      </c>
      <c r="I476">
        <v>4</v>
      </c>
      <c r="J476" t="s">
        <v>1214</v>
      </c>
      <c r="K476" t="s">
        <v>550</v>
      </c>
      <c r="L476" t="s">
        <v>1237</v>
      </c>
    </row>
    <row r="477" spans="1:12">
      <c r="A477" t="s">
        <v>337</v>
      </c>
      <c r="B477" t="s">
        <v>29</v>
      </c>
      <c r="C477" t="s">
        <v>1243</v>
      </c>
      <c r="D477" t="s">
        <v>1240</v>
      </c>
      <c r="E477" t="s">
        <v>195</v>
      </c>
      <c r="F477" t="s">
        <v>1238</v>
      </c>
      <c r="G477" s="4">
        <v>6.9316025711219673</v>
      </c>
      <c r="H477" s="4">
        <v>0.30861780293905239</v>
      </c>
      <c r="I477">
        <v>4</v>
      </c>
      <c r="J477" t="s">
        <v>1214</v>
      </c>
      <c r="K477" t="s">
        <v>550</v>
      </c>
      <c r="L477" t="s">
        <v>1237</v>
      </c>
    </row>
    <row r="478" spans="1:12">
      <c r="A478" t="s">
        <v>337</v>
      </c>
      <c r="B478" t="s">
        <v>29</v>
      </c>
      <c r="C478" t="s">
        <v>1243</v>
      </c>
      <c r="D478" t="s">
        <v>1241</v>
      </c>
      <c r="E478" t="s">
        <v>184</v>
      </c>
      <c r="F478" t="s">
        <v>43</v>
      </c>
      <c r="G478" s="4">
        <v>7.6869997371936698</v>
      </c>
      <c r="H478" s="4">
        <v>0.27268724951271167</v>
      </c>
      <c r="I478">
        <v>4</v>
      </c>
      <c r="J478" t="s">
        <v>1214</v>
      </c>
      <c r="K478" t="s">
        <v>550</v>
      </c>
      <c r="L478" t="s">
        <v>1237</v>
      </c>
    </row>
    <row r="479" spans="1:12">
      <c r="A479" t="s">
        <v>337</v>
      </c>
      <c r="B479" t="s">
        <v>29</v>
      </c>
      <c r="C479" t="s">
        <v>1243</v>
      </c>
      <c r="D479" t="s">
        <v>1241</v>
      </c>
      <c r="E479" t="s">
        <v>184</v>
      </c>
      <c r="F479" t="s">
        <v>1238</v>
      </c>
      <c r="G479" s="4">
        <v>6.2416504237752131</v>
      </c>
      <c r="H479" s="4">
        <v>0.17409211361993818</v>
      </c>
      <c r="I479">
        <v>4</v>
      </c>
      <c r="J479" t="s">
        <v>1214</v>
      </c>
      <c r="K479" t="s">
        <v>550</v>
      </c>
      <c r="L479" t="s">
        <v>1237</v>
      </c>
    </row>
    <row r="480" spans="1:12">
      <c r="A480" t="s">
        <v>337</v>
      </c>
      <c r="B480" t="s">
        <v>29</v>
      </c>
      <c r="C480" t="s">
        <v>1243</v>
      </c>
      <c r="D480" t="s">
        <v>1241</v>
      </c>
      <c r="E480" t="s">
        <v>195</v>
      </c>
      <c r="F480" t="s">
        <v>43</v>
      </c>
      <c r="G480" s="4">
        <v>8.0946403933334796</v>
      </c>
      <c r="H480" s="4">
        <v>0.51265198966295245</v>
      </c>
      <c r="I480">
        <v>4</v>
      </c>
      <c r="J480" t="s">
        <v>1214</v>
      </c>
      <c r="K480" t="s">
        <v>550</v>
      </c>
      <c r="L480" t="s">
        <v>1237</v>
      </c>
    </row>
    <row r="481" spans="1:12">
      <c r="A481" t="s">
        <v>337</v>
      </c>
      <c r="B481" t="s">
        <v>29</v>
      </c>
      <c r="C481" t="s">
        <v>1243</v>
      </c>
      <c r="D481" t="s">
        <v>1241</v>
      </c>
      <c r="E481" t="s">
        <v>195</v>
      </c>
      <c r="F481" t="s">
        <v>1238</v>
      </c>
      <c r="G481" s="4">
        <v>6.5834184533847298</v>
      </c>
      <c r="H481" s="4">
        <v>0.3779123869385238</v>
      </c>
      <c r="I481">
        <v>4</v>
      </c>
      <c r="J481" t="s">
        <v>1214</v>
      </c>
      <c r="K481" t="s">
        <v>550</v>
      </c>
      <c r="L481" t="s">
        <v>1237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7"/>
  <sheetViews>
    <sheetView workbookViewId="0"/>
  </sheetViews>
  <sheetFormatPr baseColWidth="10" defaultColWidth="9" defaultRowHeight="13.5"/>
  <cols>
    <col min="1" max="1" width="9.625" customWidth="1"/>
    <col min="2" max="2" width="19.625" customWidth="1"/>
    <col min="3" max="3" width="5.125" customWidth="1"/>
    <col min="4" max="4" width="7" customWidth="1"/>
    <col min="5" max="5" width="8.5" customWidth="1"/>
    <col min="6" max="6" width="5" customWidth="1"/>
    <col min="7" max="7" width="4.75" customWidth="1"/>
    <col min="8" max="8" width="1.5" customWidth="1"/>
    <col min="9" max="9" width="8.75" customWidth="1"/>
    <col min="10" max="10" width="5.875" customWidth="1"/>
    <col min="11" max="11" width="19.375" customWidth="1"/>
  </cols>
  <sheetData>
    <row r="1" spans="1:11" ht="27.75">
      <c r="A1" s="10" t="s">
        <v>1244</v>
      </c>
      <c r="B1" s="10" t="s">
        <v>62</v>
      </c>
      <c r="C1" s="10" t="s">
        <v>23</v>
      </c>
      <c r="D1" s="10" t="s">
        <v>24</v>
      </c>
      <c r="E1" s="10" t="s">
        <v>25</v>
      </c>
      <c r="F1" s="10" t="s">
        <v>1233</v>
      </c>
      <c r="G1" s="10" t="s">
        <v>1245</v>
      </c>
      <c r="H1" s="10" t="s">
        <v>1209</v>
      </c>
      <c r="I1" s="10" t="s">
        <v>1234</v>
      </c>
      <c r="J1" s="10" t="s">
        <v>74</v>
      </c>
      <c r="K1" s="10" t="s">
        <v>75</v>
      </c>
    </row>
    <row r="2" spans="1:11">
      <c r="A2" t="s">
        <v>1246</v>
      </c>
      <c r="B2" t="s">
        <v>378</v>
      </c>
      <c r="C2" t="s">
        <v>149</v>
      </c>
      <c r="D2" t="s">
        <v>40</v>
      </c>
      <c r="E2" t="s">
        <v>1247</v>
      </c>
      <c r="F2">
        <v>16.59</v>
      </c>
      <c r="G2">
        <v>0.95</v>
      </c>
      <c r="H2">
        <v>3</v>
      </c>
      <c r="I2" t="s">
        <v>1245</v>
      </c>
      <c r="J2" t="s">
        <v>379</v>
      </c>
      <c r="K2" t="s">
        <v>380</v>
      </c>
    </row>
    <row r="3" spans="1:11">
      <c r="A3" t="s">
        <v>1246</v>
      </c>
      <c r="B3" t="s">
        <v>378</v>
      </c>
      <c r="C3" t="s">
        <v>149</v>
      </c>
      <c r="D3" t="s">
        <v>40</v>
      </c>
      <c r="E3" t="s">
        <v>1248</v>
      </c>
      <c r="F3">
        <v>17.03</v>
      </c>
      <c r="G3">
        <v>1.06</v>
      </c>
      <c r="H3">
        <v>3</v>
      </c>
      <c r="I3" t="s">
        <v>1245</v>
      </c>
      <c r="J3" t="s">
        <v>379</v>
      </c>
      <c r="K3" t="s">
        <v>380</v>
      </c>
    </row>
    <row r="4" spans="1:11">
      <c r="A4" t="s">
        <v>1246</v>
      </c>
      <c r="B4" t="s">
        <v>378</v>
      </c>
      <c r="C4" t="s">
        <v>149</v>
      </c>
      <c r="D4" t="s">
        <v>40</v>
      </c>
      <c r="E4" t="s">
        <v>1249</v>
      </c>
      <c r="F4">
        <v>17.170000000000002</v>
      </c>
      <c r="G4">
        <v>0.99</v>
      </c>
      <c r="H4">
        <v>3</v>
      </c>
      <c r="I4" t="s">
        <v>1245</v>
      </c>
      <c r="J4" t="s">
        <v>379</v>
      </c>
      <c r="K4" t="s">
        <v>380</v>
      </c>
    </row>
    <row r="5" spans="1:11">
      <c r="A5" t="s">
        <v>1246</v>
      </c>
      <c r="B5" t="s">
        <v>378</v>
      </c>
      <c r="C5" t="s">
        <v>149</v>
      </c>
      <c r="D5" t="s">
        <v>30</v>
      </c>
      <c r="E5" t="s">
        <v>1247</v>
      </c>
      <c r="F5">
        <v>8.0399999999999991</v>
      </c>
      <c r="G5">
        <v>0.9</v>
      </c>
      <c r="H5">
        <v>3</v>
      </c>
      <c r="I5" t="s">
        <v>1245</v>
      </c>
      <c r="J5" t="s">
        <v>379</v>
      </c>
      <c r="K5" t="s">
        <v>380</v>
      </c>
    </row>
    <row r="6" spans="1:11">
      <c r="A6" t="s">
        <v>1246</v>
      </c>
      <c r="B6" t="s">
        <v>378</v>
      </c>
      <c r="C6" t="s">
        <v>149</v>
      </c>
      <c r="D6" t="s">
        <v>30</v>
      </c>
      <c r="E6" t="s">
        <v>1248</v>
      </c>
      <c r="F6">
        <v>8.9600000000000009</v>
      </c>
      <c r="G6">
        <v>1.04</v>
      </c>
      <c r="H6">
        <v>3</v>
      </c>
      <c r="I6" t="s">
        <v>1245</v>
      </c>
      <c r="J6" t="s">
        <v>379</v>
      </c>
      <c r="K6" t="s">
        <v>380</v>
      </c>
    </row>
    <row r="7" spans="1:11">
      <c r="A7" t="s">
        <v>1246</v>
      </c>
      <c r="B7" t="s">
        <v>378</v>
      </c>
      <c r="C7" t="s">
        <v>149</v>
      </c>
      <c r="D7" t="s">
        <v>30</v>
      </c>
      <c r="E7" t="s">
        <v>1249</v>
      </c>
      <c r="F7">
        <v>10.36</v>
      </c>
      <c r="G7">
        <v>0.93</v>
      </c>
      <c r="H7">
        <v>3</v>
      </c>
      <c r="I7" t="s">
        <v>1245</v>
      </c>
      <c r="J7" t="s">
        <v>379</v>
      </c>
      <c r="K7" t="s">
        <v>380</v>
      </c>
    </row>
    <row r="8" spans="1:11">
      <c r="A8" t="s">
        <v>1246</v>
      </c>
      <c r="B8" t="s">
        <v>378</v>
      </c>
      <c r="C8" t="s">
        <v>149</v>
      </c>
      <c r="D8" t="s">
        <v>337</v>
      </c>
      <c r="E8" t="s">
        <v>1247</v>
      </c>
      <c r="F8">
        <v>5.04</v>
      </c>
      <c r="G8">
        <v>0.14000000000000001</v>
      </c>
      <c r="H8">
        <v>3</v>
      </c>
      <c r="I8" t="s">
        <v>1245</v>
      </c>
      <c r="J8" t="s">
        <v>379</v>
      </c>
      <c r="K8" t="s">
        <v>380</v>
      </c>
    </row>
    <row r="9" spans="1:11">
      <c r="A9" t="s">
        <v>1246</v>
      </c>
      <c r="B9" t="s">
        <v>378</v>
      </c>
      <c r="C9" t="s">
        <v>149</v>
      </c>
      <c r="D9" t="s">
        <v>337</v>
      </c>
      <c r="E9" t="s">
        <v>1248</v>
      </c>
      <c r="F9">
        <v>5.51</v>
      </c>
      <c r="G9">
        <v>0.161</v>
      </c>
      <c r="H9">
        <v>3</v>
      </c>
      <c r="I9" t="s">
        <v>1245</v>
      </c>
      <c r="J9" t="s">
        <v>379</v>
      </c>
      <c r="K9" t="s">
        <v>380</v>
      </c>
    </row>
    <row r="10" spans="1:11">
      <c r="A10" t="s">
        <v>1246</v>
      </c>
      <c r="B10" t="s">
        <v>378</v>
      </c>
      <c r="C10" t="s">
        <v>149</v>
      </c>
      <c r="D10" t="s">
        <v>337</v>
      </c>
      <c r="E10" t="s">
        <v>1249</v>
      </c>
      <c r="F10">
        <v>5.74</v>
      </c>
      <c r="G10">
        <v>0.73</v>
      </c>
      <c r="H10">
        <v>3</v>
      </c>
      <c r="I10" t="s">
        <v>1245</v>
      </c>
      <c r="J10" t="s">
        <v>379</v>
      </c>
      <c r="K10" t="s">
        <v>380</v>
      </c>
    </row>
    <row r="11" spans="1:11">
      <c r="A11" t="s">
        <v>1246</v>
      </c>
      <c r="B11" t="s">
        <v>378</v>
      </c>
      <c r="C11" t="s">
        <v>29</v>
      </c>
      <c r="D11" t="s">
        <v>40</v>
      </c>
      <c r="E11" t="s">
        <v>1247</v>
      </c>
      <c r="F11">
        <v>18.190000000000001</v>
      </c>
      <c r="G11">
        <v>0.11</v>
      </c>
      <c r="H11">
        <v>3</v>
      </c>
      <c r="I11" t="s">
        <v>1245</v>
      </c>
      <c r="J11" t="s">
        <v>379</v>
      </c>
      <c r="K11" t="s">
        <v>380</v>
      </c>
    </row>
    <row r="12" spans="1:11">
      <c r="A12" t="s">
        <v>1246</v>
      </c>
      <c r="B12" t="s">
        <v>378</v>
      </c>
      <c r="C12" t="s">
        <v>29</v>
      </c>
      <c r="D12" t="s">
        <v>40</v>
      </c>
      <c r="E12" t="s">
        <v>1248</v>
      </c>
      <c r="F12">
        <v>18.27</v>
      </c>
      <c r="G12">
        <v>0.18</v>
      </c>
      <c r="H12">
        <v>3</v>
      </c>
      <c r="I12" t="s">
        <v>1245</v>
      </c>
      <c r="J12" t="s">
        <v>379</v>
      </c>
      <c r="K12" t="s">
        <v>380</v>
      </c>
    </row>
    <row r="13" spans="1:11">
      <c r="A13" t="s">
        <v>1246</v>
      </c>
      <c r="B13" t="s">
        <v>378</v>
      </c>
      <c r="C13" t="s">
        <v>29</v>
      </c>
      <c r="D13" t="s">
        <v>40</v>
      </c>
      <c r="E13" t="s">
        <v>1249</v>
      </c>
      <c r="F13">
        <v>18.34</v>
      </c>
      <c r="G13">
        <v>0.15</v>
      </c>
      <c r="H13">
        <v>3</v>
      </c>
      <c r="I13" t="s">
        <v>1245</v>
      </c>
      <c r="J13" t="s">
        <v>379</v>
      </c>
      <c r="K13" t="s">
        <v>380</v>
      </c>
    </row>
    <row r="14" spans="1:11">
      <c r="A14" t="s">
        <v>1246</v>
      </c>
      <c r="B14" t="s">
        <v>378</v>
      </c>
      <c r="C14" t="s">
        <v>29</v>
      </c>
      <c r="D14" t="s">
        <v>30</v>
      </c>
      <c r="E14" t="s">
        <v>1247</v>
      </c>
      <c r="F14">
        <v>6.82</v>
      </c>
      <c r="G14">
        <v>0.8</v>
      </c>
      <c r="H14">
        <v>3</v>
      </c>
      <c r="I14" t="s">
        <v>1245</v>
      </c>
      <c r="J14" t="s">
        <v>379</v>
      </c>
      <c r="K14" t="s">
        <v>380</v>
      </c>
    </row>
    <row r="15" spans="1:11">
      <c r="A15" t="s">
        <v>1246</v>
      </c>
      <c r="B15" t="s">
        <v>378</v>
      </c>
      <c r="C15" t="s">
        <v>29</v>
      </c>
      <c r="D15" t="s">
        <v>30</v>
      </c>
      <c r="E15" t="s">
        <v>1248</v>
      </c>
      <c r="F15">
        <v>7.47</v>
      </c>
      <c r="G15">
        <v>0.21</v>
      </c>
      <c r="H15">
        <v>3</v>
      </c>
      <c r="I15" t="s">
        <v>1245</v>
      </c>
      <c r="J15" t="s">
        <v>379</v>
      </c>
      <c r="K15" t="s">
        <v>380</v>
      </c>
    </row>
    <row r="16" spans="1:11">
      <c r="A16" t="s">
        <v>1246</v>
      </c>
      <c r="B16" t="s">
        <v>378</v>
      </c>
      <c r="C16" t="s">
        <v>29</v>
      </c>
      <c r="D16" t="s">
        <v>30</v>
      </c>
      <c r="E16" t="s">
        <v>1249</v>
      </c>
      <c r="F16">
        <v>8.65</v>
      </c>
      <c r="G16">
        <v>0.8</v>
      </c>
      <c r="H16">
        <v>3</v>
      </c>
      <c r="I16" t="s">
        <v>1245</v>
      </c>
      <c r="J16" t="s">
        <v>379</v>
      </c>
      <c r="K16" t="s">
        <v>380</v>
      </c>
    </row>
    <row r="17" spans="1:11">
      <c r="A17" t="s">
        <v>1246</v>
      </c>
      <c r="B17" t="s">
        <v>378</v>
      </c>
      <c r="C17" t="s">
        <v>29</v>
      </c>
      <c r="D17" t="s">
        <v>337</v>
      </c>
      <c r="E17" t="s">
        <v>1247</v>
      </c>
      <c r="F17">
        <v>3.32</v>
      </c>
      <c r="G17">
        <v>0.09</v>
      </c>
      <c r="H17">
        <v>3</v>
      </c>
      <c r="I17" t="s">
        <v>1245</v>
      </c>
      <c r="J17" t="s">
        <v>379</v>
      </c>
      <c r="K17" t="s">
        <v>380</v>
      </c>
    </row>
    <row r="18" spans="1:11">
      <c r="A18" t="s">
        <v>1246</v>
      </c>
      <c r="B18" t="s">
        <v>378</v>
      </c>
      <c r="C18" t="s">
        <v>29</v>
      </c>
      <c r="D18" t="s">
        <v>337</v>
      </c>
      <c r="E18" t="s">
        <v>1248</v>
      </c>
      <c r="F18">
        <v>3.46</v>
      </c>
      <c r="G18">
        <v>0.09</v>
      </c>
      <c r="H18">
        <v>3</v>
      </c>
      <c r="I18" t="s">
        <v>1245</v>
      </c>
      <c r="J18" t="s">
        <v>379</v>
      </c>
      <c r="K18" t="s">
        <v>380</v>
      </c>
    </row>
    <row r="19" spans="1:11">
      <c r="A19" t="s">
        <v>1246</v>
      </c>
      <c r="B19" t="s">
        <v>378</v>
      </c>
      <c r="C19" t="s">
        <v>29</v>
      </c>
      <c r="D19" t="s">
        <v>337</v>
      </c>
      <c r="E19" t="s">
        <v>1249</v>
      </c>
      <c r="F19">
        <v>3.85</v>
      </c>
      <c r="G19">
        <v>1.01</v>
      </c>
      <c r="H19">
        <v>3</v>
      </c>
      <c r="I19" t="s">
        <v>1245</v>
      </c>
      <c r="J19" t="s">
        <v>379</v>
      </c>
      <c r="K19" t="s">
        <v>380</v>
      </c>
    </row>
    <row r="20" spans="1:11">
      <c r="A20" t="s">
        <v>1250</v>
      </c>
      <c r="B20" t="s">
        <v>400</v>
      </c>
      <c r="C20" t="s">
        <v>149</v>
      </c>
      <c r="D20" t="s">
        <v>40</v>
      </c>
      <c r="E20" t="s">
        <v>1247</v>
      </c>
      <c r="F20">
        <v>13.28</v>
      </c>
      <c r="G20">
        <v>1.08</v>
      </c>
      <c r="H20">
        <v>3</v>
      </c>
      <c r="I20" t="s">
        <v>1245</v>
      </c>
      <c r="J20" t="s">
        <v>379</v>
      </c>
      <c r="K20" t="s">
        <v>380</v>
      </c>
    </row>
    <row r="21" spans="1:11">
      <c r="A21" t="s">
        <v>1250</v>
      </c>
      <c r="B21" t="s">
        <v>400</v>
      </c>
      <c r="C21" t="s">
        <v>149</v>
      </c>
      <c r="D21" t="s">
        <v>40</v>
      </c>
      <c r="E21" t="s">
        <v>1248</v>
      </c>
      <c r="F21">
        <v>14.65</v>
      </c>
      <c r="G21">
        <v>0.93</v>
      </c>
      <c r="H21">
        <v>3</v>
      </c>
      <c r="I21" t="s">
        <v>1245</v>
      </c>
      <c r="J21" t="s">
        <v>379</v>
      </c>
      <c r="K21" t="s">
        <v>380</v>
      </c>
    </row>
    <row r="22" spans="1:11">
      <c r="A22" t="s">
        <v>1250</v>
      </c>
      <c r="B22" t="s">
        <v>400</v>
      </c>
      <c r="C22" t="s">
        <v>149</v>
      </c>
      <c r="D22" t="s">
        <v>40</v>
      </c>
      <c r="E22" t="s">
        <v>1249</v>
      </c>
      <c r="F22">
        <v>15.96</v>
      </c>
      <c r="G22">
        <v>1.04</v>
      </c>
      <c r="H22">
        <v>3</v>
      </c>
      <c r="I22" t="s">
        <v>1245</v>
      </c>
      <c r="J22" t="s">
        <v>379</v>
      </c>
      <c r="K22" t="s">
        <v>380</v>
      </c>
    </row>
    <row r="23" spans="1:11">
      <c r="A23" t="s">
        <v>1250</v>
      </c>
      <c r="B23" t="s">
        <v>400</v>
      </c>
      <c r="C23" t="s">
        <v>149</v>
      </c>
      <c r="D23" t="s">
        <v>30</v>
      </c>
      <c r="E23" t="s">
        <v>1247</v>
      </c>
      <c r="F23">
        <v>6.84</v>
      </c>
      <c r="G23">
        <v>1.07</v>
      </c>
      <c r="H23">
        <v>3</v>
      </c>
      <c r="I23" t="s">
        <v>1245</v>
      </c>
      <c r="J23" t="s">
        <v>379</v>
      </c>
      <c r="K23" t="s">
        <v>380</v>
      </c>
    </row>
    <row r="24" spans="1:11">
      <c r="A24" t="s">
        <v>1250</v>
      </c>
      <c r="B24" t="s">
        <v>400</v>
      </c>
      <c r="C24" t="s">
        <v>149</v>
      </c>
      <c r="D24" t="s">
        <v>30</v>
      </c>
      <c r="E24" t="s">
        <v>1248</v>
      </c>
      <c r="F24">
        <v>7.97</v>
      </c>
      <c r="G24">
        <v>0.24</v>
      </c>
      <c r="H24">
        <v>3</v>
      </c>
      <c r="I24" t="s">
        <v>1245</v>
      </c>
      <c r="J24" t="s">
        <v>379</v>
      </c>
      <c r="K24" t="s">
        <v>380</v>
      </c>
    </row>
    <row r="25" spans="1:11">
      <c r="A25" t="s">
        <v>1250</v>
      </c>
      <c r="B25" t="s">
        <v>400</v>
      </c>
      <c r="C25" t="s">
        <v>149</v>
      </c>
      <c r="D25" t="s">
        <v>30</v>
      </c>
      <c r="E25" t="s">
        <v>1249</v>
      </c>
      <c r="F25">
        <v>9.64</v>
      </c>
      <c r="G25">
        <v>1.03</v>
      </c>
      <c r="H25">
        <v>3</v>
      </c>
      <c r="I25" t="s">
        <v>1245</v>
      </c>
      <c r="J25" t="s">
        <v>379</v>
      </c>
      <c r="K25" t="s">
        <v>380</v>
      </c>
    </row>
    <row r="26" spans="1:11">
      <c r="A26" t="s">
        <v>1250</v>
      </c>
      <c r="B26" t="s">
        <v>400</v>
      </c>
      <c r="C26" t="s">
        <v>149</v>
      </c>
      <c r="D26" t="s">
        <v>337</v>
      </c>
      <c r="E26" t="s">
        <v>1247</v>
      </c>
      <c r="F26">
        <v>2.4500000000000002</v>
      </c>
      <c r="G26">
        <v>0.14000000000000001</v>
      </c>
      <c r="H26">
        <v>3</v>
      </c>
      <c r="I26" t="s">
        <v>1245</v>
      </c>
      <c r="J26" t="s">
        <v>379</v>
      </c>
      <c r="K26" t="s">
        <v>380</v>
      </c>
    </row>
    <row r="27" spans="1:11">
      <c r="A27" t="s">
        <v>1250</v>
      </c>
      <c r="B27" t="s">
        <v>400</v>
      </c>
      <c r="C27" t="s">
        <v>149</v>
      </c>
      <c r="D27" t="s">
        <v>337</v>
      </c>
      <c r="E27" t="s">
        <v>1248</v>
      </c>
      <c r="F27">
        <v>3.17</v>
      </c>
      <c r="G27">
        <v>1.1499999999999999</v>
      </c>
      <c r="H27">
        <v>3</v>
      </c>
      <c r="I27" t="s">
        <v>1245</v>
      </c>
      <c r="J27" t="s">
        <v>379</v>
      </c>
      <c r="K27" t="s">
        <v>380</v>
      </c>
    </row>
    <row r="28" spans="1:11">
      <c r="A28" t="s">
        <v>1250</v>
      </c>
      <c r="B28" t="s">
        <v>400</v>
      </c>
      <c r="C28" t="s">
        <v>149</v>
      </c>
      <c r="D28" t="s">
        <v>337</v>
      </c>
      <c r="E28" t="s">
        <v>1249</v>
      </c>
      <c r="F28">
        <v>3.95</v>
      </c>
      <c r="G28">
        <v>2.1800000000000002</v>
      </c>
      <c r="H28">
        <v>3</v>
      </c>
      <c r="I28" t="s">
        <v>1245</v>
      </c>
      <c r="J28" t="s">
        <v>379</v>
      </c>
      <c r="K28" t="s">
        <v>380</v>
      </c>
    </row>
    <row r="29" spans="1:11">
      <c r="A29" t="s">
        <v>1250</v>
      </c>
      <c r="B29" t="s">
        <v>400</v>
      </c>
      <c r="C29" t="s">
        <v>29</v>
      </c>
      <c r="D29" t="s">
        <v>40</v>
      </c>
      <c r="E29" t="s">
        <v>1247</v>
      </c>
      <c r="F29">
        <v>15.15</v>
      </c>
      <c r="G29">
        <v>0.26</v>
      </c>
      <c r="H29">
        <v>3</v>
      </c>
      <c r="I29" t="s">
        <v>1245</v>
      </c>
      <c r="J29" t="s">
        <v>379</v>
      </c>
      <c r="K29" t="s">
        <v>380</v>
      </c>
    </row>
    <row r="30" spans="1:11">
      <c r="A30" t="s">
        <v>1250</v>
      </c>
      <c r="B30" t="s">
        <v>400</v>
      </c>
      <c r="C30" t="s">
        <v>29</v>
      </c>
      <c r="D30" t="s">
        <v>40</v>
      </c>
      <c r="E30" t="s">
        <v>1248</v>
      </c>
      <c r="F30">
        <v>16.309999999999999</v>
      </c>
      <c r="G30">
        <v>0.1</v>
      </c>
      <c r="H30">
        <v>3</v>
      </c>
      <c r="I30" t="s">
        <v>1245</v>
      </c>
      <c r="J30" t="s">
        <v>379</v>
      </c>
      <c r="K30" t="s">
        <v>380</v>
      </c>
    </row>
    <row r="31" spans="1:11">
      <c r="A31" t="s">
        <v>1250</v>
      </c>
      <c r="B31" t="s">
        <v>400</v>
      </c>
      <c r="C31" t="s">
        <v>29</v>
      </c>
      <c r="D31" t="s">
        <v>40</v>
      </c>
      <c r="E31" t="s">
        <v>1249</v>
      </c>
      <c r="F31">
        <v>18.100000000000001</v>
      </c>
      <c r="G31">
        <v>0.72</v>
      </c>
      <c r="H31">
        <v>3</v>
      </c>
      <c r="I31" t="s">
        <v>1245</v>
      </c>
      <c r="J31" t="s">
        <v>379</v>
      </c>
      <c r="K31" t="s">
        <v>380</v>
      </c>
    </row>
    <row r="32" spans="1:11">
      <c r="A32" t="s">
        <v>1250</v>
      </c>
      <c r="B32" t="s">
        <v>400</v>
      </c>
      <c r="C32" t="s">
        <v>29</v>
      </c>
      <c r="D32" t="s">
        <v>30</v>
      </c>
      <c r="E32" t="s">
        <v>1247</v>
      </c>
      <c r="F32">
        <v>5.36</v>
      </c>
      <c r="G32">
        <v>0.65</v>
      </c>
      <c r="H32">
        <v>3</v>
      </c>
      <c r="I32" t="s">
        <v>1245</v>
      </c>
      <c r="J32" t="s">
        <v>379</v>
      </c>
      <c r="K32" t="s">
        <v>380</v>
      </c>
    </row>
    <row r="33" spans="1:11">
      <c r="A33" t="s">
        <v>1250</v>
      </c>
      <c r="B33" t="s">
        <v>400</v>
      </c>
      <c r="C33" t="s">
        <v>29</v>
      </c>
      <c r="D33" t="s">
        <v>30</v>
      </c>
      <c r="E33" t="s">
        <v>1248</v>
      </c>
      <c r="F33">
        <v>6.78</v>
      </c>
      <c r="G33">
        <v>0.106</v>
      </c>
      <c r="H33">
        <v>3</v>
      </c>
      <c r="I33" t="s">
        <v>1245</v>
      </c>
      <c r="J33" t="s">
        <v>379</v>
      </c>
      <c r="K33" t="s">
        <v>380</v>
      </c>
    </row>
    <row r="34" spans="1:11">
      <c r="A34" t="s">
        <v>1250</v>
      </c>
      <c r="B34" t="s">
        <v>400</v>
      </c>
      <c r="C34" t="s">
        <v>29</v>
      </c>
      <c r="D34" t="s">
        <v>30</v>
      </c>
      <c r="E34" t="s">
        <v>1249</v>
      </c>
      <c r="F34">
        <v>8.43</v>
      </c>
      <c r="G34">
        <v>0.85</v>
      </c>
      <c r="H34">
        <v>3</v>
      </c>
      <c r="I34" t="s">
        <v>1245</v>
      </c>
      <c r="J34" t="s">
        <v>379</v>
      </c>
      <c r="K34" t="s">
        <v>380</v>
      </c>
    </row>
    <row r="35" spans="1:11">
      <c r="A35" t="s">
        <v>1250</v>
      </c>
      <c r="B35" t="s">
        <v>400</v>
      </c>
      <c r="C35" t="s">
        <v>29</v>
      </c>
      <c r="D35" t="s">
        <v>337</v>
      </c>
      <c r="E35" t="s">
        <v>1247</v>
      </c>
      <c r="F35">
        <v>2.0699999999999998</v>
      </c>
      <c r="G35">
        <v>0.11</v>
      </c>
      <c r="H35">
        <v>3</v>
      </c>
      <c r="I35" t="s">
        <v>1245</v>
      </c>
      <c r="J35" t="s">
        <v>379</v>
      </c>
      <c r="K35" t="s">
        <v>380</v>
      </c>
    </row>
    <row r="36" spans="1:11">
      <c r="A36" t="s">
        <v>1250</v>
      </c>
      <c r="B36" t="s">
        <v>400</v>
      </c>
      <c r="C36" t="s">
        <v>29</v>
      </c>
      <c r="D36" t="s">
        <v>337</v>
      </c>
      <c r="E36" t="s">
        <v>1248</v>
      </c>
      <c r="F36">
        <v>2.52</v>
      </c>
      <c r="G36">
        <v>7.0000000000000007E-2</v>
      </c>
      <c r="H36">
        <v>3</v>
      </c>
      <c r="I36" t="s">
        <v>1245</v>
      </c>
      <c r="J36" t="s">
        <v>379</v>
      </c>
      <c r="K36" t="s">
        <v>380</v>
      </c>
    </row>
    <row r="37" spans="1:11">
      <c r="A37" t="s">
        <v>1250</v>
      </c>
      <c r="B37" t="s">
        <v>400</v>
      </c>
      <c r="C37" t="s">
        <v>29</v>
      </c>
      <c r="D37" t="s">
        <v>337</v>
      </c>
      <c r="E37" t="s">
        <v>1249</v>
      </c>
      <c r="F37">
        <v>3.11</v>
      </c>
      <c r="G37">
        <v>0.81</v>
      </c>
      <c r="H37">
        <v>3</v>
      </c>
      <c r="I37" t="s">
        <v>1245</v>
      </c>
      <c r="J37" t="s">
        <v>379</v>
      </c>
      <c r="K37" t="s">
        <v>380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9"/>
  <sheetViews>
    <sheetView workbookViewId="0"/>
  </sheetViews>
  <sheetFormatPr baseColWidth="10" defaultColWidth="9" defaultRowHeight="13.5"/>
  <cols>
    <col min="1" max="1" width="7.5" customWidth="1"/>
    <col min="2" max="2" width="11.875" customWidth="1"/>
    <col min="3" max="3" width="7" customWidth="1"/>
    <col min="4" max="4" width="5" customWidth="1"/>
    <col min="5" max="5" width="2.875" customWidth="1"/>
    <col min="6" max="6" width="1.5" customWidth="1"/>
    <col min="7" max="7" width="8.75" customWidth="1"/>
    <col min="8" max="8" width="5.125" customWidth="1"/>
    <col min="9" max="9" width="3.875" customWidth="1"/>
    <col min="10" max="10" width="5.875" customWidth="1"/>
    <col min="11" max="11" width="19.375" customWidth="1"/>
  </cols>
  <sheetData>
    <row r="1" spans="1:11" ht="27.75">
      <c r="A1" s="11" t="s">
        <v>1251</v>
      </c>
      <c r="B1" s="11" t="s">
        <v>1252</v>
      </c>
      <c r="C1" s="11" t="s">
        <v>24</v>
      </c>
      <c r="D1" s="11" t="s">
        <v>1233</v>
      </c>
      <c r="E1" s="11" t="s">
        <v>1245</v>
      </c>
      <c r="F1" s="11" t="s">
        <v>1209</v>
      </c>
      <c r="G1" s="11" t="s">
        <v>1234</v>
      </c>
      <c r="H1" s="11" t="s">
        <v>23</v>
      </c>
      <c r="I1" s="11" t="s">
        <v>63</v>
      </c>
      <c r="J1" s="11" t="s">
        <v>74</v>
      </c>
      <c r="K1" s="11" t="s">
        <v>75</v>
      </c>
    </row>
    <row r="2" spans="1:11">
      <c r="A2">
        <v>2</v>
      </c>
      <c r="B2">
        <v>0</v>
      </c>
      <c r="C2" t="s">
        <v>42</v>
      </c>
      <c r="D2">
        <v>1.6</v>
      </c>
      <c r="E2">
        <v>0.1</v>
      </c>
      <c r="F2">
        <v>4</v>
      </c>
      <c r="G2" t="s">
        <v>1245</v>
      </c>
      <c r="H2" t="s">
        <v>149</v>
      </c>
      <c r="I2" t="s">
        <v>423</v>
      </c>
      <c r="J2" t="s">
        <v>424</v>
      </c>
      <c r="K2" t="s">
        <v>380</v>
      </c>
    </row>
    <row r="3" spans="1:11">
      <c r="A3">
        <v>2</v>
      </c>
      <c r="B3">
        <v>0</v>
      </c>
      <c r="C3" t="s">
        <v>53</v>
      </c>
      <c r="D3">
        <v>0.3</v>
      </c>
      <c r="E3">
        <v>0.1</v>
      </c>
      <c r="F3">
        <v>4</v>
      </c>
      <c r="G3" t="s">
        <v>1245</v>
      </c>
      <c r="H3" t="s">
        <v>149</v>
      </c>
      <c r="I3" t="s">
        <v>423</v>
      </c>
      <c r="J3" t="s">
        <v>424</v>
      </c>
      <c r="K3" t="s">
        <v>380</v>
      </c>
    </row>
    <row r="4" spans="1:11">
      <c r="A4">
        <v>2</v>
      </c>
      <c r="B4">
        <v>0</v>
      </c>
      <c r="C4" t="s">
        <v>40</v>
      </c>
      <c r="D4">
        <v>0.4</v>
      </c>
      <c r="E4">
        <v>0.1</v>
      </c>
      <c r="F4">
        <v>4</v>
      </c>
      <c r="G4" t="s">
        <v>1245</v>
      </c>
      <c r="H4" t="s">
        <v>149</v>
      </c>
      <c r="I4" t="s">
        <v>423</v>
      </c>
      <c r="J4" t="s">
        <v>424</v>
      </c>
      <c r="K4" t="s">
        <v>380</v>
      </c>
    </row>
    <row r="5" spans="1:11">
      <c r="A5">
        <v>2</v>
      </c>
      <c r="B5">
        <v>150</v>
      </c>
      <c r="C5" t="s">
        <v>42</v>
      </c>
      <c r="D5">
        <v>1.9</v>
      </c>
      <c r="E5">
        <v>0.1</v>
      </c>
      <c r="F5">
        <v>4</v>
      </c>
      <c r="G5" t="s">
        <v>1245</v>
      </c>
      <c r="H5" t="s">
        <v>149</v>
      </c>
      <c r="I5" t="s">
        <v>423</v>
      </c>
      <c r="J5" t="s">
        <v>424</v>
      </c>
      <c r="K5" t="s">
        <v>380</v>
      </c>
    </row>
    <row r="6" spans="1:11">
      <c r="A6">
        <v>2</v>
      </c>
      <c r="B6">
        <v>150</v>
      </c>
      <c r="C6" t="s">
        <v>53</v>
      </c>
      <c r="D6">
        <v>0.5</v>
      </c>
      <c r="E6">
        <v>0.1</v>
      </c>
      <c r="F6">
        <v>4</v>
      </c>
      <c r="G6" t="s">
        <v>1245</v>
      </c>
      <c r="H6" t="s">
        <v>149</v>
      </c>
      <c r="I6" t="s">
        <v>423</v>
      </c>
      <c r="J6" t="s">
        <v>424</v>
      </c>
      <c r="K6" t="s">
        <v>380</v>
      </c>
    </row>
    <row r="7" spans="1:11">
      <c r="A7">
        <v>2</v>
      </c>
      <c r="B7">
        <v>150</v>
      </c>
      <c r="C7" t="s">
        <v>40</v>
      </c>
      <c r="D7">
        <v>0.6</v>
      </c>
      <c r="E7">
        <v>0.1</v>
      </c>
      <c r="F7">
        <v>4</v>
      </c>
      <c r="G7" t="s">
        <v>1245</v>
      </c>
      <c r="H7" t="s">
        <v>149</v>
      </c>
      <c r="I7" t="s">
        <v>423</v>
      </c>
      <c r="J7" t="s">
        <v>424</v>
      </c>
      <c r="K7" t="s">
        <v>380</v>
      </c>
    </row>
    <row r="8" spans="1:11">
      <c r="A8">
        <v>2</v>
      </c>
      <c r="B8">
        <v>300</v>
      </c>
      <c r="C8" t="s">
        <v>42</v>
      </c>
      <c r="D8">
        <v>1.7</v>
      </c>
      <c r="E8">
        <v>0.2</v>
      </c>
      <c r="F8">
        <v>4</v>
      </c>
      <c r="G8" t="s">
        <v>1245</v>
      </c>
      <c r="H8" t="s">
        <v>149</v>
      </c>
      <c r="I8" t="s">
        <v>423</v>
      </c>
      <c r="J8" t="s">
        <v>424</v>
      </c>
      <c r="K8" t="s">
        <v>380</v>
      </c>
    </row>
    <row r="9" spans="1:11">
      <c r="A9">
        <v>2</v>
      </c>
      <c r="B9">
        <v>300</v>
      </c>
      <c r="C9" t="s">
        <v>53</v>
      </c>
      <c r="D9">
        <v>0.4</v>
      </c>
      <c r="E9">
        <v>0.1</v>
      </c>
      <c r="F9">
        <v>4</v>
      </c>
      <c r="G9" t="s">
        <v>1245</v>
      </c>
      <c r="H9" t="s">
        <v>149</v>
      </c>
      <c r="I9" t="s">
        <v>423</v>
      </c>
      <c r="J9" t="s">
        <v>424</v>
      </c>
      <c r="K9" t="s">
        <v>380</v>
      </c>
    </row>
    <row r="10" spans="1:11">
      <c r="A10">
        <v>2</v>
      </c>
      <c r="B10">
        <v>300</v>
      </c>
      <c r="C10" t="s">
        <v>40</v>
      </c>
      <c r="D10">
        <v>0.5</v>
      </c>
      <c r="E10">
        <v>0.1</v>
      </c>
      <c r="F10">
        <v>4</v>
      </c>
      <c r="G10" t="s">
        <v>1245</v>
      </c>
      <c r="H10" t="s">
        <v>149</v>
      </c>
      <c r="I10" t="s">
        <v>423</v>
      </c>
      <c r="J10" t="s">
        <v>424</v>
      </c>
      <c r="K10" t="s">
        <v>380</v>
      </c>
    </row>
    <row r="11" spans="1:11">
      <c r="A11">
        <v>4</v>
      </c>
      <c r="B11">
        <v>0</v>
      </c>
      <c r="C11" t="s">
        <v>42</v>
      </c>
      <c r="D11">
        <v>1.3</v>
      </c>
      <c r="E11">
        <v>0.1</v>
      </c>
      <c r="F11">
        <v>4</v>
      </c>
      <c r="G11" t="s">
        <v>1245</v>
      </c>
      <c r="H11" t="s">
        <v>149</v>
      </c>
      <c r="I11" t="s">
        <v>423</v>
      </c>
      <c r="J11" t="s">
        <v>424</v>
      </c>
      <c r="K11" t="s">
        <v>380</v>
      </c>
    </row>
    <row r="12" spans="1:11">
      <c r="A12">
        <v>4</v>
      </c>
      <c r="B12">
        <v>0</v>
      </c>
      <c r="C12" t="s">
        <v>53</v>
      </c>
      <c r="D12">
        <v>0.2</v>
      </c>
      <c r="E12">
        <v>0.1</v>
      </c>
      <c r="F12">
        <v>4</v>
      </c>
      <c r="G12" t="s">
        <v>1245</v>
      </c>
      <c r="H12" t="s">
        <v>149</v>
      </c>
      <c r="I12" t="s">
        <v>423</v>
      </c>
      <c r="J12" t="s">
        <v>424</v>
      </c>
      <c r="K12" t="s">
        <v>380</v>
      </c>
    </row>
    <row r="13" spans="1:11">
      <c r="A13">
        <v>4</v>
      </c>
      <c r="B13">
        <v>0</v>
      </c>
      <c r="C13" t="s">
        <v>40</v>
      </c>
      <c r="D13">
        <v>0.3</v>
      </c>
      <c r="E13">
        <v>0.1</v>
      </c>
      <c r="F13">
        <v>4</v>
      </c>
      <c r="G13" t="s">
        <v>1245</v>
      </c>
      <c r="H13" t="s">
        <v>149</v>
      </c>
      <c r="I13" t="s">
        <v>423</v>
      </c>
      <c r="J13" t="s">
        <v>424</v>
      </c>
      <c r="K13" t="s">
        <v>380</v>
      </c>
    </row>
    <row r="14" spans="1:11">
      <c r="A14">
        <v>4</v>
      </c>
      <c r="B14">
        <v>150</v>
      </c>
      <c r="C14" t="s">
        <v>42</v>
      </c>
      <c r="D14">
        <v>1.7</v>
      </c>
      <c r="E14">
        <v>0.2</v>
      </c>
      <c r="F14">
        <v>4</v>
      </c>
      <c r="G14" t="s">
        <v>1245</v>
      </c>
      <c r="H14" t="s">
        <v>149</v>
      </c>
      <c r="I14" t="s">
        <v>423</v>
      </c>
      <c r="J14" t="s">
        <v>424</v>
      </c>
      <c r="K14" t="s">
        <v>380</v>
      </c>
    </row>
    <row r="15" spans="1:11">
      <c r="A15">
        <v>4</v>
      </c>
      <c r="B15">
        <v>150</v>
      </c>
      <c r="C15" t="s">
        <v>53</v>
      </c>
      <c r="D15">
        <v>0.4</v>
      </c>
      <c r="E15">
        <v>0.1</v>
      </c>
      <c r="F15">
        <v>4</v>
      </c>
      <c r="G15" t="s">
        <v>1245</v>
      </c>
      <c r="H15" t="s">
        <v>149</v>
      </c>
      <c r="I15" t="s">
        <v>423</v>
      </c>
      <c r="J15" t="s">
        <v>424</v>
      </c>
      <c r="K15" t="s">
        <v>380</v>
      </c>
    </row>
    <row r="16" spans="1:11">
      <c r="A16">
        <v>4</v>
      </c>
      <c r="B16">
        <v>150</v>
      </c>
      <c r="C16" t="s">
        <v>40</v>
      </c>
      <c r="D16">
        <v>0.5</v>
      </c>
      <c r="E16">
        <v>0.1</v>
      </c>
      <c r="F16">
        <v>4</v>
      </c>
      <c r="G16" t="s">
        <v>1245</v>
      </c>
      <c r="H16" t="s">
        <v>149</v>
      </c>
      <c r="I16" t="s">
        <v>423</v>
      </c>
      <c r="J16" t="s">
        <v>424</v>
      </c>
      <c r="K16" t="s">
        <v>380</v>
      </c>
    </row>
    <row r="17" spans="1:11">
      <c r="A17">
        <v>4</v>
      </c>
      <c r="B17">
        <v>300</v>
      </c>
      <c r="C17" t="s">
        <v>42</v>
      </c>
      <c r="D17">
        <v>1.5</v>
      </c>
      <c r="E17">
        <v>0.2</v>
      </c>
      <c r="F17">
        <v>4</v>
      </c>
      <c r="G17" t="s">
        <v>1245</v>
      </c>
      <c r="H17" t="s">
        <v>149</v>
      </c>
      <c r="I17" t="s">
        <v>423</v>
      </c>
      <c r="J17" t="s">
        <v>424</v>
      </c>
      <c r="K17" t="s">
        <v>380</v>
      </c>
    </row>
    <row r="18" spans="1:11">
      <c r="A18">
        <v>4</v>
      </c>
      <c r="B18">
        <v>300</v>
      </c>
      <c r="C18" t="s">
        <v>53</v>
      </c>
      <c r="D18">
        <v>0.3</v>
      </c>
      <c r="E18">
        <v>0.1</v>
      </c>
      <c r="F18">
        <v>4</v>
      </c>
      <c r="G18" t="s">
        <v>1245</v>
      </c>
      <c r="H18" t="s">
        <v>149</v>
      </c>
      <c r="I18" t="s">
        <v>423</v>
      </c>
      <c r="J18" t="s">
        <v>424</v>
      </c>
      <c r="K18" t="s">
        <v>380</v>
      </c>
    </row>
    <row r="19" spans="1:11">
      <c r="A19">
        <v>4</v>
      </c>
      <c r="B19">
        <v>300</v>
      </c>
      <c r="C19" t="s">
        <v>40</v>
      </c>
      <c r="D19">
        <v>0.4</v>
      </c>
      <c r="E19">
        <v>0.1</v>
      </c>
      <c r="F19">
        <v>4</v>
      </c>
      <c r="G19" t="s">
        <v>1245</v>
      </c>
      <c r="H19" t="s">
        <v>149</v>
      </c>
      <c r="I19" t="s">
        <v>423</v>
      </c>
      <c r="J19" t="s">
        <v>424</v>
      </c>
      <c r="K19" t="s">
        <v>380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3"/>
  <sheetViews>
    <sheetView workbookViewId="0"/>
  </sheetViews>
  <sheetFormatPr baseColWidth="10" defaultColWidth="9" defaultRowHeight="13.5"/>
  <cols>
    <col min="1" max="1" width="12.125" customWidth="1"/>
    <col min="2" max="2" width="16.125" customWidth="1"/>
    <col min="3" max="3" width="18.875" customWidth="1"/>
    <col min="4" max="4" width="24" customWidth="1"/>
    <col min="5" max="5" width="17.625" customWidth="1"/>
    <col min="6" max="7" width="24" customWidth="1"/>
    <col min="8" max="8" width="15.25" customWidth="1"/>
    <col min="9" max="9" width="10.125" customWidth="1"/>
    <col min="10" max="11" width="24" customWidth="1"/>
    <col min="12" max="12" width="1.5" customWidth="1"/>
    <col min="13" max="14" width="24" customWidth="1"/>
    <col min="15" max="15" width="15.625" customWidth="1"/>
    <col min="16" max="16" width="5.5" customWidth="1"/>
    <col min="17" max="17" width="24" customWidth="1"/>
  </cols>
  <sheetData>
    <row r="1" spans="1:17" ht="27.75">
      <c r="A1" s="12" t="s">
        <v>54</v>
      </c>
      <c r="B1" s="12" t="s">
        <v>1253</v>
      </c>
      <c r="C1" s="12" t="s">
        <v>56</v>
      </c>
      <c r="D1" s="12" t="s">
        <v>1254</v>
      </c>
      <c r="E1" s="12" t="s">
        <v>1255</v>
      </c>
      <c r="F1" s="12" t="s">
        <v>1256</v>
      </c>
      <c r="G1" s="12" t="s">
        <v>1257</v>
      </c>
      <c r="H1" s="12" t="s">
        <v>60</v>
      </c>
      <c r="I1" s="12" t="s">
        <v>61</v>
      </c>
      <c r="J1" s="12" t="s">
        <v>62</v>
      </c>
      <c r="K1" s="12" t="s">
        <v>1258</v>
      </c>
      <c r="L1" s="12" t="s">
        <v>1209</v>
      </c>
      <c r="M1" s="12" t="s">
        <v>1259</v>
      </c>
      <c r="N1" s="12" t="s">
        <v>1260</v>
      </c>
      <c r="O1" s="12" t="s">
        <v>1261</v>
      </c>
      <c r="P1" s="12" t="s">
        <v>1211</v>
      </c>
      <c r="Q1" s="12" t="s">
        <v>1262</v>
      </c>
    </row>
    <row r="2" spans="1:17">
      <c r="A2" t="s">
        <v>181</v>
      </c>
      <c r="B2" t="s">
        <v>1263</v>
      </c>
      <c r="C2" t="s">
        <v>183</v>
      </c>
      <c r="D2" t="s">
        <v>1264</v>
      </c>
      <c r="E2" t="s">
        <v>1265</v>
      </c>
      <c r="F2" t="s">
        <v>1266</v>
      </c>
      <c r="G2" t="s">
        <v>1267</v>
      </c>
      <c r="H2" t="s">
        <v>84</v>
      </c>
      <c r="I2" t="s">
        <v>186</v>
      </c>
      <c r="J2" t="s">
        <v>187</v>
      </c>
      <c r="K2" t="s">
        <v>1268</v>
      </c>
      <c r="L2">
        <v>4</v>
      </c>
      <c r="M2" t="s">
        <v>189</v>
      </c>
      <c r="N2" t="s">
        <v>1269</v>
      </c>
      <c r="O2">
        <v>120</v>
      </c>
      <c r="P2" t="s">
        <v>1270</v>
      </c>
      <c r="Q2" t="s">
        <v>1271</v>
      </c>
    </row>
    <row r="3" spans="1:17">
      <c r="A3" t="s">
        <v>373</v>
      </c>
      <c r="B3" t="s">
        <v>1272</v>
      </c>
      <c r="C3" t="s">
        <v>375</v>
      </c>
      <c r="E3" t="s">
        <v>1273</v>
      </c>
      <c r="F3" t="s">
        <v>1274</v>
      </c>
      <c r="G3" t="s">
        <v>1275</v>
      </c>
      <c r="H3" t="s">
        <v>376</v>
      </c>
      <c r="I3" t="s">
        <v>377</v>
      </c>
      <c r="J3" t="s">
        <v>1276</v>
      </c>
      <c r="K3" t="s">
        <v>1277</v>
      </c>
      <c r="L3">
        <v>3</v>
      </c>
      <c r="M3" t="s">
        <v>379</v>
      </c>
      <c r="N3" t="s">
        <v>1278</v>
      </c>
      <c r="O3">
        <v>24</v>
      </c>
      <c r="P3" t="s">
        <v>1270</v>
      </c>
      <c r="Q3" t="s">
        <v>1279</v>
      </c>
    </row>
    <row r="4" spans="1:17">
      <c r="A4" t="s">
        <v>79</v>
      </c>
      <c r="B4" t="s">
        <v>1280</v>
      </c>
      <c r="C4" t="s">
        <v>81</v>
      </c>
      <c r="D4" t="s">
        <v>1281</v>
      </c>
      <c r="E4" t="s">
        <v>1282</v>
      </c>
      <c r="F4" t="s">
        <v>1274</v>
      </c>
      <c r="G4" t="s">
        <v>1283</v>
      </c>
      <c r="H4" t="s">
        <v>84</v>
      </c>
      <c r="I4" t="s">
        <v>85</v>
      </c>
      <c r="J4" t="s">
        <v>86</v>
      </c>
      <c r="K4" t="s">
        <v>1284</v>
      </c>
      <c r="L4">
        <v>3</v>
      </c>
      <c r="M4" t="s">
        <v>88</v>
      </c>
      <c r="N4" t="s">
        <v>1285</v>
      </c>
      <c r="O4">
        <v>40</v>
      </c>
      <c r="P4" t="s">
        <v>1270</v>
      </c>
      <c r="Q4" t="s">
        <v>1286</v>
      </c>
    </row>
    <row r="5" spans="1:17">
      <c r="A5" t="s">
        <v>144</v>
      </c>
      <c r="B5" t="s">
        <v>1287</v>
      </c>
      <c r="C5" t="s">
        <v>146</v>
      </c>
      <c r="E5" t="s">
        <v>1288</v>
      </c>
      <c r="F5" t="s">
        <v>1289</v>
      </c>
      <c r="G5" t="s">
        <v>1290</v>
      </c>
      <c r="H5" t="s">
        <v>84</v>
      </c>
      <c r="I5" t="s">
        <v>85</v>
      </c>
      <c r="J5" t="s">
        <v>1291</v>
      </c>
      <c r="K5" t="s">
        <v>1292</v>
      </c>
      <c r="L5">
        <v>3</v>
      </c>
      <c r="M5" t="s">
        <v>151</v>
      </c>
      <c r="N5" t="s">
        <v>1285</v>
      </c>
      <c r="O5">
        <v>18</v>
      </c>
      <c r="P5" t="s">
        <v>1270</v>
      </c>
      <c r="Q5" t="s">
        <v>1293</v>
      </c>
    </row>
    <row r="6" spans="1:17">
      <c r="A6" t="s">
        <v>418</v>
      </c>
      <c r="B6" t="s">
        <v>1294</v>
      </c>
      <c r="C6" t="s">
        <v>420</v>
      </c>
      <c r="E6" t="s">
        <v>1295</v>
      </c>
      <c r="F6" t="s">
        <v>1289</v>
      </c>
      <c r="G6" t="s">
        <v>1296</v>
      </c>
      <c r="H6" t="s">
        <v>84</v>
      </c>
      <c r="I6" t="s">
        <v>85</v>
      </c>
      <c r="J6" t="s">
        <v>1297</v>
      </c>
      <c r="K6" t="s">
        <v>1292</v>
      </c>
      <c r="L6">
        <v>4</v>
      </c>
      <c r="M6" t="s">
        <v>424</v>
      </c>
      <c r="N6" t="s">
        <v>1278</v>
      </c>
      <c r="O6">
        <v>12</v>
      </c>
      <c r="P6" t="s">
        <v>1270</v>
      </c>
      <c r="Q6" t="s">
        <v>1298</v>
      </c>
    </row>
    <row r="7" spans="1:17">
      <c r="A7" t="s">
        <v>443</v>
      </c>
      <c r="B7" t="s">
        <v>1299</v>
      </c>
      <c r="C7" t="s">
        <v>445</v>
      </c>
      <c r="D7" t="s">
        <v>446</v>
      </c>
      <c r="E7" t="s">
        <v>1282</v>
      </c>
      <c r="F7" t="s">
        <v>1300</v>
      </c>
      <c r="G7" t="s">
        <v>1301</v>
      </c>
      <c r="H7" t="s">
        <v>84</v>
      </c>
      <c r="I7" t="s">
        <v>85</v>
      </c>
      <c r="J7" t="s">
        <v>86</v>
      </c>
      <c r="K7" t="s">
        <v>1302</v>
      </c>
      <c r="L7">
        <v>3</v>
      </c>
      <c r="M7" t="s">
        <v>448</v>
      </c>
      <c r="N7" t="s">
        <v>1285</v>
      </c>
      <c r="O7">
        <v>27</v>
      </c>
      <c r="P7" t="s">
        <v>1270</v>
      </c>
      <c r="Q7" t="s">
        <v>1303</v>
      </c>
    </row>
    <row r="8" spans="1:17">
      <c r="A8" t="s">
        <v>509</v>
      </c>
      <c r="B8" t="s">
        <v>1304</v>
      </c>
      <c r="C8" t="s">
        <v>511</v>
      </c>
      <c r="D8" t="s">
        <v>1305</v>
      </c>
      <c r="E8" t="s">
        <v>1282</v>
      </c>
      <c r="F8" t="s">
        <v>1306</v>
      </c>
      <c r="G8" t="s">
        <v>1307</v>
      </c>
      <c r="H8" t="s">
        <v>84</v>
      </c>
      <c r="I8" t="s">
        <v>85</v>
      </c>
      <c r="J8" t="s">
        <v>513</v>
      </c>
      <c r="K8" t="s">
        <v>1284</v>
      </c>
      <c r="L8">
        <v>4</v>
      </c>
      <c r="M8" t="s">
        <v>514</v>
      </c>
      <c r="N8" t="s">
        <v>1285</v>
      </c>
      <c r="O8">
        <v>16</v>
      </c>
      <c r="P8" t="s">
        <v>1270</v>
      </c>
      <c r="Q8" t="s">
        <v>1308</v>
      </c>
    </row>
    <row r="9" spans="1:17">
      <c r="A9" t="s">
        <v>540</v>
      </c>
      <c r="B9" t="s">
        <v>1309</v>
      </c>
      <c r="C9" t="s">
        <v>542</v>
      </c>
      <c r="D9" t="s">
        <v>543</v>
      </c>
      <c r="E9" t="s">
        <v>1282</v>
      </c>
      <c r="F9" t="s">
        <v>1310</v>
      </c>
      <c r="G9" t="s">
        <v>1311</v>
      </c>
      <c r="H9" t="s">
        <v>84</v>
      </c>
      <c r="I9" t="s">
        <v>85</v>
      </c>
      <c r="J9" t="s">
        <v>547</v>
      </c>
      <c r="K9" t="s">
        <v>1312</v>
      </c>
      <c r="L9">
        <v>4</v>
      </c>
      <c r="M9" t="s">
        <v>550</v>
      </c>
      <c r="N9" t="s">
        <v>1285</v>
      </c>
      <c r="O9">
        <v>16</v>
      </c>
      <c r="P9" t="s">
        <v>1270</v>
      </c>
      <c r="Q9" t="s">
        <v>1313</v>
      </c>
    </row>
    <row r="10" spans="1:17">
      <c r="A10" t="s">
        <v>572</v>
      </c>
      <c r="B10" t="s">
        <v>1314</v>
      </c>
      <c r="C10" t="s">
        <v>183</v>
      </c>
      <c r="D10" t="s">
        <v>1315</v>
      </c>
      <c r="E10" t="s">
        <v>1265</v>
      </c>
      <c r="F10" t="s">
        <v>1306</v>
      </c>
      <c r="G10" t="s">
        <v>1316</v>
      </c>
      <c r="H10" t="s">
        <v>84</v>
      </c>
      <c r="I10" t="s">
        <v>85</v>
      </c>
      <c r="J10" t="s">
        <v>575</v>
      </c>
      <c r="K10" t="s">
        <v>1277</v>
      </c>
      <c r="L10">
        <v>3</v>
      </c>
      <c r="M10" t="s">
        <v>1317</v>
      </c>
      <c r="N10" t="s">
        <v>1318</v>
      </c>
      <c r="O10">
        <v>48</v>
      </c>
      <c r="P10" t="s">
        <v>1270</v>
      </c>
      <c r="Q10" t="s">
        <v>1319</v>
      </c>
    </row>
    <row r="11" spans="1:17">
      <c r="A11" t="s">
        <v>653</v>
      </c>
      <c r="B11" t="s">
        <v>1320</v>
      </c>
      <c r="C11" t="s">
        <v>655</v>
      </c>
      <c r="D11" t="s">
        <v>1321</v>
      </c>
      <c r="E11" t="s">
        <v>1265</v>
      </c>
      <c r="F11" t="s">
        <v>1274</v>
      </c>
      <c r="G11" t="s">
        <v>1322</v>
      </c>
      <c r="H11" t="s">
        <v>84</v>
      </c>
      <c r="I11" t="s">
        <v>186</v>
      </c>
      <c r="J11" t="s">
        <v>657</v>
      </c>
      <c r="K11" t="s">
        <v>1323</v>
      </c>
      <c r="L11">
        <v>4</v>
      </c>
      <c r="M11" t="s">
        <v>658</v>
      </c>
      <c r="N11" t="s">
        <v>1324</v>
      </c>
      <c r="O11">
        <v>6</v>
      </c>
      <c r="P11" t="s">
        <v>1270</v>
      </c>
      <c r="Q11" t="s">
        <v>1325</v>
      </c>
    </row>
    <row r="12" spans="1:17">
      <c r="A12" t="s">
        <v>671</v>
      </c>
      <c r="B12" t="s">
        <v>1326</v>
      </c>
      <c r="C12" t="s">
        <v>673</v>
      </c>
      <c r="D12" t="s">
        <v>674</v>
      </c>
      <c r="E12" t="s">
        <v>1327</v>
      </c>
      <c r="F12" t="s">
        <v>1328</v>
      </c>
      <c r="G12" t="s">
        <v>1329</v>
      </c>
      <c r="H12" t="s">
        <v>675</v>
      </c>
      <c r="I12" t="s">
        <v>85</v>
      </c>
      <c r="J12" t="s">
        <v>1330</v>
      </c>
      <c r="K12" t="s">
        <v>40</v>
      </c>
      <c r="L12">
        <v>8</v>
      </c>
      <c r="M12" t="s">
        <v>678</v>
      </c>
      <c r="N12" t="s">
        <v>1285</v>
      </c>
      <c r="O12">
        <v>4</v>
      </c>
      <c r="P12" t="s">
        <v>1270</v>
      </c>
      <c r="Q12" t="s">
        <v>1331</v>
      </c>
    </row>
    <row r="13" spans="1:17">
      <c r="A13" t="s">
        <v>686</v>
      </c>
      <c r="B13" t="s">
        <v>1332</v>
      </c>
      <c r="C13" t="s">
        <v>688</v>
      </c>
      <c r="D13" t="s">
        <v>689</v>
      </c>
      <c r="E13" t="s">
        <v>1333</v>
      </c>
      <c r="F13" t="s">
        <v>1274</v>
      </c>
      <c r="G13" t="s">
        <v>1334</v>
      </c>
      <c r="H13" t="s">
        <v>691</v>
      </c>
      <c r="I13" t="s">
        <v>377</v>
      </c>
      <c r="J13" t="s">
        <v>692</v>
      </c>
      <c r="K13" t="s">
        <v>1335</v>
      </c>
      <c r="L13">
        <v>3</v>
      </c>
      <c r="M13" t="s">
        <v>695</v>
      </c>
      <c r="N13" t="s">
        <v>1336</v>
      </c>
      <c r="O13">
        <v>2</v>
      </c>
      <c r="P13" t="s">
        <v>1270</v>
      </c>
      <c r="Q13" t="s">
        <v>1337</v>
      </c>
    </row>
    <row r="14" spans="1:17">
      <c r="A14" t="s">
        <v>701</v>
      </c>
      <c r="B14" t="s">
        <v>1338</v>
      </c>
      <c r="C14" t="s">
        <v>703</v>
      </c>
      <c r="D14" t="s">
        <v>704</v>
      </c>
      <c r="E14" t="s">
        <v>1339</v>
      </c>
      <c r="F14" t="s">
        <v>1340</v>
      </c>
      <c r="G14" t="s">
        <v>1341</v>
      </c>
      <c r="H14" t="s">
        <v>705</v>
      </c>
      <c r="I14" t="s">
        <v>85</v>
      </c>
      <c r="J14" t="s">
        <v>706</v>
      </c>
      <c r="K14" t="s">
        <v>40</v>
      </c>
      <c r="L14">
        <v>3</v>
      </c>
      <c r="M14" t="s">
        <v>658</v>
      </c>
      <c r="N14" t="s">
        <v>1324</v>
      </c>
      <c r="O14">
        <v>3</v>
      </c>
      <c r="P14" t="s">
        <v>1270</v>
      </c>
      <c r="Q14" t="s">
        <v>1342</v>
      </c>
    </row>
    <row r="15" spans="1:17">
      <c r="A15" t="s">
        <v>713</v>
      </c>
      <c r="B15" t="s">
        <v>1343</v>
      </c>
      <c r="C15" t="s">
        <v>183</v>
      </c>
      <c r="D15" t="s">
        <v>715</v>
      </c>
      <c r="E15" t="s">
        <v>1265</v>
      </c>
      <c r="F15" t="s">
        <v>1274</v>
      </c>
      <c r="G15" t="s">
        <v>1344</v>
      </c>
      <c r="H15" t="s">
        <v>84</v>
      </c>
      <c r="I15" t="s">
        <v>85</v>
      </c>
      <c r="J15" t="s">
        <v>86</v>
      </c>
      <c r="K15" t="s">
        <v>1345</v>
      </c>
      <c r="L15">
        <v>3</v>
      </c>
      <c r="M15" t="s">
        <v>716</v>
      </c>
      <c r="N15" t="s">
        <v>1285</v>
      </c>
      <c r="O15">
        <v>24</v>
      </c>
      <c r="P15" t="s">
        <v>1270</v>
      </c>
      <c r="Q15" t="s">
        <v>1346</v>
      </c>
    </row>
    <row r="16" spans="1:17">
      <c r="A16" t="s">
        <v>747</v>
      </c>
      <c r="B16" t="s">
        <v>1347</v>
      </c>
      <c r="C16" t="s">
        <v>81</v>
      </c>
      <c r="D16" t="s">
        <v>749</v>
      </c>
      <c r="E16" t="s">
        <v>1282</v>
      </c>
      <c r="F16" t="s">
        <v>1328</v>
      </c>
      <c r="G16" t="s">
        <v>1348</v>
      </c>
      <c r="H16" t="s">
        <v>84</v>
      </c>
      <c r="I16" t="s">
        <v>85</v>
      </c>
      <c r="J16" t="s">
        <v>751</v>
      </c>
      <c r="K16" t="s">
        <v>1349</v>
      </c>
      <c r="L16">
        <v>3</v>
      </c>
      <c r="M16" t="s">
        <v>752</v>
      </c>
      <c r="N16" t="s">
        <v>1285</v>
      </c>
      <c r="O16">
        <v>45</v>
      </c>
      <c r="P16" t="s">
        <v>1270</v>
      </c>
      <c r="Q16" t="s">
        <v>1350</v>
      </c>
    </row>
    <row r="17" spans="1:17">
      <c r="A17" t="s">
        <v>813</v>
      </c>
      <c r="B17" t="s">
        <v>1351</v>
      </c>
      <c r="C17" t="s">
        <v>815</v>
      </c>
      <c r="E17" t="s">
        <v>1282</v>
      </c>
      <c r="F17" t="s">
        <v>1352</v>
      </c>
      <c r="G17" t="s">
        <v>1307</v>
      </c>
      <c r="H17" t="s">
        <v>816</v>
      </c>
      <c r="I17" t="s">
        <v>377</v>
      </c>
      <c r="J17" t="s">
        <v>817</v>
      </c>
      <c r="K17" t="s">
        <v>1353</v>
      </c>
      <c r="L17">
        <v>3</v>
      </c>
      <c r="M17" t="s">
        <v>819</v>
      </c>
      <c r="N17" t="s">
        <v>1278</v>
      </c>
      <c r="O17">
        <v>8</v>
      </c>
      <c r="P17" t="s">
        <v>1270</v>
      </c>
      <c r="Q17" t="s">
        <v>1354</v>
      </c>
    </row>
    <row r="18" spans="1:17">
      <c r="A18" t="s">
        <v>831</v>
      </c>
      <c r="B18" t="s">
        <v>1355</v>
      </c>
      <c r="C18" t="s">
        <v>655</v>
      </c>
      <c r="D18" t="s">
        <v>1356</v>
      </c>
      <c r="E18" t="s">
        <v>1265</v>
      </c>
      <c r="F18" t="s">
        <v>1274</v>
      </c>
      <c r="G18" t="s">
        <v>1357</v>
      </c>
      <c r="H18" t="s">
        <v>84</v>
      </c>
      <c r="I18" t="s">
        <v>377</v>
      </c>
      <c r="J18" t="s">
        <v>834</v>
      </c>
      <c r="K18" t="s">
        <v>1277</v>
      </c>
      <c r="L18">
        <v>4</v>
      </c>
      <c r="M18" t="s">
        <v>835</v>
      </c>
      <c r="N18" t="s">
        <v>1358</v>
      </c>
      <c r="O18">
        <v>18</v>
      </c>
      <c r="P18" t="s">
        <v>1270</v>
      </c>
      <c r="Q18" t="s">
        <v>1359</v>
      </c>
    </row>
    <row r="19" spans="1:17">
      <c r="A19" t="s">
        <v>875</v>
      </c>
      <c r="B19" t="s">
        <v>1360</v>
      </c>
      <c r="C19" t="s">
        <v>655</v>
      </c>
      <c r="D19" t="s">
        <v>877</v>
      </c>
      <c r="E19" t="s">
        <v>1265</v>
      </c>
      <c r="F19" t="s">
        <v>1361</v>
      </c>
      <c r="G19" t="s">
        <v>1362</v>
      </c>
      <c r="H19" t="s">
        <v>879</v>
      </c>
      <c r="I19" t="s">
        <v>85</v>
      </c>
      <c r="J19" t="s">
        <v>1363</v>
      </c>
      <c r="K19" t="s">
        <v>1284</v>
      </c>
      <c r="L19">
        <v>6</v>
      </c>
      <c r="M19" t="s">
        <v>550</v>
      </c>
      <c r="N19" t="s">
        <v>1285</v>
      </c>
      <c r="O19">
        <v>6</v>
      </c>
      <c r="P19" t="s">
        <v>1270</v>
      </c>
      <c r="Q19" t="s">
        <v>1364</v>
      </c>
    </row>
    <row r="20" spans="1:17">
      <c r="A20" t="s">
        <v>894</v>
      </c>
      <c r="B20" t="s">
        <v>1365</v>
      </c>
      <c r="C20" t="s">
        <v>896</v>
      </c>
      <c r="D20" t="s">
        <v>897</v>
      </c>
      <c r="E20" t="s">
        <v>1282</v>
      </c>
      <c r="F20" t="s">
        <v>1366</v>
      </c>
      <c r="G20" t="s">
        <v>1367</v>
      </c>
      <c r="H20" t="s">
        <v>84</v>
      </c>
      <c r="I20" t="s">
        <v>85</v>
      </c>
      <c r="J20" t="s">
        <v>86</v>
      </c>
      <c r="K20" t="s">
        <v>40</v>
      </c>
      <c r="L20">
        <v>4</v>
      </c>
      <c r="M20" t="s">
        <v>898</v>
      </c>
      <c r="N20" t="s">
        <v>1285</v>
      </c>
      <c r="O20">
        <v>1</v>
      </c>
      <c r="P20" t="s">
        <v>1270</v>
      </c>
      <c r="Q20" t="s">
        <v>1368</v>
      </c>
    </row>
    <row r="21" spans="1:17">
      <c r="A21" t="s">
        <v>1369</v>
      </c>
      <c r="B21" t="s">
        <v>1370</v>
      </c>
      <c r="C21" t="s">
        <v>655</v>
      </c>
      <c r="D21" t="s">
        <v>1371</v>
      </c>
      <c r="E21" t="s">
        <v>1265</v>
      </c>
      <c r="F21" t="s">
        <v>1274</v>
      </c>
      <c r="G21" t="s">
        <v>1367</v>
      </c>
      <c r="H21" t="s">
        <v>84</v>
      </c>
      <c r="I21" t="s">
        <v>377</v>
      </c>
      <c r="J21" t="s">
        <v>1372</v>
      </c>
      <c r="K21" t="s">
        <v>1284</v>
      </c>
      <c r="L21">
        <v>4</v>
      </c>
      <c r="M21" t="s">
        <v>1373</v>
      </c>
      <c r="N21" t="s">
        <v>1374</v>
      </c>
      <c r="O21">
        <v>0</v>
      </c>
      <c r="P21" t="s">
        <v>1375</v>
      </c>
      <c r="Q21" t="s">
        <v>1376</v>
      </c>
    </row>
    <row r="22" spans="1:17">
      <c r="A22" t="s">
        <v>900</v>
      </c>
      <c r="B22" t="s">
        <v>1377</v>
      </c>
      <c r="C22" t="s">
        <v>655</v>
      </c>
      <c r="D22" t="s">
        <v>902</v>
      </c>
      <c r="E22" t="s">
        <v>1265</v>
      </c>
      <c r="F22" t="s">
        <v>1306</v>
      </c>
      <c r="G22" t="s">
        <v>1378</v>
      </c>
      <c r="H22" t="s">
        <v>1379</v>
      </c>
      <c r="I22" t="s">
        <v>186</v>
      </c>
      <c r="J22" t="s">
        <v>1380</v>
      </c>
      <c r="K22" t="s">
        <v>1381</v>
      </c>
      <c r="L22">
        <v>3</v>
      </c>
      <c r="M22" t="s">
        <v>905</v>
      </c>
      <c r="N22" t="s">
        <v>1285</v>
      </c>
      <c r="O22">
        <v>16</v>
      </c>
      <c r="P22" t="s">
        <v>1270</v>
      </c>
      <c r="Q22" t="s">
        <v>1382</v>
      </c>
    </row>
    <row r="23" spans="1:17">
      <c r="A23" t="s">
        <v>925</v>
      </c>
      <c r="B23" t="s">
        <v>1383</v>
      </c>
      <c r="C23" t="s">
        <v>815</v>
      </c>
      <c r="D23" t="s">
        <v>927</v>
      </c>
      <c r="E23" t="s">
        <v>1282</v>
      </c>
      <c r="F23" t="s">
        <v>1300</v>
      </c>
      <c r="G23" t="s">
        <v>1384</v>
      </c>
      <c r="H23" t="s">
        <v>84</v>
      </c>
      <c r="I23" t="s">
        <v>85</v>
      </c>
      <c r="J23" t="s">
        <v>547</v>
      </c>
      <c r="K23" t="s">
        <v>40</v>
      </c>
      <c r="L23">
        <v>5</v>
      </c>
      <c r="M23" t="s">
        <v>931</v>
      </c>
      <c r="N23" t="s">
        <v>1385</v>
      </c>
      <c r="O23">
        <v>4</v>
      </c>
      <c r="P23" t="s">
        <v>1270</v>
      </c>
      <c r="Q23" t="s">
        <v>1386</v>
      </c>
    </row>
    <row r="24" spans="1:17">
      <c r="A24" t="s">
        <v>940</v>
      </c>
      <c r="B24" t="s">
        <v>1387</v>
      </c>
      <c r="C24" t="s">
        <v>942</v>
      </c>
      <c r="D24" t="s">
        <v>943</v>
      </c>
      <c r="E24" t="s">
        <v>1333</v>
      </c>
      <c r="F24" t="s">
        <v>1274</v>
      </c>
      <c r="G24" t="s">
        <v>1307</v>
      </c>
      <c r="H24" t="s">
        <v>376</v>
      </c>
      <c r="I24" t="s">
        <v>377</v>
      </c>
      <c r="J24" t="s">
        <v>1388</v>
      </c>
      <c r="K24" t="s">
        <v>1277</v>
      </c>
      <c r="L24">
        <v>5</v>
      </c>
      <c r="M24" t="s">
        <v>379</v>
      </c>
      <c r="N24" t="s">
        <v>1278</v>
      </c>
      <c r="O24">
        <v>24</v>
      </c>
      <c r="P24" t="s">
        <v>1270</v>
      </c>
      <c r="Q24" t="s">
        <v>1389</v>
      </c>
    </row>
    <row r="25" spans="1:17">
      <c r="A25" t="s">
        <v>981</v>
      </c>
      <c r="B25" t="s">
        <v>1390</v>
      </c>
      <c r="C25" t="s">
        <v>983</v>
      </c>
      <c r="E25" t="s">
        <v>1339</v>
      </c>
      <c r="F25" t="s">
        <v>1300</v>
      </c>
      <c r="G25" t="s">
        <v>1391</v>
      </c>
      <c r="H25" t="s">
        <v>675</v>
      </c>
      <c r="I25" t="s">
        <v>85</v>
      </c>
      <c r="J25" t="s">
        <v>86</v>
      </c>
      <c r="K25" t="s">
        <v>1392</v>
      </c>
      <c r="L25">
        <v>3</v>
      </c>
      <c r="M25" t="s">
        <v>1393</v>
      </c>
      <c r="N25" t="s">
        <v>1394</v>
      </c>
      <c r="O25">
        <v>8</v>
      </c>
      <c r="P25" t="s">
        <v>1270</v>
      </c>
      <c r="Q25" t="s">
        <v>1395</v>
      </c>
    </row>
    <row r="26" spans="1:17">
      <c r="A26" t="s">
        <v>996</v>
      </c>
      <c r="B26" t="s">
        <v>1396</v>
      </c>
      <c r="C26" t="s">
        <v>998</v>
      </c>
      <c r="D26" t="s">
        <v>999</v>
      </c>
      <c r="E26" t="s">
        <v>1295</v>
      </c>
      <c r="F26" t="s">
        <v>1274</v>
      </c>
      <c r="G26" t="s">
        <v>1367</v>
      </c>
      <c r="H26" t="s">
        <v>84</v>
      </c>
      <c r="I26" t="s">
        <v>186</v>
      </c>
      <c r="J26" t="s">
        <v>1397</v>
      </c>
      <c r="K26" t="s">
        <v>1277</v>
      </c>
      <c r="L26">
        <v>3</v>
      </c>
      <c r="M26" t="s">
        <v>1001</v>
      </c>
      <c r="N26" t="s">
        <v>1398</v>
      </c>
      <c r="O26">
        <v>9</v>
      </c>
      <c r="P26" t="s">
        <v>1270</v>
      </c>
      <c r="Q26" t="s">
        <v>1399</v>
      </c>
    </row>
    <row r="27" spans="1:17">
      <c r="A27" t="s">
        <v>1022</v>
      </c>
      <c r="B27" t="s">
        <v>1400</v>
      </c>
      <c r="C27" t="s">
        <v>655</v>
      </c>
      <c r="D27" t="s">
        <v>1401</v>
      </c>
      <c r="E27" t="s">
        <v>1265</v>
      </c>
      <c r="F27" t="s">
        <v>1402</v>
      </c>
      <c r="G27" t="s">
        <v>1403</v>
      </c>
      <c r="H27" t="s">
        <v>84</v>
      </c>
      <c r="I27" t="s">
        <v>85</v>
      </c>
      <c r="J27" t="s">
        <v>1404</v>
      </c>
      <c r="K27" t="s">
        <v>40</v>
      </c>
      <c r="L27">
        <v>3</v>
      </c>
      <c r="M27" t="s">
        <v>379</v>
      </c>
      <c r="N27" t="s">
        <v>1405</v>
      </c>
      <c r="O27">
        <v>8</v>
      </c>
      <c r="P27" t="s">
        <v>1270</v>
      </c>
      <c r="Q27" t="s">
        <v>1406</v>
      </c>
    </row>
    <row r="28" spans="1:17">
      <c r="A28" t="s">
        <v>1039</v>
      </c>
      <c r="B28" t="s">
        <v>1387</v>
      </c>
      <c r="C28" t="s">
        <v>1041</v>
      </c>
      <c r="D28" t="s">
        <v>1042</v>
      </c>
      <c r="E28" t="s">
        <v>1333</v>
      </c>
      <c r="F28" t="s">
        <v>1274</v>
      </c>
      <c r="G28" t="s">
        <v>1407</v>
      </c>
      <c r="H28" t="s">
        <v>376</v>
      </c>
      <c r="I28" t="s">
        <v>377</v>
      </c>
      <c r="J28" t="s">
        <v>1388</v>
      </c>
      <c r="K28" t="s">
        <v>1277</v>
      </c>
      <c r="L28">
        <v>3</v>
      </c>
      <c r="M28" t="s">
        <v>819</v>
      </c>
      <c r="N28" t="s">
        <v>1278</v>
      </c>
      <c r="O28">
        <v>12</v>
      </c>
      <c r="P28" t="s">
        <v>1270</v>
      </c>
      <c r="Q28" t="s">
        <v>1408</v>
      </c>
    </row>
    <row r="29" spans="1:17">
      <c r="A29" t="s">
        <v>1066</v>
      </c>
      <c r="B29" t="s">
        <v>1409</v>
      </c>
      <c r="C29" t="s">
        <v>655</v>
      </c>
      <c r="D29" t="s">
        <v>1068</v>
      </c>
      <c r="E29" t="s">
        <v>1265</v>
      </c>
      <c r="F29" t="s">
        <v>1310</v>
      </c>
      <c r="G29" t="s">
        <v>1410</v>
      </c>
      <c r="H29" t="s">
        <v>675</v>
      </c>
      <c r="I29" t="s">
        <v>377</v>
      </c>
      <c r="J29" t="s">
        <v>1069</v>
      </c>
      <c r="K29" t="s">
        <v>1277</v>
      </c>
      <c r="L29">
        <v>4</v>
      </c>
      <c r="M29" t="s">
        <v>550</v>
      </c>
      <c r="N29" t="s">
        <v>1285</v>
      </c>
      <c r="O29">
        <v>18</v>
      </c>
      <c r="P29" t="s">
        <v>1270</v>
      </c>
      <c r="Q29" t="s">
        <v>1411</v>
      </c>
    </row>
    <row r="30" spans="1:17">
      <c r="A30" t="s">
        <v>1094</v>
      </c>
      <c r="B30" t="s">
        <v>1412</v>
      </c>
      <c r="C30" t="s">
        <v>1096</v>
      </c>
      <c r="D30" t="s">
        <v>1097</v>
      </c>
      <c r="E30" t="s">
        <v>1333</v>
      </c>
      <c r="F30" t="s">
        <v>1413</v>
      </c>
      <c r="G30" t="s">
        <v>1414</v>
      </c>
      <c r="H30" t="s">
        <v>84</v>
      </c>
      <c r="I30" t="s">
        <v>186</v>
      </c>
      <c r="J30" t="s">
        <v>1415</v>
      </c>
      <c r="K30" t="s">
        <v>40</v>
      </c>
      <c r="L30">
        <v>3</v>
      </c>
      <c r="M30" t="s">
        <v>1099</v>
      </c>
      <c r="N30" t="s">
        <v>1416</v>
      </c>
      <c r="O30">
        <v>16</v>
      </c>
      <c r="P30" t="s">
        <v>1270</v>
      </c>
      <c r="Q30" t="s">
        <v>1417</v>
      </c>
    </row>
    <row r="31" spans="1:17">
      <c r="A31" t="s">
        <v>1127</v>
      </c>
      <c r="B31" t="s">
        <v>1418</v>
      </c>
      <c r="C31" t="s">
        <v>1129</v>
      </c>
      <c r="D31" t="s">
        <v>1419</v>
      </c>
      <c r="E31" t="s">
        <v>1420</v>
      </c>
      <c r="F31" t="s">
        <v>1421</v>
      </c>
      <c r="G31" t="s">
        <v>1367</v>
      </c>
      <c r="H31" t="s">
        <v>84</v>
      </c>
      <c r="I31" t="s">
        <v>186</v>
      </c>
      <c r="J31" t="s">
        <v>1422</v>
      </c>
      <c r="K31" t="s">
        <v>1423</v>
      </c>
      <c r="L31">
        <v>3</v>
      </c>
      <c r="M31" t="s">
        <v>1132</v>
      </c>
      <c r="N31" t="s">
        <v>1285</v>
      </c>
      <c r="O31">
        <v>22</v>
      </c>
      <c r="P31" t="s">
        <v>1270</v>
      </c>
      <c r="Q31" t="s">
        <v>1424</v>
      </c>
    </row>
    <row r="32" spans="1:17" ht="67.5">
      <c r="A32" s="2" t="s">
        <v>1178</v>
      </c>
      <c r="B32" s="2" t="s">
        <v>1425</v>
      </c>
      <c r="C32" s="2" t="s">
        <v>1180</v>
      </c>
      <c r="D32" s="2" t="s">
        <v>1426</v>
      </c>
      <c r="E32" s="2" t="s">
        <v>1265</v>
      </c>
      <c r="F32" s="2" t="s">
        <v>1427</v>
      </c>
      <c r="G32" s="2" t="s">
        <v>1367</v>
      </c>
      <c r="H32" s="2" t="s">
        <v>376</v>
      </c>
      <c r="I32" s="2" t="s">
        <v>85</v>
      </c>
      <c r="J32" s="2" t="s">
        <v>880</v>
      </c>
      <c r="K32" s="2" t="s">
        <v>40</v>
      </c>
      <c r="L32" s="2">
        <v>5</v>
      </c>
      <c r="M32" s="2" t="s">
        <v>1183</v>
      </c>
      <c r="N32" s="2" t="s">
        <v>1336</v>
      </c>
      <c r="O32" s="2">
        <v>4</v>
      </c>
      <c r="P32" s="2" t="s">
        <v>1270</v>
      </c>
      <c r="Q32" s="2" t="s">
        <v>1428</v>
      </c>
    </row>
    <row r="33" spans="1:17" ht="54">
      <c r="A33" s="2" t="s">
        <v>1191</v>
      </c>
      <c r="B33" s="2" t="s">
        <v>1429</v>
      </c>
      <c r="C33" s="2" t="s">
        <v>1193</v>
      </c>
      <c r="D33" s="2" t="s">
        <v>1194</v>
      </c>
      <c r="E33" s="2" t="s">
        <v>1273</v>
      </c>
      <c r="F33" s="2" t="s">
        <v>1430</v>
      </c>
      <c r="G33" s="2" t="s">
        <v>1431</v>
      </c>
      <c r="H33" s="2" t="s">
        <v>879</v>
      </c>
      <c r="I33" s="2" t="s">
        <v>85</v>
      </c>
      <c r="J33" s="2" t="s">
        <v>86</v>
      </c>
      <c r="K33" s="2" t="s">
        <v>1277</v>
      </c>
      <c r="L33" s="2">
        <v>3</v>
      </c>
      <c r="M33" s="2" t="s">
        <v>1432</v>
      </c>
      <c r="N33" s="2" t="s">
        <v>1336</v>
      </c>
      <c r="O33" s="2">
        <v>9</v>
      </c>
      <c r="P33" s="2" t="s">
        <v>1270</v>
      </c>
      <c r="Q33" s="2" t="s">
        <v>1433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6"/>
  <sheetViews>
    <sheetView workbookViewId="0"/>
  </sheetViews>
  <sheetFormatPr baseColWidth="10" defaultColWidth="9" defaultRowHeight="13.5"/>
  <cols>
    <col min="1" max="1" width="73.875" customWidth="1"/>
    <col min="2" max="2" width="5.5" customWidth="1"/>
    <col min="3" max="3" width="9.125" customWidth="1"/>
    <col min="4" max="4" width="7.125" customWidth="1"/>
    <col min="5" max="5" width="17.125" customWidth="1"/>
    <col min="6" max="6" width="5.5" customWidth="1"/>
  </cols>
  <sheetData>
    <row r="1" spans="1:8" ht="17.649999999999999">
      <c r="A1" s="59" t="s">
        <v>1434</v>
      </c>
      <c r="B1" s="59"/>
      <c r="C1" s="59"/>
      <c r="D1" s="59"/>
      <c r="E1" s="59"/>
      <c r="F1" s="59"/>
      <c r="G1" s="59"/>
      <c r="H1" s="59"/>
    </row>
    <row r="3" spans="1:8" ht="13.9">
      <c r="A3" s="13" t="s">
        <v>1435</v>
      </c>
      <c r="B3" s="13" t="s">
        <v>1436</v>
      </c>
    </row>
    <row r="4" spans="1:8">
      <c r="A4" t="s">
        <v>1437</v>
      </c>
      <c r="B4">
        <v>30</v>
      </c>
    </row>
    <row r="5" spans="1:8">
      <c r="A5" t="s">
        <v>1438</v>
      </c>
      <c r="B5">
        <v>575</v>
      </c>
    </row>
    <row r="6" spans="1:8">
      <c r="A6" t="s">
        <v>1439</v>
      </c>
      <c r="B6">
        <v>97</v>
      </c>
    </row>
    <row r="7" spans="1:8">
      <c r="A7" t="s">
        <v>1440</v>
      </c>
      <c r="B7">
        <v>478</v>
      </c>
    </row>
    <row r="8" spans="1:8">
      <c r="A8" t="s">
        <v>1441</v>
      </c>
      <c r="B8">
        <v>29</v>
      </c>
    </row>
    <row r="10" spans="1:8" ht="13.9">
      <c r="A10" s="14" t="s">
        <v>54</v>
      </c>
      <c r="B10" s="14" t="s">
        <v>1442</v>
      </c>
      <c r="C10" s="14" t="s">
        <v>74</v>
      </c>
      <c r="D10" s="14" t="s">
        <v>1443</v>
      </c>
      <c r="E10" s="14" t="s">
        <v>1444</v>
      </c>
      <c r="F10" s="14" t="s">
        <v>1211</v>
      </c>
      <c r="G10" s="14"/>
      <c r="H10" s="14"/>
    </row>
    <row r="11" spans="1:8">
      <c r="A11" t="s">
        <v>181</v>
      </c>
      <c r="B11">
        <v>120</v>
      </c>
      <c r="C11" t="s">
        <v>189</v>
      </c>
      <c r="D11" t="s">
        <v>1214</v>
      </c>
      <c r="E11" t="s">
        <v>92</v>
      </c>
      <c r="F11" t="s">
        <v>1270</v>
      </c>
    </row>
    <row r="12" spans="1:8">
      <c r="A12" t="s">
        <v>373</v>
      </c>
      <c r="B12">
        <v>24</v>
      </c>
      <c r="C12" t="s">
        <v>379</v>
      </c>
      <c r="D12" t="s">
        <v>1245</v>
      </c>
      <c r="E12" t="s">
        <v>92</v>
      </c>
      <c r="F12" t="s">
        <v>1270</v>
      </c>
    </row>
    <row r="13" spans="1:8">
      <c r="A13" t="s">
        <v>79</v>
      </c>
      <c r="B13">
        <v>40</v>
      </c>
      <c r="C13" t="s">
        <v>88</v>
      </c>
      <c r="D13" t="s">
        <v>1214</v>
      </c>
      <c r="E13" t="s">
        <v>92</v>
      </c>
      <c r="F13" t="s">
        <v>1270</v>
      </c>
    </row>
    <row r="14" spans="1:8">
      <c r="A14" t="s">
        <v>144</v>
      </c>
      <c r="B14">
        <v>18</v>
      </c>
      <c r="C14" t="s">
        <v>151</v>
      </c>
      <c r="D14" t="s">
        <v>1214</v>
      </c>
      <c r="E14" t="s">
        <v>1445</v>
      </c>
      <c r="F14" t="s">
        <v>1270</v>
      </c>
    </row>
    <row r="15" spans="1:8">
      <c r="A15" t="s">
        <v>418</v>
      </c>
      <c r="B15">
        <v>12</v>
      </c>
      <c r="C15" t="s">
        <v>424</v>
      </c>
      <c r="D15" t="s">
        <v>1245</v>
      </c>
      <c r="E15" t="s">
        <v>92</v>
      </c>
      <c r="F15" t="s">
        <v>1270</v>
      </c>
    </row>
    <row r="16" spans="1:8">
      <c r="A16" t="s">
        <v>1446</v>
      </c>
      <c r="B16">
        <v>214</v>
      </c>
    </row>
    <row r="17" spans="1:8" ht="13.9">
      <c r="A17" s="20" t="s">
        <v>443</v>
      </c>
      <c r="B17" s="20">
        <v>27</v>
      </c>
      <c r="C17" s="20" t="s">
        <v>448</v>
      </c>
      <c r="D17" s="20" t="s">
        <v>1214</v>
      </c>
      <c r="E17" s="20" t="s">
        <v>92</v>
      </c>
      <c r="F17" s="20" t="s">
        <v>1270</v>
      </c>
      <c r="G17" s="20"/>
      <c r="H17" s="20"/>
    </row>
    <row r="18" spans="1:8">
      <c r="A18" t="s">
        <v>509</v>
      </c>
      <c r="B18">
        <v>16</v>
      </c>
      <c r="C18" t="s">
        <v>514</v>
      </c>
      <c r="D18" t="s">
        <v>1214</v>
      </c>
      <c r="E18" t="s">
        <v>92</v>
      </c>
      <c r="F18" t="s">
        <v>1270</v>
      </c>
    </row>
    <row r="19" spans="1:8">
      <c r="A19" t="s">
        <v>540</v>
      </c>
      <c r="B19">
        <v>16</v>
      </c>
      <c r="C19" t="s">
        <v>550</v>
      </c>
      <c r="D19" t="s">
        <v>1214</v>
      </c>
      <c r="E19" t="s">
        <v>92</v>
      </c>
      <c r="F19" t="s">
        <v>1270</v>
      </c>
    </row>
    <row r="20" spans="1:8">
      <c r="A20" t="s">
        <v>572</v>
      </c>
      <c r="B20">
        <v>48</v>
      </c>
      <c r="C20" t="s">
        <v>1447</v>
      </c>
      <c r="D20" t="s">
        <v>1448</v>
      </c>
      <c r="E20" t="s">
        <v>1449</v>
      </c>
      <c r="F20" t="s">
        <v>1270</v>
      </c>
    </row>
    <row r="21" spans="1:8">
      <c r="A21" t="s">
        <v>653</v>
      </c>
      <c r="B21">
        <v>6</v>
      </c>
      <c r="C21" t="s">
        <v>658</v>
      </c>
      <c r="D21" t="s">
        <v>1214</v>
      </c>
      <c r="E21" t="s">
        <v>92</v>
      </c>
      <c r="F21" t="s">
        <v>1270</v>
      </c>
    </row>
    <row r="22" spans="1:8">
      <c r="A22" t="s">
        <v>1446</v>
      </c>
      <c r="B22">
        <v>327</v>
      </c>
    </row>
    <row r="23" spans="1:8" ht="13.9">
      <c r="A23" s="26" t="s">
        <v>671</v>
      </c>
      <c r="B23" s="26">
        <v>4</v>
      </c>
      <c r="C23" s="26" t="s">
        <v>678</v>
      </c>
      <c r="D23" s="26" t="s">
        <v>1214</v>
      </c>
      <c r="E23" s="26" t="s">
        <v>92</v>
      </c>
      <c r="F23" s="26" t="s">
        <v>1270</v>
      </c>
      <c r="G23" s="26"/>
      <c r="H23" s="26"/>
    </row>
    <row r="24" spans="1:8">
      <c r="A24" t="s">
        <v>686</v>
      </c>
      <c r="B24">
        <v>2</v>
      </c>
      <c r="C24" t="s">
        <v>695</v>
      </c>
      <c r="D24" t="s">
        <v>1245</v>
      </c>
      <c r="E24" t="s">
        <v>92</v>
      </c>
      <c r="F24" t="s">
        <v>1270</v>
      </c>
    </row>
    <row r="25" spans="1:8">
      <c r="A25" t="s">
        <v>701</v>
      </c>
      <c r="B25">
        <v>3</v>
      </c>
      <c r="C25" t="s">
        <v>658</v>
      </c>
      <c r="D25" t="s">
        <v>1214</v>
      </c>
      <c r="E25" t="s">
        <v>92</v>
      </c>
      <c r="F25" t="s">
        <v>1270</v>
      </c>
    </row>
    <row r="26" spans="1:8">
      <c r="A26" t="s">
        <v>713</v>
      </c>
      <c r="B26">
        <v>24</v>
      </c>
      <c r="C26" t="s">
        <v>716</v>
      </c>
      <c r="D26" t="s">
        <v>1214</v>
      </c>
      <c r="E26" t="s">
        <v>92</v>
      </c>
      <c r="F26" t="s">
        <v>1270</v>
      </c>
    </row>
    <row r="27" spans="1:8">
      <c r="A27" t="s">
        <v>747</v>
      </c>
      <c r="B27">
        <v>45</v>
      </c>
      <c r="C27" t="s">
        <v>752</v>
      </c>
      <c r="D27" t="s">
        <v>1214</v>
      </c>
      <c r="E27" t="s">
        <v>92</v>
      </c>
      <c r="F27" t="s">
        <v>1270</v>
      </c>
    </row>
    <row r="28" spans="1:8">
      <c r="A28" t="s">
        <v>1446</v>
      </c>
      <c r="B28">
        <v>405</v>
      </c>
    </row>
    <row r="29" spans="1:8" ht="13.9">
      <c r="A29" s="32" t="s">
        <v>813</v>
      </c>
      <c r="B29" s="32">
        <v>8</v>
      </c>
      <c r="C29" s="32" t="s">
        <v>819</v>
      </c>
      <c r="D29" s="32" t="s">
        <v>1245</v>
      </c>
      <c r="E29" s="32" t="s">
        <v>92</v>
      </c>
      <c r="F29" s="32" t="s">
        <v>1270</v>
      </c>
      <c r="G29" s="32"/>
      <c r="H29" s="32"/>
    </row>
    <row r="30" spans="1:8">
      <c r="A30" t="s">
        <v>831</v>
      </c>
      <c r="B30">
        <v>18</v>
      </c>
      <c r="C30" t="s">
        <v>835</v>
      </c>
      <c r="D30" t="s">
        <v>1450</v>
      </c>
      <c r="E30" t="s">
        <v>1449</v>
      </c>
      <c r="F30" t="s">
        <v>1270</v>
      </c>
    </row>
    <row r="31" spans="1:8">
      <c r="A31" t="s">
        <v>875</v>
      </c>
      <c r="B31">
        <v>6</v>
      </c>
      <c r="C31" t="s">
        <v>550</v>
      </c>
      <c r="D31" t="s">
        <v>1214</v>
      </c>
      <c r="E31" t="s">
        <v>92</v>
      </c>
      <c r="F31" t="s">
        <v>1270</v>
      </c>
    </row>
    <row r="32" spans="1:8">
      <c r="A32" t="s">
        <v>894</v>
      </c>
      <c r="B32">
        <v>1</v>
      </c>
      <c r="C32" t="s">
        <v>898</v>
      </c>
      <c r="D32" t="s">
        <v>1214</v>
      </c>
      <c r="E32" t="s">
        <v>92</v>
      </c>
      <c r="F32" t="s">
        <v>1270</v>
      </c>
    </row>
    <row r="33" spans="1:8">
      <c r="A33" t="s">
        <v>1369</v>
      </c>
      <c r="B33">
        <v>0</v>
      </c>
      <c r="C33" t="s">
        <v>1373</v>
      </c>
      <c r="D33" t="s">
        <v>1451</v>
      </c>
      <c r="E33" t="s">
        <v>1452</v>
      </c>
      <c r="F33" t="s">
        <v>1453</v>
      </c>
    </row>
    <row r="34" spans="1:8">
      <c r="A34" t="s">
        <v>1454</v>
      </c>
      <c r="B34">
        <v>438</v>
      </c>
    </row>
    <row r="35" spans="1:8" ht="13.9">
      <c r="A35" s="38" t="s">
        <v>900</v>
      </c>
      <c r="B35" s="38">
        <v>16</v>
      </c>
      <c r="C35" s="38" t="s">
        <v>905</v>
      </c>
      <c r="D35" s="38" t="s">
        <v>1214</v>
      </c>
      <c r="E35" s="38" t="s">
        <v>92</v>
      </c>
      <c r="F35" s="38" t="s">
        <v>1270</v>
      </c>
      <c r="G35" s="38"/>
      <c r="H35" s="38"/>
    </row>
    <row r="36" spans="1:8">
      <c r="A36" t="s">
        <v>925</v>
      </c>
      <c r="B36">
        <v>4</v>
      </c>
      <c r="C36" t="s">
        <v>931</v>
      </c>
      <c r="D36" t="s">
        <v>1245</v>
      </c>
      <c r="E36" t="s">
        <v>92</v>
      </c>
      <c r="F36" t="s">
        <v>1270</v>
      </c>
    </row>
    <row r="37" spans="1:8">
      <c r="A37" t="s">
        <v>940</v>
      </c>
      <c r="B37">
        <v>24</v>
      </c>
      <c r="C37" t="s">
        <v>379</v>
      </c>
      <c r="D37" t="s">
        <v>1245</v>
      </c>
      <c r="E37" t="s">
        <v>92</v>
      </c>
      <c r="F37" t="s">
        <v>1270</v>
      </c>
    </row>
    <row r="38" spans="1:8">
      <c r="A38" t="s">
        <v>981</v>
      </c>
      <c r="B38">
        <v>8</v>
      </c>
      <c r="C38" t="s">
        <v>1393</v>
      </c>
      <c r="D38" t="s">
        <v>1214</v>
      </c>
      <c r="E38" t="s">
        <v>92</v>
      </c>
      <c r="F38" t="s">
        <v>1270</v>
      </c>
    </row>
    <row r="39" spans="1:8">
      <c r="A39" t="s">
        <v>996</v>
      </c>
      <c r="B39">
        <v>9</v>
      </c>
      <c r="C39" t="s">
        <v>1001</v>
      </c>
      <c r="D39" t="s">
        <v>1214</v>
      </c>
      <c r="E39" t="s">
        <v>92</v>
      </c>
      <c r="F39" t="s">
        <v>1270</v>
      </c>
    </row>
    <row r="40" spans="1:8">
      <c r="A40" t="s">
        <v>1454</v>
      </c>
      <c r="B40">
        <v>499</v>
      </c>
    </row>
    <row r="41" spans="1:8" ht="13.9">
      <c r="A41" s="44" t="s">
        <v>1022</v>
      </c>
      <c r="B41" s="44">
        <v>8</v>
      </c>
      <c r="C41" s="44" t="s">
        <v>379</v>
      </c>
      <c r="D41" s="44" t="s">
        <v>1214</v>
      </c>
      <c r="E41" s="44" t="s">
        <v>92</v>
      </c>
      <c r="F41" s="44" t="s">
        <v>1270</v>
      </c>
      <c r="G41" s="44"/>
      <c r="H41" s="44"/>
    </row>
    <row r="42" spans="1:8">
      <c r="A42" t="s">
        <v>1039</v>
      </c>
      <c r="B42">
        <v>12</v>
      </c>
      <c r="C42" t="s">
        <v>819</v>
      </c>
      <c r="D42" t="s">
        <v>1245</v>
      </c>
      <c r="E42" t="s">
        <v>92</v>
      </c>
      <c r="F42" t="s">
        <v>1270</v>
      </c>
    </row>
    <row r="43" spans="1:8">
      <c r="A43" t="s">
        <v>1066</v>
      </c>
      <c r="B43">
        <v>18</v>
      </c>
      <c r="C43" t="s">
        <v>550</v>
      </c>
      <c r="D43" t="s">
        <v>1214</v>
      </c>
      <c r="E43" t="s">
        <v>92</v>
      </c>
      <c r="F43" t="s">
        <v>1270</v>
      </c>
    </row>
    <row r="44" spans="1:8">
      <c r="A44" t="s">
        <v>1094</v>
      </c>
      <c r="B44">
        <v>16</v>
      </c>
      <c r="C44" t="s">
        <v>1455</v>
      </c>
      <c r="D44" t="s">
        <v>1456</v>
      </c>
      <c r="E44" t="s">
        <v>1449</v>
      </c>
      <c r="F44" t="s">
        <v>1270</v>
      </c>
    </row>
    <row r="45" spans="1:8">
      <c r="A45" t="s">
        <v>1127</v>
      </c>
      <c r="B45">
        <v>22</v>
      </c>
      <c r="C45" t="s">
        <v>1132</v>
      </c>
      <c r="D45" t="s">
        <v>1214</v>
      </c>
      <c r="E45" t="s">
        <v>1457</v>
      </c>
      <c r="F45" t="s">
        <v>1270</v>
      </c>
    </row>
    <row r="46" spans="1:8">
      <c r="A46" t="s">
        <v>1454</v>
      </c>
      <c r="B46">
        <v>575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workbookViewId="0"/>
  </sheetViews>
  <sheetFormatPr baseColWidth="10" defaultColWidth="9" defaultRowHeight="13.5"/>
  <cols>
    <col min="1" max="1" width="7" customWidth="1"/>
    <col min="2" max="2" width="5.75" customWidth="1"/>
    <col min="3" max="3" width="8.5" customWidth="1"/>
    <col min="4" max="4" width="5" customWidth="1"/>
    <col min="5" max="5" width="4.75" customWidth="1"/>
    <col min="6" max="6" width="1.5" customWidth="1"/>
    <col min="7" max="7" width="8.75" customWidth="1"/>
    <col min="8" max="8" width="6.5" customWidth="1"/>
  </cols>
  <sheetData>
    <row r="1" spans="1:8" ht="27.75">
      <c r="A1" s="15" t="s">
        <v>24</v>
      </c>
      <c r="B1" s="15" t="s">
        <v>23</v>
      </c>
      <c r="C1" s="15" t="s">
        <v>25</v>
      </c>
      <c r="D1" s="15" t="s">
        <v>1233</v>
      </c>
      <c r="E1" s="15" t="s">
        <v>1214</v>
      </c>
      <c r="F1" s="15" t="s">
        <v>1209</v>
      </c>
      <c r="G1" s="15" t="s">
        <v>1234</v>
      </c>
      <c r="H1" s="15" t="s">
        <v>74</v>
      </c>
    </row>
    <row r="2" spans="1:8">
      <c r="A2" t="s">
        <v>42</v>
      </c>
      <c r="B2" t="s">
        <v>149</v>
      </c>
      <c r="C2" t="s">
        <v>42</v>
      </c>
      <c r="D2">
        <v>7.45</v>
      </c>
      <c r="E2">
        <v>0.1</v>
      </c>
      <c r="F2">
        <v>3</v>
      </c>
      <c r="G2" t="s">
        <v>1214</v>
      </c>
      <c r="H2" t="s">
        <v>752</v>
      </c>
    </row>
    <row r="3" spans="1:8">
      <c r="A3" t="s">
        <v>42</v>
      </c>
      <c r="B3" t="s">
        <v>149</v>
      </c>
      <c r="C3" t="s">
        <v>1458</v>
      </c>
      <c r="D3">
        <v>7.35</v>
      </c>
      <c r="E3">
        <v>0.12</v>
      </c>
      <c r="F3">
        <v>3</v>
      </c>
      <c r="G3" t="s">
        <v>1214</v>
      </c>
      <c r="H3" t="s">
        <v>752</v>
      </c>
    </row>
    <row r="4" spans="1:8">
      <c r="A4" t="s">
        <v>42</v>
      </c>
      <c r="B4" t="s">
        <v>452</v>
      </c>
      <c r="C4" t="s">
        <v>42</v>
      </c>
      <c r="D4">
        <v>3.1</v>
      </c>
      <c r="E4">
        <v>0.08</v>
      </c>
      <c r="F4">
        <v>3</v>
      </c>
      <c r="G4" t="s">
        <v>1214</v>
      </c>
      <c r="H4" t="s">
        <v>752</v>
      </c>
    </row>
    <row r="5" spans="1:8">
      <c r="A5" t="s">
        <v>42</v>
      </c>
      <c r="B5" t="s">
        <v>452</v>
      </c>
      <c r="C5" t="s">
        <v>1458</v>
      </c>
      <c r="D5">
        <v>3.5</v>
      </c>
      <c r="E5">
        <v>0.22</v>
      </c>
      <c r="F5">
        <v>3</v>
      </c>
      <c r="G5" t="s">
        <v>1214</v>
      </c>
      <c r="H5" t="s">
        <v>752</v>
      </c>
    </row>
    <row r="6" spans="1:8">
      <c r="A6" t="s">
        <v>42</v>
      </c>
      <c r="B6" t="s">
        <v>29</v>
      </c>
      <c r="C6" t="s">
        <v>42</v>
      </c>
      <c r="D6">
        <v>3.85</v>
      </c>
      <c r="E6">
        <v>0.12</v>
      </c>
      <c r="F6">
        <v>3</v>
      </c>
      <c r="G6" t="s">
        <v>1214</v>
      </c>
      <c r="H6" t="s">
        <v>752</v>
      </c>
    </row>
    <row r="7" spans="1:8">
      <c r="A7" t="s">
        <v>42</v>
      </c>
      <c r="B7" t="s">
        <v>29</v>
      </c>
      <c r="C7" t="s">
        <v>1458</v>
      </c>
      <c r="D7">
        <v>4.45</v>
      </c>
      <c r="E7">
        <v>0.1</v>
      </c>
      <c r="F7">
        <v>3</v>
      </c>
      <c r="G7" t="s">
        <v>1214</v>
      </c>
      <c r="H7" t="s">
        <v>752</v>
      </c>
    </row>
    <row r="8" spans="1:8">
      <c r="A8" t="s">
        <v>53</v>
      </c>
      <c r="B8" t="s">
        <v>149</v>
      </c>
      <c r="C8" t="s">
        <v>42</v>
      </c>
      <c r="D8">
        <v>5.05</v>
      </c>
      <c r="E8">
        <v>0.12</v>
      </c>
      <c r="F8">
        <v>3</v>
      </c>
      <c r="G8" t="s">
        <v>1214</v>
      </c>
      <c r="H8" t="s">
        <v>752</v>
      </c>
    </row>
    <row r="9" spans="1:8">
      <c r="A9" t="s">
        <v>53</v>
      </c>
      <c r="B9" t="s">
        <v>149</v>
      </c>
      <c r="C9" t="s">
        <v>1458</v>
      </c>
      <c r="D9">
        <v>5.75</v>
      </c>
      <c r="E9">
        <v>0.1</v>
      </c>
      <c r="F9">
        <v>3</v>
      </c>
      <c r="G9" t="s">
        <v>1214</v>
      </c>
      <c r="H9" t="s">
        <v>752</v>
      </c>
    </row>
    <row r="10" spans="1:8">
      <c r="A10" t="s">
        <v>53</v>
      </c>
      <c r="B10" t="s">
        <v>452</v>
      </c>
      <c r="C10" t="s">
        <v>42</v>
      </c>
      <c r="D10">
        <v>5.05</v>
      </c>
      <c r="E10">
        <v>0.12</v>
      </c>
      <c r="F10">
        <v>3</v>
      </c>
      <c r="G10" t="s">
        <v>1214</v>
      </c>
      <c r="H10" t="s">
        <v>752</v>
      </c>
    </row>
    <row r="11" spans="1:8">
      <c r="A11" t="s">
        <v>53</v>
      </c>
      <c r="B11" t="s">
        <v>452</v>
      </c>
      <c r="C11" t="s">
        <v>1458</v>
      </c>
      <c r="D11">
        <v>4.8</v>
      </c>
      <c r="E11">
        <v>0.18</v>
      </c>
      <c r="F11">
        <v>3</v>
      </c>
      <c r="G11" t="s">
        <v>1214</v>
      </c>
      <c r="H11" t="s">
        <v>752</v>
      </c>
    </row>
    <row r="12" spans="1:8">
      <c r="A12" t="s">
        <v>53</v>
      </c>
      <c r="B12" t="s">
        <v>29</v>
      </c>
      <c r="C12" t="s">
        <v>42</v>
      </c>
      <c r="D12">
        <v>5.7</v>
      </c>
      <c r="E12">
        <v>0.08</v>
      </c>
      <c r="F12">
        <v>3</v>
      </c>
      <c r="G12" t="s">
        <v>1214</v>
      </c>
      <c r="H12" t="s">
        <v>752</v>
      </c>
    </row>
    <row r="13" spans="1:8">
      <c r="A13" t="s">
        <v>53</v>
      </c>
      <c r="B13" t="s">
        <v>29</v>
      </c>
      <c r="C13" t="s">
        <v>1458</v>
      </c>
      <c r="D13">
        <v>6.1</v>
      </c>
      <c r="E13">
        <v>0.08</v>
      </c>
      <c r="F13">
        <v>3</v>
      </c>
      <c r="G13" t="s">
        <v>1214</v>
      </c>
      <c r="H13" t="s">
        <v>752</v>
      </c>
    </row>
    <row r="14" spans="1:8">
      <c r="A14" t="s">
        <v>40</v>
      </c>
      <c r="B14" t="s">
        <v>149</v>
      </c>
      <c r="C14" t="s">
        <v>42</v>
      </c>
      <c r="D14">
        <v>2.5499999999999998</v>
      </c>
      <c r="E14">
        <v>0.1</v>
      </c>
      <c r="F14">
        <v>3</v>
      </c>
      <c r="G14" t="s">
        <v>1214</v>
      </c>
      <c r="H14" t="s">
        <v>752</v>
      </c>
    </row>
    <row r="15" spans="1:8">
      <c r="A15" t="s">
        <v>40</v>
      </c>
      <c r="B15" t="s">
        <v>149</v>
      </c>
      <c r="C15" t="s">
        <v>1458</v>
      </c>
      <c r="D15">
        <v>5.2</v>
      </c>
      <c r="E15">
        <v>0.12</v>
      </c>
      <c r="F15">
        <v>3</v>
      </c>
      <c r="G15" t="s">
        <v>1214</v>
      </c>
      <c r="H15" t="s">
        <v>752</v>
      </c>
    </row>
    <row r="16" spans="1:8">
      <c r="A16" t="s">
        <v>40</v>
      </c>
      <c r="B16" t="s">
        <v>452</v>
      </c>
      <c r="C16" t="s">
        <v>42</v>
      </c>
      <c r="D16">
        <v>8.1</v>
      </c>
      <c r="E16">
        <v>0.12</v>
      </c>
      <c r="F16">
        <v>3</v>
      </c>
      <c r="G16" t="s">
        <v>1214</v>
      </c>
      <c r="H16" t="s">
        <v>752</v>
      </c>
    </row>
    <row r="17" spans="1:8">
      <c r="A17" t="s">
        <v>40</v>
      </c>
      <c r="B17" t="s">
        <v>452</v>
      </c>
      <c r="C17" t="s">
        <v>1458</v>
      </c>
      <c r="D17">
        <v>9.8000000000000007</v>
      </c>
      <c r="E17">
        <v>0.25</v>
      </c>
      <c r="F17">
        <v>3</v>
      </c>
      <c r="G17" t="s">
        <v>1214</v>
      </c>
      <c r="H17" t="s">
        <v>752</v>
      </c>
    </row>
    <row r="18" spans="1:8">
      <c r="A18" t="s">
        <v>40</v>
      </c>
      <c r="B18" t="s">
        <v>29</v>
      </c>
      <c r="C18" t="s">
        <v>42</v>
      </c>
      <c r="D18">
        <v>3</v>
      </c>
      <c r="E18">
        <v>0.35</v>
      </c>
      <c r="F18">
        <v>3</v>
      </c>
      <c r="G18" t="s">
        <v>1214</v>
      </c>
      <c r="H18" t="s">
        <v>752</v>
      </c>
    </row>
    <row r="19" spans="1:8">
      <c r="A19" t="s">
        <v>40</v>
      </c>
      <c r="B19" t="s">
        <v>29</v>
      </c>
      <c r="C19" t="s">
        <v>1458</v>
      </c>
      <c r="D19">
        <v>3.6</v>
      </c>
      <c r="E19">
        <v>0.12</v>
      </c>
      <c r="F19">
        <v>3</v>
      </c>
      <c r="G19" t="s">
        <v>1214</v>
      </c>
      <c r="H19" t="s">
        <v>752</v>
      </c>
    </row>
    <row r="20" spans="1:8">
      <c r="A20" t="s">
        <v>30</v>
      </c>
      <c r="B20" t="s">
        <v>149</v>
      </c>
      <c r="C20" t="s">
        <v>42</v>
      </c>
      <c r="D20">
        <v>5.9</v>
      </c>
      <c r="E20">
        <v>0.1</v>
      </c>
      <c r="F20">
        <v>3</v>
      </c>
      <c r="G20" t="s">
        <v>1214</v>
      </c>
      <c r="H20" t="s">
        <v>752</v>
      </c>
    </row>
    <row r="21" spans="1:8">
      <c r="A21" t="s">
        <v>30</v>
      </c>
      <c r="B21" t="s">
        <v>149</v>
      </c>
      <c r="C21" t="s">
        <v>1458</v>
      </c>
      <c r="D21">
        <v>6.2</v>
      </c>
      <c r="E21">
        <v>0.18</v>
      </c>
      <c r="F21">
        <v>3</v>
      </c>
      <c r="G21" t="s">
        <v>1214</v>
      </c>
      <c r="H21" t="s">
        <v>752</v>
      </c>
    </row>
    <row r="22" spans="1:8">
      <c r="A22" t="s">
        <v>30</v>
      </c>
      <c r="B22" t="s">
        <v>452</v>
      </c>
      <c r="C22" t="s">
        <v>42</v>
      </c>
      <c r="D22">
        <v>5.7</v>
      </c>
      <c r="E22">
        <v>0.1</v>
      </c>
      <c r="F22">
        <v>3</v>
      </c>
      <c r="G22" t="s">
        <v>1214</v>
      </c>
      <c r="H22" t="s">
        <v>752</v>
      </c>
    </row>
    <row r="23" spans="1:8">
      <c r="A23" t="s">
        <v>30</v>
      </c>
      <c r="B23" t="s">
        <v>452</v>
      </c>
      <c r="C23" t="s">
        <v>1458</v>
      </c>
      <c r="D23">
        <v>7.1</v>
      </c>
      <c r="E23">
        <v>0.3</v>
      </c>
      <c r="F23">
        <v>3</v>
      </c>
      <c r="G23" t="s">
        <v>1214</v>
      </c>
      <c r="H23" t="s">
        <v>752</v>
      </c>
    </row>
    <row r="24" spans="1:8">
      <c r="A24" t="s">
        <v>30</v>
      </c>
      <c r="B24" t="s">
        <v>29</v>
      </c>
      <c r="C24" t="s">
        <v>42</v>
      </c>
      <c r="D24">
        <v>6.8</v>
      </c>
      <c r="E24">
        <v>0.4</v>
      </c>
      <c r="F24">
        <v>3</v>
      </c>
      <c r="G24" t="s">
        <v>1214</v>
      </c>
      <c r="H24" t="s">
        <v>752</v>
      </c>
    </row>
    <row r="25" spans="1:8">
      <c r="A25" t="s">
        <v>30</v>
      </c>
      <c r="B25" t="s">
        <v>29</v>
      </c>
      <c r="C25" t="s">
        <v>1458</v>
      </c>
      <c r="D25">
        <v>10.6</v>
      </c>
      <c r="E25">
        <v>0.45</v>
      </c>
      <c r="F25">
        <v>3</v>
      </c>
      <c r="G25" t="s">
        <v>1214</v>
      </c>
      <c r="H25" t="s">
        <v>752</v>
      </c>
    </row>
    <row r="26" spans="1:8">
      <c r="A26" t="s">
        <v>337</v>
      </c>
      <c r="B26" t="s">
        <v>149</v>
      </c>
      <c r="C26" t="s">
        <v>42</v>
      </c>
      <c r="D26">
        <v>0.69499999999999995</v>
      </c>
      <c r="E26">
        <v>6.0000000000000001E-3</v>
      </c>
      <c r="F26">
        <v>3</v>
      </c>
      <c r="G26" t="s">
        <v>1214</v>
      </c>
      <c r="H26" t="s">
        <v>752</v>
      </c>
    </row>
    <row r="27" spans="1:8">
      <c r="A27" t="s">
        <v>337</v>
      </c>
      <c r="B27" t="s">
        <v>149</v>
      </c>
      <c r="C27" t="s">
        <v>1458</v>
      </c>
      <c r="D27">
        <v>0.72</v>
      </c>
      <c r="E27">
        <v>0.01</v>
      </c>
      <c r="F27">
        <v>3</v>
      </c>
      <c r="G27" t="s">
        <v>1214</v>
      </c>
      <c r="H27" t="s">
        <v>752</v>
      </c>
    </row>
    <row r="28" spans="1:8">
      <c r="A28" t="s">
        <v>337</v>
      </c>
      <c r="B28" t="s">
        <v>452</v>
      </c>
      <c r="C28" t="s">
        <v>42</v>
      </c>
      <c r="D28">
        <v>0.69</v>
      </c>
      <c r="E28">
        <v>1.2E-2</v>
      </c>
      <c r="F28">
        <v>3</v>
      </c>
      <c r="G28" t="s">
        <v>1214</v>
      </c>
      <c r="H28" t="s">
        <v>752</v>
      </c>
    </row>
    <row r="29" spans="1:8">
      <c r="A29" t="s">
        <v>337</v>
      </c>
      <c r="B29" t="s">
        <v>452</v>
      </c>
      <c r="C29" t="s">
        <v>1458</v>
      </c>
      <c r="D29">
        <v>0.75</v>
      </c>
      <c r="E29">
        <v>0.01</v>
      </c>
      <c r="F29">
        <v>3</v>
      </c>
      <c r="G29" t="s">
        <v>1214</v>
      </c>
      <c r="H29" t="s">
        <v>752</v>
      </c>
    </row>
    <row r="30" spans="1:8">
      <c r="A30" t="s">
        <v>337</v>
      </c>
      <c r="B30" t="s">
        <v>29</v>
      </c>
      <c r="C30" t="s">
        <v>42</v>
      </c>
      <c r="D30">
        <v>0.70499999999999996</v>
      </c>
      <c r="E30">
        <v>8.0000000000000002E-3</v>
      </c>
      <c r="F30">
        <v>3</v>
      </c>
      <c r="G30" t="s">
        <v>1214</v>
      </c>
      <c r="H30" t="s">
        <v>752</v>
      </c>
    </row>
    <row r="31" spans="1:8">
      <c r="A31" t="s">
        <v>337</v>
      </c>
      <c r="B31" t="s">
        <v>29</v>
      </c>
      <c r="C31" t="s">
        <v>1458</v>
      </c>
      <c r="D31">
        <v>0.7</v>
      </c>
      <c r="E31">
        <v>2.5000000000000001E-2</v>
      </c>
      <c r="F31">
        <v>3</v>
      </c>
      <c r="G31" t="s">
        <v>1214</v>
      </c>
      <c r="H31" t="s">
        <v>752</v>
      </c>
    </row>
    <row r="32" spans="1:8">
      <c r="A32" t="s">
        <v>481</v>
      </c>
      <c r="B32" t="s">
        <v>149</v>
      </c>
      <c r="C32" t="s">
        <v>42</v>
      </c>
      <c r="D32">
        <v>18</v>
      </c>
      <c r="E32">
        <v>0.3</v>
      </c>
      <c r="F32">
        <v>3</v>
      </c>
      <c r="G32" t="s">
        <v>1214</v>
      </c>
      <c r="H32" t="s">
        <v>514</v>
      </c>
    </row>
    <row r="33" spans="1:8">
      <c r="A33" t="s">
        <v>481</v>
      </c>
      <c r="B33" t="s">
        <v>149</v>
      </c>
      <c r="C33" t="s">
        <v>1458</v>
      </c>
      <c r="D33">
        <v>22</v>
      </c>
      <c r="E33">
        <v>0.4</v>
      </c>
      <c r="F33">
        <v>3</v>
      </c>
      <c r="G33" t="s">
        <v>1214</v>
      </c>
      <c r="H33" t="s">
        <v>514</v>
      </c>
    </row>
    <row r="34" spans="1:8">
      <c r="A34" t="s">
        <v>481</v>
      </c>
      <c r="B34" t="s">
        <v>452</v>
      </c>
      <c r="C34" t="s">
        <v>42</v>
      </c>
      <c r="D34">
        <v>21</v>
      </c>
      <c r="E34">
        <v>0.4</v>
      </c>
      <c r="F34">
        <v>3</v>
      </c>
      <c r="G34" t="s">
        <v>1214</v>
      </c>
      <c r="H34" t="s">
        <v>514</v>
      </c>
    </row>
    <row r="35" spans="1:8">
      <c r="A35" t="s">
        <v>481</v>
      </c>
      <c r="B35" t="s">
        <v>452</v>
      </c>
      <c r="C35" t="s">
        <v>1458</v>
      </c>
      <c r="D35">
        <v>21.5</v>
      </c>
      <c r="E35">
        <v>0.3</v>
      </c>
      <c r="F35">
        <v>3</v>
      </c>
      <c r="G35" t="s">
        <v>1214</v>
      </c>
      <c r="H35" t="s">
        <v>514</v>
      </c>
    </row>
    <row r="36" spans="1:8">
      <c r="A36" t="s">
        <v>481</v>
      </c>
      <c r="B36" t="s">
        <v>29</v>
      </c>
      <c r="C36" t="s">
        <v>42</v>
      </c>
      <c r="D36">
        <v>19</v>
      </c>
      <c r="E36">
        <v>2</v>
      </c>
      <c r="F36">
        <v>3</v>
      </c>
      <c r="G36" t="s">
        <v>1214</v>
      </c>
      <c r="H36" t="s">
        <v>514</v>
      </c>
    </row>
    <row r="37" spans="1:8">
      <c r="A37" t="s">
        <v>481</v>
      </c>
      <c r="B37" t="s">
        <v>29</v>
      </c>
      <c r="C37" t="s">
        <v>1458</v>
      </c>
      <c r="D37">
        <v>40</v>
      </c>
      <c r="E37">
        <v>1.5</v>
      </c>
      <c r="F37">
        <v>3</v>
      </c>
      <c r="G37" t="s">
        <v>1214</v>
      </c>
      <c r="H37" t="s">
        <v>514</v>
      </c>
    </row>
    <row r="38" spans="1:8">
      <c r="A38" t="s">
        <v>489</v>
      </c>
      <c r="B38" t="s">
        <v>149</v>
      </c>
      <c r="C38" t="s">
        <v>42</v>
      </c>
      <c r="D38">
        <v>56</v>
      </c>
      <c r="E38">
        <v>1.5</v>
      </c>
      <c r="F38">
        <v>3</v>
      </c>
      <c r="G38" t="s">
        <v>1214</v>
      </c>
      <c r="H38" t="s">
        <v>514</v>
      </c>
    </row>
    <row r="39" spans="1:8">
      <c r="A39" t="s">
        <v>489</v>
      </c>
      <c r="B39" t="s">
        <v>149</v>
      </c>
      <c r="C39" t="s">
        <v>1458</v>
      </c>
      <c r="D39">
        <v>68</v>
      </c>
      <c r="E39">
        <v>1.5</v>
      </c>
      <c r="F39">
        <v>3</v>
      </c>
      <c r="G39" t="s">
        <v>1214</v>
      </c>
      <c r="H39" t="s">
        <v>514</v>
      </c>
    </row>
    <row r="40" spans="1:8">
      <c r="A40" t="s">
        <v>489</v>
      </c>
      <c r="B40" t="s">
        <v>452</v>
      </c>
      <c r="C40" t="s">
        <v>42</v>
      </c>
      <c r="D40">
        <v>58</v>
      </c>
      <c r="E40">
        <v>2</v>
      </c>
      <c r="F40">
        <v>3</v>
      </c>
      <c r="G40" t="s">
        <v>1214</v>
      </c>
      <c r="H40" t="s">
        <v>514</v>
      </c>
    </row>
    <row r="41" spans="1:8">
      <c r="A41" t="s">
        <v>489</v>
      </c>
      <c r="B41" t="s">
        <v>452</v>
      </c>
      <c r="C41" t="s">
        <v>1458</v>
      </c>
      <c r="D41">
        <v>65</v>
      </c>
      <c r="E41">
        <v>4</v>
      </c>
      <c r="F41">
        <v>3</v>
      </c>
      <c r="G41" t="s">
        <v>1214</v>
      </c>
      <c r="H41" t="s">
        <v>514</v>
      </c>
    </row>
    <row r="42" spans="1:8">
      <c r="A42" t="s">
        <v>489</v>
      </c>
      <c r="B42" t="s">
        <v>29</v>
      </c>
      <c r="C42" t="s">
        <v>42</v>
      </c>
      <c r="D42">
        <v>48</v>
      </c>
      <c r="E42">
        <v>1.5</v>
      </c>
      <c r="F42">
        <v>3</v>
      </c>
      <c r="G42" t="s">
        <v>1214</v>
      </c>
      <c r="H42" t="s">
        <v>514</v>
      </c>
    </row>
    <row r="43" spans="1:8">
      <c r="A43" t="s">
        <v>489</v>
      </c>
      <c r="B43" t="s">
        <v>29</v>
      </c>
      <c r="C43" t="s">
        <v>1458</v>
      </c>
      <c r="D43">
        <v>116</v>
      </c>
      <c r="E43">
        <v>4</v>
      </c>
      <c r="F43">
        <v>3</v>
      </c>
      <c r="G43" t="s">
        <v>1214</v>
      </c>
      <c r="H43" t="s">
        <v>514</v>
      </c>
    </row>
    <row r="44" spans="1:8">
      <c r="A44" t="s">
        <v>496</v>
      </c>
      <c r="B44" t="s">
        <v>149</v>
      </c>
      <c r="C44" t="s">
        <v>42</v>
      </c>
      <c r="D44">
        <v>15</v>
      </c>
      <c r="E44">
        <v>0.8</v>
      </c>
      <c r="F44">
        <v>3</v>
      </c>
      <c r="G44" t="s">
        <v>1214</v>
      </c>
      <c r="H44" t="s">
        <v>514</v>
      </c>
    </row>
    <row r="45" spans="1:8">
      <c r="A45" t="s">
        <v>496</v>
      </c>
      <c r="B45" t="s">
        <v>149</v>
      </c>
      <c r="C45" t="s">
        <v>1458</v>
      </c>
      <c r="D45">
        <v>38</v>
      </c>
      <c r="E45">
        <v>2.5</v>
      </c>
      <c r="F45">
        <v>3</v>
      </c>
      <c r="G45" t="s">
        <v>1214</v>
      </c>
      <c r="H45" t="s">
        <v>514</v>
      </c>
    </row>
    <row r="46" spans="1:8">
      <c r="A46" t="s">
        <v>496</v>
      </c>
      <c r="B46" t="s">
        <v>452</v>
      </c>
      <c r="C46" t="s">
        <v>42</v>
      </c>
      <c r="D46">
        <v>15</v>
      </c>
      <c r="E46">
        <v>0.8</v>
      </c>
      <c r="F46">
        <v>3</v>
      </c>
      <c r="G46" t="s">
        <v>1214</v>
      </c>
      <c r="H46" t="s">
        <v>514</v>
      </c>
    </row>
    <row r="47" spans="1:8">
      <c r="A47" t="s">
        <v>496</v>
      </c>
      <c r="B47" t="s">
        <v>452</v>
      </c>
      <c r="C47" t="s">
        <v>1458</v>
      </c>
      <c r="D47">
        <v>23</v>
      </c>
      <c r="E47">
        <v>0.8</v>
      </c>
      <c r="F47">
        <v>3</v>
      </c>
      <c r="G47" t="s">
        <v>1214</v>
      </c>
      <c r="H47" t="s">
        <v>514</v>
      </c>
    </row>
    <row r="48" spans="1:8">
      <c r="A48" t="s">
        <v>496</v>
      </c>
      <c r="B48" t="s">
        <v>29</v>
      </c>
      <c r="C48" t="s">
        <v>42</v>
      </c>
      <c r="D48">
        <v>16</v>
      </c>
      <c r="E48">
        <v>1.5</v>
      </c>
      <c r="F48">
        <v>3</v>
      </c>
      <c r="G48" t="s">
        <v>1214</v>
      </c>
      <c r="H48" t="s">
        <v>514</v>
      </c>
    </row>
    <row r="49" spans="1:8">
      <c r="A49" t="s">
        <v>496</v>
      </c>
      <c r="B49" t="s">
        <v>29</v>
      </c>
      <c r="C49" t="s">
        <v>1458</v>
      </c>
      <c r="D49">
        <v>6</v>
      </c>
      <c r="E49">
        <v>0.8</v>
      </c>
      <c r="F49">
        <v>3</v>
      </c>
      <c r="G49" t="s">
        <v>1214</v>
      </c>
      <c r="H49" t="s">
        <v>514</v>
      </c>
    </row>
    <row r="50" spans="1:8">
      <c r="A50" t="s">
        <v>503</v>
      </c>
      <c r="B50" t="s">
        <v>149</v>
      </c>
      <c r="C50" t="s">
        <v>42</v>
      </c>
      <c r="D50">
        <v>188</v>
      </c>
      <c r="E50">
        <v>6</v>
      </c>
      <c r="F50">
        <v>3</v>
      </c>
      <c r="G50" t="s">
        <v>1214</v>
      </c>
      <c r="H50" t="s">
        <v>514</v>
      </c>
    </row>
    <row r="51" spans="1:8">
      <c r="A51" t="s">
        <v>503</v>
      </c>
      <c r="B51" t="s">
        <v>149</v>
      </c>
      <c r="C51" t="s">
        <v>1458</v>
      </c>
      <c r="D51">
        <v>194</v>
      </c>
      <c r="E51">
        <v>7</v>
      </c>
      <c r="F51">
        <v>3</v>
      </c>
      <c r="G51" t="s">
        <v>1214</v>
      </c>
      <c r="H51" t="s">
        <v>514</v>
      </c>
    </row>
    <row r="52" spans="1:8">
      <c r="A52" t="s">
        <v>503</v>
      </c>
      <c r="B52" t="s">
        <v>452</v>
      </c>
      <c r="C52" t="s">
        <v>42</v>
      </c>
      <c r="D52">
        <v>154</v>
      </c>
      <c r="E52">
        <v>4</v>
      </c>
      <c r="F52">
        <v>3</v>
      </c>
      <c r="G52" t="s">
        <v>1214</v>
      </c>
      <c r="H52" t="s">
        <v>514</v>
      </c>
    </row>
    <row r="53" spans="1:8">
      <c r="A53" t="s">
        <v>503</v>
      </c>
      <c r="B53" t="s">
        <v>452</v>
      </c>
      <c r="C53" t="s">
        <v>1458</v>
      </c>
      <c r="D53">
        <v>184</v>
      </c>
      <c r="E53">
        <v>6</v>
      </c>
      <c r="F53">
        <v>3</v>
      </c>
      <c r="G53" t="s">
        <v>1214</v>
      </c>
      <c r="H53" t="s">
        <v>514</v>
      </c>
    </row>
    <row r="54" spans="1:8">
      <c r="A54" t="s">
        <v>503</v>
      </c>
      <c r="B54" t="s">
        <v>29</v>
      </c>
      <c r="C54" t="s">
        <v>42</v>
      </c>
      <c r="D54">
        <v>124</v>
      </c>
      <c r="E54">
        <v>3</v>
      </c>
      <c r="F54">
        <v>3</v>
      </c>
      <c r="G54" t="s">
        <v>1214</v>
      </c>
      <c r="H54" t="s">
        <v>514</v>
      </c>
    </row>
    <row r="55" spans="1:8">
      <c r="A55" t="s">
        <v>503</v>
      </c>
      <c r="B55" t="s">
        <v>29</v>
      </c>
      <c r="C55" t="s">
        <v>1458</v>
      </c>
      <c r="D55">
        <v>157</v>
      </c>
      <c r="E55">
        <v>2</v>
      </c>
      <c r="F55">
        <v>3</v>
      </c>
      <c r="G55" t="s">
        <v>1214</v>
      </c>
      <c r="H55" t="s">
        <v>514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5"/>
  <sheetViews>
    <sheetView workbookViewId="0"/>
  </sheetViews>
  <sheetFormatPr baseColWidth="10" defaultColWidth="9" defaultRowHeight="13.5"/>
  <cols>
    <col min="1" max="1" width="6.375" customWidth="1"/>
    <col min="2" max="2" width="5.125" customWidth="1"/>
    <col min="3" max="3" width="7" customWidth="1"/>
    <col min="4" max="4" width="7.125" customWidth="1"/>
    <col min="5" max="5" width="5" customWidth="1"/>
    <col min="6" max="6" width="2.875" customWidth="1"/>
    <col min="7" max="7" width="1.5" customWidth="1"/>
    <col min="8" max="8" width="8.75" customWidth="1"/>
    <col min="9" max="9" width="6.5" customWidth="1"/>
  </cols>
  <sheetData>
    <row r="1" spans="1:9" ht="27.75">
      <c r="A1" s="16" t="s">
        <v>26</v>
      </c>
      <c r="B1" s="16" t="s">
        <v>23</v>
      </c>
      <c r="C1" s="16" t="s">
        <v>24</v>
      </c>
      <c r="D1" s="16" t="s">
        <v>1459</v>
      </c>
      <c r="E1" s="16" t="s">
        <v>1233</v>
      </c>
      <c r="F1" s="16" t="s">
        <v>1214</v>
      </c>
      <c r="G1" s="16" t="s">
        <v>1209</v>
      </c>
      <c r="H1" s="16" t="s">
        <v>1234</v>
      </c>
      <c r="I1" s="16" t="s">
        <v>74</v>
      </c>
    </row>
    <row r="2" spans="1:9">
      <c r="A2" t="s">
        <v>512</v>
      </c>
      <c r="B2" t="s">
        <v>41</v>
      </c>
      <c r="C2" t="s">
        <v>40</v>
      </c>
      <c r="D2">
        <v>0</v>
      </c>
      <c r="E2">
        <v>55</v>
      </c>
      <c r="F2">
        <v>6</v>
      </c>
      <c r="G2">
        <v>4</v>
      </c>
      <c r="H2" t="s">
        <v>1214</v>
      </c>
      <c r="I2" t="s">
        <v>514</v>
      </c>
    </row>
    <row r="3" spans="1:9">
      <c r="A3" t="s">
        <v>512</v>
      </c>
      <c r="B3" t="s">
        <v>41</v>
      </c>
      <c r="C3" t="s">
        <v>40</v>
      </c>
      <c r="D3">
        <v>10</v>
      </c>
      <c r="E3">
        <v>60</v>
      </c>
      <c r="F3">
        <v>4</v>
      </c>
      <c r="G3">
        <v>4</v>
      </c>
      <c r="H3" t="s">
        <v>1214</v>
      </c>
      <c r="I3" t="s">
        <v>514</v>
      </c>
    </row>
    <row r="4" spans="1:9">
      <c r="A4" t="s">
        <v>512</v>
      </c>
      <c r="B4" t="s">
        <v>41</v>
      </c>
      <c r="C4" t="s">
        <v>40</v>
      </c>
      <c r="D4">
        <v>20</v>
      </c>
      <c r="E4">
        <v>57.5</v>
      </c>
      <c r="F4">
        <v>5.5</v>
      </c>
      <c r="G4">
        <v>4</v>
      </c>
      <c r="H4" t="s">
        <v>1214</v>
      </c>
      <c r="I4" t="s">
        <v>514</v>
      </c>
    </row>
    <row r="5" spans="1:9">
      <c r="A5" t="s">
        <v>512</v>
      </c>
      <c r="B5" t="s">
        <v>29</v>
      </c>
      <c r="C5" t="s">
        <v>40</v>
      </c>
      <c r="D5">
        <v>0</v>
      </c>
      <c r="E5">
        <v>39.5</v>
      </c>
      <c r="F5">
        <v>2</v>
      </c>
      <c r="G5">
        <v>4</v>
      </c>
      <c r="H5" t="s">
        <v>1214</v>
      </c>
      <c r="I5" t="s">
        <v>514</v>
      </c>
    </row>
    <row r="6" spans="1:9">
      <c r="A6" t="s">
        <v>512</v>
      </c>
      <c r="B6" t="s">
        <v>29</v>
      </c>
      <c r="C6" t="s">
        <v>40</v>
      </c>
      <c r="D6">
        <v>10</v>
      </c>
      <c r="E6">
        <v>39</v>
      </c>
      <c r="F6">
        <v>1.2</v>
      </c>
      <c r="G6">
        <v>4</v>
      </c>
      <c r="H6" t="s">
        <v>1214</v>
      </c>
      <c r="I6" t="s">
        <v>514</v>
      </c>
    </row>
    <row r="7" spans="1:9">
      <c r="A7" t="s">
        <v>512</v>
      </c>
      <c r="B7" t="s">
        <v>29</v>
      </c>
      <c r="C7" t="s">
        <v>40</v>
      </c>
      <c r="D7">
        <v>20</v>
      </c>
      <c r="E7">
        <v>33</v>
      </c>
      <c r="F7">
        <v>2.5</v>
      </c>
      <c r="G7">
        <v>4</v>
      </c>
      <c r="H7" t="s">
        <v>1214</v>
      </c>
      <c r="I7" t="s">
        <v>514</v>
      </c>
    </row>
    <row r="8" spans="1:9">
      <c r="A8" t="s">
        <v>512</v>
      </c>
      <c r="B8" t="s">
        <v>41</v>
      </c>
      <c r="C8" t="s">
        <v>30</v>
      </c>
      <c r="D8">
        <v>0</v>
      </c>
      <c r="E8">
        <v>12.8</v>
      </c>
      <c r="F8">
        <v>0.4</v>
      </c>
      <c r="G8">
        <v>4</v>
      </c>
      <c r="H8" t="s">
        <v>1214</v>
      </c>
      <c r="I8" t="s">
        <v>514</v>
      </c>
    </row>
    <row r="9" spans="1:9">
      <c r="A9" t="s">
        <v>512</v>
      </c>
      <c r="B9" t="s">
        <v>41</v>
      </c>
      <c r="C9" t="s">
        <v>30</v>
      </c>
      <c r="D9">
        <v>10</v>
      </c>
      <c r="E9">
        <v>13</v>
      </c>
      <c r="F9">
        <v>0.8</v>
      </c>
      <c r="G9">
        <v>4</v>
      </c>
      <c r="H9" t="s">
        <v>1214</v>
      </c>
      <c r="I9" t="s">
        <v>514</v>
      </c>
    </row>
    <row r="10" spans="1:9">
      <c r="A10" t="s">
        <v>512</v>
      </c>
      <c r="B10" t="s">
        <v>41</v>
      </c>
      <c r="C10" t="s">
        <v>30</v>
      </c>
      <c r="D10">
        <v>20</v>
      </c>
      <c r="E10">
        <v>13.3</v>
      </c>
      <c r="F10">
        <v>0.7</v>
      </c>
      <c r="G10">
        <v>4</v>
      </c>
      <c r="H10" t="s">
        <v>1214</v>
      </c>
      <c r="I10" t="s">
        <v>514</v>
      </c>
    </row>
    <row r="11" spans="1:9">
      <c r="A11" t="s">
        <v>512</v>
      </c>
      <c r="B11" t="s">
        <v>29</v>
      </c>
      <c r="C11" t="s">
        <v>30</v>
      </c>
      <c r="D11">
        <v>0</v>
      </c>
      <c r="E11">
        <v>9.4</v>
      </c>
      <c r="F11">
        <v>1.1000000000000001</v>
      </c>
      <c r="G11">
        <v>4</v>
      </c>
      <c r="H11" t="s">
        <v>1214</v>
      </c>
      <c r="I11" t="s">
        <v>514</v>
      </c>
    </row>
    <row r="12" spans="1:9">
      <c r="A12" t="s">
        <v>512</v>
      </c>
      <c r="B12" t="s">
        <v>29</v>
      </c>
      <c r="C12" t="s">
        <v>30</v>
      </c>
      <c r="D12">
        <v>10</v>
      </c>
      <c r="E12">
        <v>10.5</v>
      </c>
      <c r="F12">
        <v>1.2</v>
      </c>
      <c r="G12">
        <v>4</v>
      </c>
      <c r="H12" t="s">
        <v>1214</v>
      </c>
      <c r="I12" t="s">
        <v>514</v>
      </c>
    </row>
    <row r="13" spans="1:9">
      <c r="A13" t="s">
        <v>512</v>
      </c>
      <c r="B13" t="s">
        <v>29</v>
      </c>
      <c r="C13" t="s">
        <v>30</v>
      </c>
      <c r="D13">
        <v>20</v>
      </c>
      <c r="E13">
        <v>9.8000000000000007</v>
      </c>
      <c r="F13">
        <v>1</v>
      </c>
      <c r="G13">
        <v>4</v>
      </c>
      <c r="H13" t="s">
        <v>1214</v>
      </c>
      <c r="I13" t="s">
        <v>514</v>
      </c>
    </row>
    <row r="14" spans="1:9">
      <c r="A14" t="s">
        <v>528</v>
      </c>
      <c r="B14" t="s">
        <v>41</v>
      </c>
      <c r="C14" t="s">
        <v>40</v>
      </c>
      <c r="D14">
        <v>0</v>
      </c>
      <c r="E14">
        <v>60</v>
      </c>
      <c r="F14">
        <v>1.5</v>
      </c>
      <c r="G14">
        <v>4</v>
      </c>
      <c r="H14" t="s">
        <v>1214</v>
      </c>
      <c r="I14" t="s">
        <v>514</v>
      </c>
    </row>
    <row r="15" spans="1:9">
      <c r="A15" t="s">
        <v>528</v>
      </c>
      <c r="B15" t="s">
        <v>41</v>
      </c>
      <c r="C15" t="s">
        <v>40</v>
      </c>
      <c r="D15">
        <v>10</v>
      </c>
      <c r="E15">
        <v>61</v>
      </c>
      <c r="F15">
        <v>4.5</v>
      </c>
      <c r="G15">
        <v>4</v>
      </c>
      <c r="H15" t="s">
        <v>1214</v>
      </c>
      <c r="I15" t="s">
        <v>514</v>
      </c>
    </row>
    <row r="16" spans="1:9">
      <c r="A16" t="s">
        <v>528</v>
      </c>
      <c r="B16" t="s">
        <v>41</v>
      </c>
      <c r="C16" t="s">
        <v>40</v>
      </c>
      <c r="D16">
        <v>20</v>
      </c>
      <c r="E16">
        <v>66</v>
      </c>
      <c r="F16">
        <v>3</v>
      </c>
      <c r="G16">
        <v>4</v>
      </c>
      <c r="H16" t="s">
        <v>1214</v>
      </c>
      <c r="I16" t="s">
        <v>514</v>
      </c>
    </row>
    <row r="17" spans="1:9">
      <c r="A17" t="s">
        <v>528</v>
      </c>
      <c r="B17" t="s">
        <v>29</v>
      </c>
      <c r="C17" t="s">
        <v>40</v>
      </c>
      <c r="D17">
        <v>0</v>
      </c>
      <c r="E17">
        <v>34</v>
      </c>
      <c r="F17">
        <v>3.5</v>
      </c>
      <c r="G17">
        <v>4</v>
      </c>
      <c r="H17" t="s">
        <v>1214</v>
      </c>
      <c r="I17" t="s">
        <v>514</v>
      </c>
    </row>
    <row r="18" spans="1:9">
      <c r="A18" t="s">
        <v>528</v>
      </c>
      <c r="B18" t="s">
        <v>29</v>
      </c>
      <c r="C18" t="s">
        <v>40</v>
      </c>
      <c r="D18">
        <v>10</v>
      </c>
      <c r="E18">
        <v>38</v>
      </c>
      <c r="F18">
        <v>3</v>
      </c>
      <c r="G18">
        <v>4</v>
      </c>
      <c r="H18" t="s">
        <v>1214</v>
      </c>
      <c r="I18" t="s">
        <v>514</v>
      </c>
    </row>
    <row r="19" spans="1:9">
      <c r="A19" t="s">
        <v>528</v>
      </c>
      <c r="B19" t="s">
        <v>29</v>
      </c>
      <c r="C19" t="s">
        <v>40</v>
      </c>
      <c r="D19">
        <v>20</v>
      </c>
      <c r="E19">
        <v>38.5</v>
      </c>
      <c r="F19">
        <v>3</v>
      </c>
      <c r="G19">
        <v>4</v>
      </c>
      <c r="H19" t="s">
        <v>1214</v>
      </c>
      <c r="I19" t="s">
        <v>514</v>
      </c>
    </row>
    <row r="20" spans="1:9">
      <c r="A20" t="s">
        <v>528</v>
      </c>
      <c r="B20" t="s">
        <v>41</v>
      </c>
      <c r="C20" t="s">
        <v>30</v>
      </c>
      <c r="D20">
        <v>0</v>
      </c>
      <c r="E20">
        <v>11.8</v>
      </c>
      <c r="F20">
        <v>1.4</v>
      </c>
      <c r="G20">
        <v>4</v>
      </c>
      <c r="H20" t="s">
        <v>1214</v>
      </c>
      <c r="I20" t="s">
        <v>514</v>
      </c>
    </row>
    <row r="21" spans="1:9">
      <c r="A21" t="s">
        <v>528</v>
      </c>
      <c r="B21" t="s">
        <v>41</v>
      </c>
      <c r="C21" t="s">
        <v>30</v>
      </c>
      <c r="D21">
        <v>10</v>
      </c>
      <c r="E21">
        <v>12</v>
      </c>
      <c r="F21">
        <v>1.2</v>
      </c>
      <c r="G21">
        <v>4</v>
      </c>
      <c r="H21" t="s">
        <v>1214</v>
      </c>
      <c r="I21" t="s">
        <v>514</v>
      </c>
    </row>
    <row r="22" spans="1:9">
      <c r="A22" t="s">
        <v>528</v>
      </c>
      <c r="B22" t="s">
        <v>41</v>
      </c>
      <c r="C22" t="s">
        <v>30</v>
      </c>
      <c r="D22">
        <v>20</v>
      </c>
      <c r="E22">
        <v>12.8</v>
      </c>
      <c r="F22">
        <v>1</v>
      </c>
      <c r="G22">
        <v>4</v>
      </c>
      <c r="H22" t="s">
        <v>1214</v>
      </c>
      <c r="I22" t="s">
        <v>514</v>
      </c>
    </row>
    <row r="23" spans="1:9">
      <c r="A23" t="s">
        <v>528</v>
      </c>
      <c r="B23" t="s">
        <v>29</v>
      </c>
      <c r="C23" t="s">
        <v>30</v>
      </c>
      <c r="D23">
        <v>0</v>
      </c>
      <c r="E23">
        <v>4</v>
      </c>
      <c r="F23">
        <v>0.3</v>
      </c>
      <c r="G23">
        <v>4</v>
      </c>
      <c r="H23" t="s">
        <v>1214</v>
      </c>
      <c r="I23" t="s">
        <v>514</v>
      </c>
    </row>
    <row r="24" spans="1:9">
      <c r="A24" t="s">
        <v>528</v>
      </c>
      <c r="B24" t="s">
        <v>29</v>
      </c>
      <c r="C24" t="s">
        <v>30</v>
      </c>
      <c r="D24">
        <v>10</v>
      </c>
      <c r="E24">
        <v>6.5</v>
      </c>
      <c r="F24">
        <v>0.3</v>
      </c>
      <c r="G24">
        <v>4</v>
      </c>
      <c r="H24" t="s">
        <v>1214</v>
      </c>
      <c r="I24" t="s">
        <v>514</v>
      </c>
    </row>
    <row r="25" spans="1:9">
      <c r="A25" t="s">
        <v>528</v>
      </c>
      <c r="B25" t="s">
        <v>29</v>
      </c>
      <c r="C25" t="s">
        <v>30</v>
      </c>
      <c r="D25">
        <v>20</v>
      </c>
      <c r="E25">
        <v>6</v>
      </c>
      <c r="F25">
        <v>0.5</v>
      </c>
      <c r="G25">
        <v>4</v>
      </c>
      <c r="H25" t="s">
        <v>1214</v>
      </c>
      <c r="I25" t="s">
        <v>514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9"/>
  <sheetViews>
    <sheetView workbookViewId="0"/>
  </sheetViews>
  <sheetFormatPr baseColWidth="10" defaultColWidth="9" defaultRowHeight="13.5"/>
  <cols>
    <col min="1" max="1" width="7" customWidth="1"/>
    <col min="2" max="2" width="8.5" customWidth="1"/>
    <col min="3" max="3" width="5" customWidth="1"/>
    <col min="4" max="4" width="3.75" customWidth="1"/>
    <col min="5" max="5" width="1.5" customWidth="1"/>
    <col min="6" max="6" width="8.75" customWidth="1"/>
    <col min="7" max="7" width="6.5" customWidth="1"/>
  </cols>
  <sheetData>
    <row r="1" spans="1:7" ht="27.75">
      <c r="A1" s="17" t="s">
        <v>24</v>
      </c>
      <c r="B1" s="17" t="s">
        <v>25</v>
      </c>
      <c r="C1" s="17" t="s">
        <v>1233</v>
      </c>
      <c r="D1" s="17" t="s">
        <v>1214</v>
      </c>
      <c r="E1" s="17" t="s">
        <v>1209</v>
      </c>
      <c r="F1" s="17" t="s">
        <v>1234</v>
      </c>
      <c r="G1" s="17" t="s">
        <v>74</v>
      </c>
    </row>
    <row r="2" spans="1:7">
      <c r="A2" t="s">
        <v>548</v>
      </c>
      <c r="B2" t="s">
        <v>1460</v>
      </c>
      <c r="C2">
        <v>3.65</v>
      </c>
      <c r="D2">
        <v>0.15</v>
      </c>
      <c r="E2">
        <v>4</v>
      </c>
      <c r="F2" t="s">
        <v>1214</v>
      </c>
      <c r="G2" t="s">
        <v>550</v>
      </c>
    </row>
    <row r="3" spans="1:7">
      <c r="A3" t="s">
        <v>548</v>
      </c>
      <c r="B3" t="s">
        <v>1461</v>
      </c>
      <c r="C3">
        <v>4.3</v>
      </c>
      <c r="D3">
        <v>0.2</v>
      </c>
      <c r="E3">
        <v>4</v>
      </c>
      <c r="F3" t="s">
        <v>1214</v>
      </c>
      <c r="G3" t="s">
        <v>550</v>
      </c>
    </row>
    <row r="4" spans="1:7">
      <c r="A4" t="s">
        <v>548</v>
      </c>
      <c r="B4" t="s">
        <v>1462</v>
      </c>
      <c r="C4">
        <v>4</v>
      </c>
      <c r="D4">
        <v>0.2</v>
      </c>
      <c r="E4">
        <v>4</v>
      </c>
      <c r="F4" t="s">
        <v>1214</v>
      </c>
      <c r="G4" t="s">
        <v>550</v>
      </c>
    </row>
    <row r="5" spans="1:7">
      <c r="A5" t="s">
        <v>548</v>
      </c>
      <c r="B5" t="s">
        <v>1463</v>
      </c>
      <c r="C5">
        <v>3.55</v>
      </c>
      <c r="D5">
        <v>0.12</v>
      </c>
      <c r="E5">
        <v>4</v>
      </c>
      <c r="F5" t="s">
        <v>1214</v>
      </c>
      <c r="G5" t="s">
        <v>550</v>
      </c>
    </row>
    <row r="6" spans="1:7">
      <c r="A6" t="s">
        <v>548</v>
      </c>
      <c r="B6" t="s">
        <v>1464</v>
      </c>
      <c r="C6">
        <v>3.25</v>
      </c>
      <c r="D6">
        <v>0.12</v>
      </c>
      <c r="E6">
        <v>4</v>
      </c>
      <c r="F6" t="s">
        <v>1214</v>
      </c>
      <c r="G6" t="s">
        <v>550</v>
      </c>
    </row>
    <row r="7" spans="1:7">
      <c r="A7" t="s">
        <v>548</v>
      </c>
      <c r="B7" t="s">
        <v>1465</v>
      </c>
      <c r="C7">
        <v>3.85</v>
      </c>
      <c r="D7">
        <v>0.18</v>
      </c>
      <c r="E7">
        <v>4</v>
      </c>
      <c r="F7" t="s">
        <v>1214</v>
      </c>
      <c r="G7" t="s">
        <v>550</v>
      </c>
    </row>
    <row r="8" spans="1:7">
      <c r="A8" t="s">
        <v>548</v>
      </c>
      <c r="B8" t="s">
        <v>1466</v>
      </c>
      <c r="C8">
        <v>3.2</v>
      </c>
      <c r="D8">
        <v>0.15</v>
      </c>
      <c r="E8">
        <v>4</v>
      </c>
      <c r="F8" t="s">
        <v>1214</v>
      </c>
      <c r="G8" t="s">
        <v>550</v>
      </c>
    </row>
    <row r="9" spans="1:7">
      <c r="A9" t="s">
        <v>548</v>
      </c>
      <c r="B9" t="s">
        <v>1467</v>
      </c>
      <c r="C9">
        <v>3.15</v>
      </c>
      <c r="D9">
        <v>0.18</v>
      </c>
      <c r="E9">
        <v>4</v>
      </c>
      <c r="F9" t="s">
        <v>1214</v>
      </c>
      <c r="G9" t="s">
        <v>550</v>
      </c>
    </row>
    <row r="10" spans="1:7">
      <c r="A10" t="s">
        <v>548</v>
      </c>
      <c r="B10" t="s">
        <v>1468</v>
      </c>
      <c r="C10">
        <v>3.55</v>
      </c>
      <c r="D10">
        <v>0.12</v>
      </c>
      <c r="E10">
        <v>4</v>
      </c>
      <c r="F10" t="s">
        <v>1214</v>
      </c>
      <c r="G10" t="s">
        <v>550</v>
      </c>
    </row>
    <row r="11" spans="1:7">
      <c r="A11" t="s">
        <v>40</v>
      </c>
      <c r="B11" t="s">
        <v>1460</v>
      </c>
      <c r="C11">
        <v>4.2</v>
      </c>
      <c r="D11">
        <v>0.12</v>
      </c>
      <c r="E11">
        <v>4</v>
      </c>
      <c r="F11" t="s">
        <v>1214</v>
      </c>
      <c r="G11" t="s">
        <v>550</v>
      </c>
    </row>
    <row r="12" spans="1:7">
      <c r="A12" t="s">
        <v>40</v>
      </c>
      <c r="B12" t="s">
        <v>1461</v>
      </c>
      <c r="C12">
        <v>3.2</v>
      </c>
      <c r="D12">
        <v>0.08</v>
      </c>
      <c r="E12">
        <v>4</v>
      </c>
      <c r="F12" t="s">
        <v>1214</v>
      </c>
      <c r="G12" t="s">
        <v>550</v>
      </c>
    </row>
    <row r="13" spans="1:7">
      <c r="A13" t="s">
        <v>40</v>
      </c>
      <c r="B13" t="s">
        <v>1462</v>
      </c>
      <c r="C13">
        <v>3.65</v>
      </c>
      <c r="D13">
        <v>0.1</v>
      </c>
      <c r="E13">
        <v>4</v>
      </c>
      <c r="F13" t="s">
        <v>1214</v>
      </c>
      <c r="G13" t="s">
        <v>550</v>
      </c>
    </row>
    <row r="14" spans="1:7">
      <c r="A14" t="s">
        <v>40</v>
      </c>
      <c r="B14" t="s">
        <v>1463</v>
      </c>
      <c r="C14">
        <v>3.6</v>
      </c>
      <c r="D14">
        <v>0.1</v>
      </c>
      <c r="E14">
        <v>4</v>
      </c>
      <c r="F14" t="s">
        <v>1214</v>
      </c>
      <c r="G14" t="s">
        <v>550</v>
      </c>
    </row>
    <row r="15" spans="1:7">
      <c r="A15" t="s">
        <v>40</v>
      </c>
      <c r="B15" t="s">
        <v>1464</v>
      </c>
      <c r="C15">
        <v>3.6</v>
      </c>
      <c r="D15">
        <v>0.1</v>
      </c>
      <c r="E15">
        <v>4</v>
      </c>
      <c r="F15" t="s">
        <v>1214</v>
      </c>
      <c r="G15" t="s">
        <v>550</v>
      </c>
    </row>
    <row r="16" spans="1:7">
      <c r="A16" t="s">
        <v>40</v>
      </c>
      <c r="B16" t="s">
        <v>1465</v>
      </c>
      <c r="C16">
        <v>3.7</v>
      </c>
      <c r="D16">
        <v>0.1</v>
      </c>
      <c r="E16">
        <v>4</v>
      </c>
      <c r="F16" t="s">
        <v>1214</v>
      </c>
      <c r="G16" t="s">
        <v>550</v>
      </c>
    </row>
    <row r="17" spans="1:7">
      <c r="A17" t="s">
        <v>40</v>
      </c>
      <c r="B17" t="s">
        <v>1466</v>
      </c>
      <c r="C17">
        <v>2.9</v>
      </c>
      <c r="D17">
        <v>0.1</v>
      </c>
      <c r="E17">
        <v>4</v>
      </c>
      <c r="F17" t="s">
        <v>1214</v>
      </c>
      <c r="G17" t="s">
        <v>550</v>
      </c>
    </row>
    <row r="18" spans="1:7">
      <c r="A18" t="s">
        <v>40</v>
      </c>
      <c r="B18" t="s">
        <v>1467</v>
      </c>
      <c r="C18">
        <v>3</v>
      </c>
      <c r="D18">
        <v>0.1</v>
      </c>
      <c r="E18">
        <v>4</v>
      </c>
      <c r="F18" t="s">
        <v>1214</v>
      </c>
      <c r="G18" t="s">
        <v>550</v>
      </c>
    </row>
    <row r="19" spans="1:7">
      <c r="A19" t="s">
        <v>40</v>
      </c>
      <c r="B19" t="s">
        <v>1468</v>
      </c>
      <c r="C19">
        <v>3.95</v>
      </c>
      <c r="D19">
        <v>0.12</v>
      </c>
      <c r="E19">
        <v>4</v>
      </c>
      <c r="F19" t="s">
        <v>1214</v>
      </c>
      <c r="G19" t="s">
        <v>550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73"/>
  <sheetViews>
    <sheetView workbookViewId="0"/>
  </sheetViews>
  <sheetFormatPr baseColWidth="10" defaultColWidth="9" defaultRowHeight="13.5"/>
  <cols>
    <col min="1" max="1" width="5.125" customWidth="1"/>
    <col min="2" max="2" width="7" customWidth="1"/>
    <col min="3" max="3" width="8" customWidth="1"/>
    <col min="4" max="4" width="8.5" customWidth="1"/>
    <col min="5" max="5" width="5" customWidth="1"/>
    <col min="6" max="6" width="10.25" customWidth="1"/>
    <col min="7" max="7" width="1.5" customWidth="1"/>
    <col min="8" max="8" width="11.25" customWidth="1"/>
    <col min="9" max="9" width="6.875" customWidth="1"/>
    <col min="10" max="10" width="9.125" customWidth="1"/>
    <col min="11" max="11" width="15.75" customWidth="1"/>
  </cols>
  <sheetData>
    <row r="1" spans="1:11" ht="27.75">
      <c r="A1" s="18" t="s">
        <v>23</v>
      </c>
      <c r="B1" s="18" t="s">
        <v>24</v>
      </c>
      <c r="C1" s="18" t="s">
        <v>1469</v>
      </c>
      <c r="D1" s="18" t="s">
        <v>25</v>
      </c>
      <c r="E1" s="18" t="s">
        <v>1233</v>
      </c>
      <c r="F1" s="18" t="s">
        <v>1470</v>
      </c>
      <c r="G1" s="18" t="s">
        <v>1209</v>
      </c>
      <c r="H1" s="18" t="s">
        <v>1471</v>
      </c>
      <c r="I1" s="18" t="s">
        <v>1472</v>
      </c>
      <c r="J1" s="18" t="s">
        <v>74</v>
      </c>
      <c r="K1" s="18" t="s">
        <v>1260</v>
      </c>
    </row>
    <row r="2" spans="1:11">
      <c r="A2" t="s">
        <v>41</v>
      </c>
      <c r="B2" t="s">
        <v>40</v>
      </c>
      <c r="C2" t="s">
        <v>574</v>
      </c>
      <c r="D2" t="s">
        <v>34</v>
      </c>
      <c r="E2">
        <v>17.7</v>
      </c>
      <c r="F2">
        <v>2.6487733009829286</v>
      </c>
      <c r="G2">
        <v>3</v>
      </c>
      <c r="H2">
        <v>7.016</v>
      </c>
      <c r="I2">
        <v>48</v>
      </c>
      <c r="J2" t="s">
        <v>1473</v>
      </c>
      <c r="K2" t="s">
        <v>1474</v>
      </c>
    </row>
    <row r="3" spans="1:11">
      <c r="A3" t="s">
        <v>41</v>
      </c>
      <c r="B3" t="s">
        <v>40</v>
      </c>
      <c r="C3" t="s">
        <v>574</v>
      </c>
      <c r="D3" t="s">
        <v>1475</v>
      </c>
      <c r="E3">
        <v>18.2</v>
      </c>
      <c r="F3">
        <v>2.6487733009829286</v>
      </c>
      <c r="G3">
        <v>3</v>
      </c>
      <c r="H3">
        <v>7.016</v>
      </c>
      <c r="I3">
        <v>48</v>
      </c>
      <c r="J3" t="s">
        <v>1473</v>
      </c>
      <c r="K3" t="s">
        <v>1474</v>
      </c>
    </row>
    <row r="4" spans="1:11">
      <c r="A4" t="s">
        <v>41</v>
      </c>
      <c r="B4" t="s">
        <v>40</v>
      </c>
      <c r="C4" t="s">
        <v>574</v>
      </c>
      <c r="D4" t="s">
        <v>1476</v>
      </c>
      <c r="E4">
        <v>20.8</v>
      </c>
      <c r="F4">
        <v>2.6487733009829286</v>
      </c>
      <c r="G4">
        <v>3</v>
      </c>
      <c r="H4">
        <v>7.016</v>
      </c>
      <c r="I4">
        <v>48</v>
      </c>
      <c r="J4" t="s">
        <v>1473</v>
      </c>
      <c r="K4" t="s">
        <v>1474</v>
      </c>
    </row>
    <row r="5" spans="1:11">
      <c r="A5" t="s">
        <v>41</v>
      </c>
      <c r="B5" t="s">
        <v>40</v>
      </c>
      <c r="C5" t="s">
        <v>582</v>
      </c>
      <c r="D5" t="s">
        <v>34</v>
      </c>
      <c r="E5">
        <v>13.8</v>
      </c>
      <c r="F5">
        <v>2.6487733009829286</v>
      </c>
      <c r="G5">
        <v>3</v>
      </c>
      <c r="H5">
        <v>7.016</v>
      </c>
      <c r="I5">
        <v>48</v>
      </c>
      <c r="J5" t="s">
        <v>1473</v>
      </c>
      <c r="K5" t="s">
        <v>1474</v>
      </c>
    </row>
    <row r="6" spans="1:11">
      <c r="A6" t="s">
        <v>41</v>
      </c>
      <c r="B6" t="s">
        <v>40</v>
      </c>
      <c r="C6" t="s">
        <v>582</v>
      </c>
      <c r="D6" t="s">
        <v>1475</v>
      </c>
      <c r="E6">
        <v>15.3</v>
      </c>
      <c r="F6">
        <v>2.6487733009829286</v>
      </c>
      <c r="G6">
        <v>3</v>
      </c>
      <c r="H6">
        <v>7.016</v>
      </c>
      <c r="I6">
        <v>48</v>
      </c>
      <c r="J6" t="s">
        <v>1473</v>
      </c>
      <c r="K6" t="s">
        <v>1474</v>
      </c>
    </row>
    <row r="7" spans="1:11">
      <c r="A7" t="s">
        <v>41</v>
      </c>
      <c r="B7" t="s">
        <v>40</v>
      </c>
      <c r="C7" t="s">
        <v>582</v>
      </c>
      <c r="D7" t="s">
        <v>1476</v>
      </c>
      <c r="E7">
        <v>17</v>
      </c>
      <c r="F7">
        <v>2.6487733009829286</v>
      </c>
      <c r="G7">
        <v>3</v>
      </c>
      <c r="H7">
        <v>7.016</v>
      </c>
      <c r="I7">
        <v>48</v>
      </c>
      <c r="J7" t="s">
        <v>1473</v>
      </c>
      <c r="K7" t="s">
        <v>1474</v>
      </c>
    </row>
    <row r="8" spans="1:11">
      <c r="A8" t="s">
        <v>41</v>
      </c>
      <c r="B8" t="s">
        <v>40</v>
      </c>
      <c r="C8" t="s">
        <v>586</v>
      </c>
      <c r="D8" t="s">
        <v>34</v>
      </c>
      <c r="E8">
        <v>10</v>
      </c>
      <c r="F8">
        <v>2.6487733009829286</v>
      </c>
      <c r="G8">
        <v>3</v>
      </c>
      <c r="H8">
        <v>7.016</v>
      </c>
      <c r="I8">
        <v>48</v>
      </c>
      <c r="J8" t="s">
        <v>1473</v>
      </c>
      <c r="K8" t="s">
        <v>1474</v>
      </c>
    </row>
    <row r="9" spans="1:11">
      <c r="A9" t="s">
        <v>41</v>
      </c>
      <c r="B9" t="s">
        <v>40</v>
      </c>
      <c r="C9" t="s">
        <v>586</v>
      </c>
      <c r="D9" t="s">
        <v>1475</v>
      </c>
      <c r="E9">
        <v>12</v>
      </c>
      <c r="F9">
        <v>2.6487733009829286</v>
      </c>
      <c r="G9">
        <v>3</v>
      </c>
      <c r="H9">
        <v>7.016</v>
      </c>
      <c r="I9">
        <v>48</v>
      </c>
      <c r="J9" t="s">
        <v>1473</v>
      </c>
      <c r="K9" t="s">
        <v>1474</v>
      </c>
    </row>
    <row r="10" spans="1:11">
      <c r="A10" t="s">
        <v>41</v>
      </c>
      <c r="B10" t="s">
        <v>40</v>
      </c>
      <c r="C10" t="s">
        <v>586</v>
      </c>
      <c r="D10" t="s">
        <v>1476</v>
      </c>
      <c r="E10">
        <v>14.8</v>
      </c>
      <c r="F10">
        <v>2.6487733009829286</v>
      </c>
      <c r="G10">
        <v>3</v>
      </c>
      <c r="H10">
        <v>7.016</v>
      </c>
      <c r="I10">
        <v>48</v>
      </c>
      <c r="J10" t="s">
        <v>1473</v>
      </c>
      <c r="K10" t="s">
        <v>1474</v>
      </c>
    </row>
    <row r="11" spans="1:11">
      <c r="A11" t="s">
        <v>41</v>
      </c>
      <c r="B11" t="s">
        <v>40</v>
      </c>
      <c r="C11" t="s">
        <v>590</v>
      </c>
      <c r="D11" t="s">
        <v>34</v>
      </c>
      <c r="E11">
        <v>7.7</v>
      </c>
      <c r="F11">
        <v>2.6487733009829286</v>
      </c>
      <c r="G11">
        <v>3</v>
      </c>
      <c r="H11">
        <v>7.016</v>
      </c>
      <c r="I11">
        <v>48</v>
      </c>
      <c r="J11" t="s">
        <v>1473</v>
      </c>
      <c r="K11" t="s">
        <v>1474</v>
      </c>
    </row>
    <row r="12" spans="1:11">
      <c r="A12" t="s">
        <v>41</v>
      </c>
      <c r="B12" t="s">
        <v>40</v>
      </c>
      <c r="C12" t="s">
        <v>590</v>
      </c>
      <c r="D12" t="s">
        <v>1475</v>
      </c>
      <c r="E12">
        <v>10.8</v>
      </c>
      <c r="F12">
        <v>2.6487733009829286</v>
      </c>
      <c r="G12">
        <v>3</v>
      </c>
      <c r="H12">
        <v>7.016</v>
      </c>
      <c r="I12">
        <v>48</v>
      </c>
      <c r="J12" t="s">
        <v>1473</v>
      </c>
      <c r="K12" t="s">
        <v>1474</v>
      </c>
    </row>
    <row r="13" spans="1:11">
      <c r="A13" t="s">
        <v>41</v>
      </c>
      <c r="B13" t="s">
        <v>40</v>
      </c>
      <c r="C13" t="s">
        <v>590</v>
      </c>
      <c r="D13" t="s">
        <v>1476</v>
      </c>
      <c r="E13">
        <v>11.5</v>
      </c>
      <c r="F13">
        <v>2.6487733009829286</v>
      </c>
      <c r="G13">
        <v>3</v>
      </c>
      <c r="H13">
        <v>7.016</v>
      </c>
      <c r="I13">
        <v>48</v>
      </c>
      <c r="J13" t="s">
        <v>1473</v>
      </c>
      <c r="K13" t="s">
        <v>1474</v>
      </c>
    </row>
    <row r="14" spans="1:11">
      <c r="A14" t="s">
        <v>29</v>
      </c>
      <c r="B14" t="s">
        <v>40</v>
      </c>
      <c r="C14" t="s">
        <v>574</v>
      </c>
      <c r="D14" t="s">
        <v>34</v>
      </c>
      <c r="E14">
        <v>7.8</v>
      </c>
      <c r="F14">
        <v>2.2790348834539591</v>
      </c>
      <c r="G14">
        <v>3</v>
      </c>
      <c r="H14">
        <v>5.194</v>
      </c>
      <c r="I14">
        <v>48</v>
      </c>
      <c r="J14" t="s">
        <v>1473</v>
      </c>
      <c r="K14" t="s">
        <v>1474</v>
      </c>
    </row>
    <row r="15" spans="1:11">
      <c r="A15" t="s">
        <v>29</v>
      </c>
      <c r="B15" t="s">
        <v>40</v>
      </c>
      <c r="C15" t="s">
        <v>574</v>
      </c>
      <c r="D15" t="s">
        <v>1475</v>
      </c>
      <c r="E15">
        <v>10.5</v>
      </c>
      <c r="F15">
        <v>2.2790348834539591</v>
      </c>
      <c r="G15">
        <v>3</v>
      </c>
      <c r="H15">
        <v>5.194</v>
      </c>
      <c r="I15">
        <v>48</v>
      </c>
      <c r="J15" t="s">
        <v>1473</v>
      </c>
      <c r="K15" t="s">
        <v>1474</v>
      </c>
    </row>
    <row r="16" spans="1:11">
      <c r="A16" t="s">
        <v>29</v>
      </c>
      <c r="B16" t="s">
        <v>40</v>
      </c>
      <c r="C16" t="s">
        <v>574</v>
      </c>
      <c r="D16" t="s">
        <v>1476</v>
      </c>
      <c r="E16">
        <v>12.2</v>
      </c>
      <c r="F16">
        <v>2.2790348834539591</v>
      </c>
      <c r="G16">
        <v>3</v>
      </c>
      <c r="H16">
        <v>5.194</v>
      </c>
      <c r="I16">
        <v>48</v>
      </c>
      <c r="J16" t="s">
        <v>1473</v>
      </c>
      <c r="K16" t="s">
        <v>1474</v>
      </c>
    </row>
    <row r="17" spans="1:11">
      <c r="A17" t="s">
        <v>29</v>
      </c>
      <c r="B17" t="s">
        <v>40</v>
      </c>
      <c r="C17" t="s">
        <v>582</v>
      </c>
      <c r="D17" t="s">
        <v>34</v>
      </c>
      <c r="E17">
        <v>8.1</v>
      </c>
      <c r="F17">
        <v>2.2790348834539591</v>
      </c>
      <c r="G17">
        <v>3</v>
      </c>
      <c r="H17">
        <v>5.194</v>
      </c>
      <c r="I17">
        <v>48</v>
      </c>
      <c r="J17" t="s">
        <v>1473</v>
      </c>
      <c r="K17" t="s">
        <v>1474</v>
      </c>
    </row>
    <row r="18" spans="1:11">
      <c r="A18" t="s">
        <v>29</v>
      </c>
      <c r="B18" t="s">
        <v>40</v>
      </c>
      <c r="C18" t="s">
        <v>582</v>
      </c>
      <c r="D18" t="s">
        <v>1475</v>
      </c>
      <c r="E18">
        <v>9.5</v>
      </c>
      <c r="F18">
        <v>2.2790348834539591</v>
      </c>
      <c r="G18">
        <v>3</v>
      </c>
      <c r="H18">
        <v>5.194</v>
      </c>
      <c r="I18">
        <v>48</v>
      </c>
      <c r="J18" t="s">
        <v>1473</v>
      </c>
      <c r="K18" t="s">
        <v>1474</v>
      </c>
    </row>
    <row r="19" spans="1:11">
      <c r="A19" t="s">
        <v>29</v>
      </c>
      <c r="B19" t="s">
        <v>40</v>
      </c>
      <c r="C19" t="s">
        <v>582</v>
      </c>
      <c r="D19" t="s">
        <v>1476</v>
      </c>
      <c r="E19">
        <v>10.8</v>
      </c>
      <c r="F19">
        <v>2.2790348834539591</v>
      </c>
      <c r="G19">
        <v>3</v>
      </c>
      <c r="H19">
        <v>5.194</v>
      </c>
      <c r="I19">
        <v>48</v>
      </c>
      <c r="J19" t="s">
        <v>1473</v>
      </c>
      <c r="K19" t="s">
        <v>1474</v>
      </c>
    </row>
    <row r="20" spans="1:11">
      <c r="A20" t="s">
        <v>29</v>
      </c>
      <c r="B20" t="s">
        <v>40</v>
      </c>
      <c r="C20" t="s">
        <v>586</v>
      </c>
      <c r="D20" t="s">
        <v>34</v>
      </c>
      <c r="E20">
        <v>5.8</v>
      </c>
      <c r="F20">
        <v>2.2790348834539591</v>
      </c>
      <c r="G20">
        <v>3</v>
      </c>
      <c r="H20">
        <v>5.194</v>
      </c>
      <c r="I20">
        <v>48</v>
      </c>
      <c r="J20" t="s">
        <v>1473</v>
      </c>
      <c r="K20" t="s">
        <v>1474</v>
      </c>
    </row>
    <row r="21" spans="1:11">
      <c r="A21" t="s">
        <v>29</v>
      </c>
      <c r="B21" t="s">
        <v>40</v>
      </c>
      <c r="C21" t="s">
        <v>586</v>
      </c>
      <c r="D21" t="s">
        <v>1475</v>
      </c>
      <c r="E21">
        <v>7.5</v>
      </c>
      <c r="F21">
        <v>2.2790348834539591</v>
      </c>
      <c r="G21">
        <v>3</v>
      </c>
      <c r="H21">
        <v>5.194</v>
      </c>
      <c r="I21">
        <v>48</v>
      </c>
      <c r="J21" t="s">
        <v>1473</v>
      </c>
      <c r="K21" t="s">
        <v>1474</v>
      </c>
    </row>
    <row r="22" spans="1:11">
      <c r="A22" t="s">
        <v>29</v>
      </c>
      <c r="B22" t="s">
        <v>40</v>
      </c>
      <c r="C22" t="s">
        <v>586</v>
      </c>
      <c r="D22" t="s">
        <v>1476</v>
      </c>
      <c r="E22">
        <v>9.1999999999999993</v>
      </c>
      <c r="F22">
        <v>2.2790348834539591</v>
      </c>
      <c r="G22">
        <v>3</v>
      </c>
      <c r="H22">
        <v>5.194</v>
      </c>
      <c r="I22">
        <v>48</v>
      </c>
      <c r="J22" t="s">
        <v>1473</v>
      </c>
      <c r="K22" t="s">
        <v>1474</v>
      </c>
    </row>
    <row r="23" spans="1:11">
      <c r="A23" t="s">
        <v>29</v>
      </c>
      <c r="B23" t="s">
        <v>40</v>
      </c>
      <c r="C23" t="s">
        <v>590</v>
      </c>
      <c r="D23" t="s">
        <v>34</v>
      </c>
      <c r="E23">
        <v>5</v>
      </c>
      <c r="F23">
        <v>2.2790348834539591</v>
      </c>
      <c r="G23">
        <v>3</v>
      </c>
      <c r="H23">
        <v>5.194</v>
      </c>
      <c r="I23">
        <v>48</v>
      </c>
      <c r="J23" t="s">
        <v>1473</v>
      </c>
      <c r="K23" t="s">
        <v>1474</v>
      </c>
    </row>
    <row r="24" spans="1:11">
      <c r="A24" t="s">
        <v>29</v>
      </c>
      <c r="B24" t="s">
        <v>40</v>
      </c>
      <c r="C24" t="s">
        <v>590</v>
      </c>
      <c r="D24" t="s">
        <v>1475</v>
      </c>
      <c r="E24">
        <v>6.8</v>
      </c>
      <c r="F24">
        <v>2.2790348834539591</v>
      </c>
      <c r="G24">
        <v>3</v>
      </c>
      <c r="H24">
        <v>5.194</v>
      </c>
      <c r="I24">
        <v>48</v>
      </c>
      <c r="J24" t="s">
        <v>1473</v>
      </c>
      <c r="K24" t="s">
        <v>1474</v>
      </c>
    </row>
    <row r="25" spans="1:11">
      <c r="A25" t="s">
        <v>29</v>
      </c>
      <c r="B25" t="s">
        <v>40</v>
      </c>
      <c r="C25" t="s">
        <v>590</v>
      </c>
      <c r="D25" t="s">
        <v>1476</v>
      </c>
      <c r="E25">
        <v>8</v>
      </c>
      <c r="F25">
        <v>2.2790348834539591</v>
      </c>
      <c r="G25">
        <v>3</v>
      </c>
      <c r="H25">
        <v>5.194</v>
      </c>
      <c r="I25">
        <v>48</v>
      </c>
      <c r="J25" t="s">
        <v>1473</v>
      </c>
      <c r="K25" t="s">
        <v>1474</v>
      </c>
    </row>
    <row r="26" spans="1:11">
      <c r="A26" t="s">
        <v>41</v>
      </c>
      <c r="B26" t="s">
        <v>30</v>
      </c>
      <c r="C26" t="s">
        <v>574</v>
      </c>
      <c r="D26" t="s">
        <v>34</v>
      </c>
      <c r="E26">
        <v>6.3</v>
      </c>
      <c r="F26">
        <v>1.9595917942265424</v>
      </c>
      <c r="G26">
        <v>3</v>
      </c>
      <c r="H26">
        <v>3.84</v>
      </c>
      <c r="I26">
        <v>48</v>
      </c>
      <c r="J26" t="s">
        <v>1473</v>
      </c>
      <c r="K26" t="s">
        <v>1474</v>
      </c>
    </row>
    <row r="27" spans="1:11">
      <c r="A27" t="s">
        <v>41</v>
      </c>
      <c r="B27" t="s">
        <v>30</v>
      </c>
      <c r="C27" t="s">
        <v>574</v>
      </c>
      <c r="D27" t="s">
        <v>1475</v>
      </c>
      <c r="E27">
        <v>8.6999999999999993</v>
      </c>
      <c r="F27">
        <v>1.9595917942265424</v>
      </c>
      <c r="G27">
        <v>3</v>
      </c>
      <c r="H27">
        <v>3.84</v>
      </c>
      <c r="I27">
        <v>48</v>
      </c>
      <c r="J27" t="s">
        <v>1473</v>
      </c>
      <c r="K27" t="s">
        <v>1474</v>
      </c>
    </row>
    <row r="28" spans="1:11">
      <c r="A28" t="s">
        <v>41</v>
      </c>
      <c r="B28" t="s">
        <v>30</v>
      </c>
      <c r="C28" t="s">
        <v>574</v>
      </c>
      <c r="D28" t="s">
        <v>1476</v>
      </c>
      <c r="E28">
        <v>11.5</v>
      </c>
      <c r="F28">
        <v>1.9595917942265424</v>
      </c>
      <c r="G28">
        <v>3</v>
      </c>
      <c r="H28">
        <v>3.84</v>
      </c>
      <c r="I28">
        <v>48</v>
      </c>
      <c r="J28" t="s">
        <v>1473</v>
      </c>
      <c r="K28" t="s">
        <v>1474</v>
      </c>
    </row>
    <row r="29" spans="1:11">
      <c r="A29" t="s">
        <v>41</v>
      </c>
      <c r="B29" t="s">
        <v>30</v>
      </c>
      <c r="C29" t="s">
        <v>582</v>
      </c>
      <c r="D29" t="s">
        <v>34</v>
      </c>
      <c r="E29">
        <v>6</v>
      </c>
      <c r="F29">
        <v>1.9595917942265424</v>
      </c>
      <c r="G29">
        <v>3</v>
      </c>
      <c r="H29">
        <v>3.84</v>
      </c>
      <c r="I29">
        <v>48</v>
      </c>
      <c r="J29" t="s">
        <v>1473</v>
      </c>
      <c r="K29" t="s">
        <v>1474</v>
      </c>
    </row>
    <row r="30" spans="1:11">
      <c r="A30" t="s">
        <v>41</v>
      </c>
      <c r="B30" t="s">
        <v>30</v>
      </c>
      <c r="C30" t="s">
        <v>582</v>
      </c>
      <c r="D30" t="s">
        <v>1475</v>
      </c>
      <c r="E30">
        <v>7.6</v>
      </c>
      <c r="F30">
        <v>1.9595917942265424</v>
      </c>
      <c r="G30">
        <v>3</v>
      </c>
      <c r="H30">
        <v>3.84</v>
      </c>
      <c r="I30">
        <v>48</v>
      </c>
      <c r="J30" t="s">
        <v>1473</v>
      </c>
      <c r="K30" t="s">
        <v>1474</v>
      </c>
    </row>
    <row r="31" spans="1:11">
      <c r="A31" t="s">
        <v>41</v>
      </c>
      <c r="B31" t="s">
        <v>30</v>
      </c>
      <c r="C31" t="s">
        <v>582</v>
      </c>
      <c r="D31" t="s">
        <v>1476</v>
      </c>
      <c r="E31">
        <v>10</v>
      </c>
      <c r="F31">
        <v>1.9595917942265424</v>
      </c>
      <c r="G31">
        <v>3</v>
      </c>
      <c r="H31">
        <v>3.84</v>
      </c>
      <c r="I31">
        <v>48</v>
      </c>
      <c r="J31" t="s">
        <v>1473</v>
      </c>
      <c r="K31" t="s">
        <v>1474</v>
      </c>
    </row>
    <row r="32" spans="1:11">
      <c r="A32" t="s">
        <v>41</v>
      </c>
      <c r="B32" t="s">
        <v>30</v>
      </c>
      <c r="C32" t="s">
        <v>586</v>
      </c>
      <c r="D32" t="s">
        <v>34</v>
      </c>
      <c r="E32">
        <v>4.2</v>
      </c>
      <c r="F32">
        <v>1.9595917942265424</v>
      </c>
      <c r="G32">
        <v>3</v>
      </c>
      <c r="H32">
        <v>3.84</v>
      </c>
      <c r="I32">
        <v>48</v>
      </c>
      <c r="J32" t="s">
        <v>1473</v>
      </c>
      <c r="K32" t="s">
        <v>1474</v>
      </c>
    </row>
    <row r="33" spans="1:11">
      <c r="A33" t="s">
        <v>41</v>
      </c>
      <c r="B33" t="s">
        <v>30</v>
      </c>
      <c r="C33" t="s">
        <v>586</v>
      </c>
      <c r="D33" t="s">
        <v>1475</v>
      </c>
      <c r="E33">
        <v>4.7</v>
      </c>
      <c r="F33">
        <v>1.9595917942265424</v>
      </c>
      <c r="G33">
        <v>3</v>
      </c>
      <c r="H33">
        <v>3.84</v>
      </c>
      <c r="I33">
        <v>48</v>
      </c>
      <c r="J33" t="s">
        <v>1473</v>
      </c>
      <c r="K33" t="s">
        <v>1474</v>
      </c>
    </row>
    <row r="34" spans="1:11">
      <c r="A34" t="s">
        <v>41</v>
      </c>
      <c r="B34" t="s">
        <v>30</v>
      </c>
      <c r="C34" t="s">
        <v>586</v>
      </c>
      <c r="D34" t="s">
        <v>1476</v>
      </c>
      <c r="E34">
        <v>7</v>
      </c>
      <c r="F34">
        <v>1.9595917942265424</v>
      </c>
      <c r="G34">
        <v>3</v>
      </c>
      <c r="H34">
        <v>3.84</v>
      </c>
      <c r="I34">
        <v>48</v>
      </c>
      <c r="J34" t="s">
        <v>1473</v>
      </c>
      <c r="K34" t="s">
        <v>1474</v>
      </c>
    </row>
    <row r="35" spans="1:11">
      <c r="A35" t="s">
        <v>41</v>
      </c>
      <c r="B35" t="s">
        <v>30</v>
      </c>
      <c r="C35" t="s">
        <v>590</v>
      </c>
      <c r="D35" t="s">
        <v>34</v>
      </c>
      <c r="E35">
        <v>3.8</v>
      </c>
      <c r="F35">
        <v>1.9595917942265424</v>
      </c>
      <c r="G35">
        <v>3</v>
      </c>
      <c r="H35">
        <v>3.84</v>
      </c>
      <c r="I35">
        <v>48</v>
      </c>
      <c r="J35" t="s">
        <v>1473</v>
      </c>
      <c r="K35" t="s">
        <v>1474</v>
      </c>
    </row>
    <row r="36" spans="1:11">
      <c r="A36" t="s">
        <v>41</v>
      </c>
      <c r="B36" t="s">
        <v>30</v>
      </c>
      <c r="C36" t="s">
        <v>590</v>
      </c>
      <c r="D36" t="s">
        <v>1475</v>
      </c>
      <c r="E36">
        <v>4.3</v>
      </c>
      <c r="F36">
        <v>1.9595917942265424</v>
      </c>
      <c r="G36">
        <v>3</v>
      </c>
      <c r="H36">
        <v>3.84</v>
      </c>
      <c r="I36">
        <v>48</v>
      </c>
      <c r="J36" t="s">
        <v>1473</v>
      </c>
      <c r="K36" t="s">
        <v>1474</v>
      </c>
    </row>
    <row r="37" spans="1:11">
      <c r="A37" t="s">
        <v>41</v>
      </c>
      <c r="B37" t="s">
        <v>30</v>
      </c>
      <c r="C37" t="s">
        <v>590</v>
      </c>
      <c r="D37" t="s">
        <v>1476</v>
      </c>
      <c r="E37">
        <v>6.5</v>
      </c>
      <c r="F37">
        <v>1.9595917942265424</v>
      </c>
      <c r="G37">
        <v>3</v>
      </c>
      <c r="H37">
        <v>3.84</v>
      </c>
      <c r="I37">
        <v>48</v>
      </c>
      <c r="J37" t="s">
        <v>1473</v>
      </c>
      <c r="K37" t="s">
        <v>1474</v>
      </c>
    </row>
    <row r="38" spans="1:11">
      <c r="A38" t="s">
        <v>29</v>
      </c>
      <c r="B38" t="s">
        <v>30</v>
      </c>
      <c r="C38" t="s">
        <v>574</v>
      </c>
      <c r="D38" t="s">
        <v>34</v>
      </c>
      <c r="E38">
        <v>7.5</v>
      </c>
      <c r="F38">
        <v>1.8886503117305755</v>
      </c>
      <c r="G38">
        <v>3</v>
      </c>
      <c r="H38">
        <v>3.5670000000000002</v>
      </c>
      <c r="I38">
        <v>48</v>
      </c>
      <c r="J38" t="s">
        <v>1473</v>
      </c>
      <c r="K38" t="s">
        <v>1474</v>
      </c>
    </row>
    <row r="39" spans="1:11">
      <c r="A39" t="s">
        <v>29</v>
      </c>
      <c r="B39" t="s">
        <v>30</v>
      </c>
      <c r="C39" t="s">
        <v>574</v>
      </c>
      <c r="D39" t="s">
        <v>1475</v>
      </c>
      <c r="E39">
        <v>8.8000000000000007</v>
      </c>
      <c r="F39">
        <v>1.8886503117305755</v>
      </c>
      <c r="G39">
        <v>3</v>
      </c>
      <c r="H39">
        <v>3.5670000000000002</v>
      </c>
      <c r="I39">
        <v>48</v>
      </c>
      <c r="J39" t="s">
        <v>1473</v>
      </c>
      <c r="K39" t="s">
        <v>1474</v>
      </c>
    </row>
    <row r="40" spans="1:11">
      <c r="A40" t="s">
        <v>29</v>
      </c>
      <c r="B40" t="s">
        <v>30</v>
      </c>
      <c r="C40" t="s">
        <v>574</v>
      </c>
      <c r="D40" t="s">
        <v>1476</v>
      </c>
      <c r="E40">
        <v>9</v>
      </c>
      <c r="F40">
        <v>1.8886503117305755</v>
      </c>
      <c r="G40">
        <v>3</v>
      </c>
      <c r="H40">
        <v>3.5670000000000002</v>
      </c>
      <c r="I40">
        <v>48</v>
      </c>
      <c r="J40" t="s">
        <v>1473</v>
      </c>
      <c r="K40" t="s">
        <v>1474</v>
      </c>
    </row>
    <row r="41" spans="1:11">
      <c r="A41" t="s">
        <v>29</v>
      </c>
      <c r="B41" t="s">
        <v>30</v>
      </c>
      <c r="C41" t="s">
        <v>582</v>
      </c>
      <c r="D41" t="s">
        <v>34</v>
      </c>
      <c r="E41">
        <v>8.3000000000000007</v>
      </c>
      <c r="F41">
        <v>1.8886503117305755</v>
      </c>
      <c r="G41">
        <v>3</v>
      </c>
      <c r="H41">
        <v>3.5670000000000002</v>
      </c>
      <c r="I41">
        <v>48</v>
      </c>
      <c r="J41" t="s">
        <v>1473</v>
      </c>
      <c r="K41" t="s">
        <v>1474</v>
      </c>
    </row>
    <row r="42" spans="1:11">
      <c r="A42" t="s">
        <v>29</v>
      </c>
      <c r="B42" t="s">
        <v>30</v>
      </c>
      <c r="C42" t="s">
        <v>582</v>
      </c>
      <c r="D42" t="s">
        <v>1475</v>
      </c>
      <c r="E42">
        <v>9.3000000000000007</v>
      </c>
      <c r="F42">
        <v>1.8886503117305755</v>
      </c>
      <c r="G42">
        <v>3</v>
      </c>
      <c r="H42">
        <v>3.5670000000000002</v>
      </c>
      <c r="I42">
        <v>48</v>
      </c>
      <c r="J42" t="s">
        <v>1473</v>
      </c>
      <c r="K42" t="s">
        <v>1474</v>
      </c>
    </row>
    <row r="43" spans="1:11">
      <c r="A43" t="s">
        <v>29</v>
      </c>
      <c r="B43" t="s">
        <v>30</v>
      </c>
      <c r="C43" t="s">
        <v>582</v>
      </c>
      <c r="D43" t="s">
        <v>1476</v>
      </c>
      <c r="E43">
        <v>10.8</v>
      </c>
      <c r="F43">
        <v>1.8886503117305755</v>
      </c>
      <c r="G43">
        <v>3</v>
      </c>
      <c r="H43">
        <v>3.5670000000000002</v>
      </c>
      <c r="I43">
        <v>48</v>
      </c>
      <c r="J43" t="s">
        <v>1473</v>
      </c>
      <c r="K43" t="s">
        <v>1474</v>
      </c>
    </row>
    <row r="44" spans="1:11">
      <c r="A44" t="s">
        <v>29</v>
      </c>
      <c r="B44" t="s">
        <v>30</v>
      </c>
      <c r="C44" t="s">
        <v>586</v>
      </c>
      <c r="D44" t="s">
        <v>34</v>
      </c>
      <c r="E44">
        <v>5</v>
      </c>
      <c r="F44">
        <v>1.8886503117305755</v>
      </c>
      <c r="G44">
        <v>3</v>
      </c>
      <c r="H44">
        <v>3.5670000000000002</v>
      </c>
      <c r="I44">
        <v>48</v>
      </c>
      <c r="J44" t="s">
        <v>1473</v>
      </c>
      <c r="K44" t="s">
        <v>1474</v>
      </c>
    </row>
    <row r="45" spans="1:11">
      <c r="A45" t="s">
        <v>29</v>
      </c>
      <c r="B45" t="s">
        <v>30</v>
      </c>
      <c r="C45" t="s">
        <v>586</v>
      </c>
      <c r="D45" t="s">
        <v>1475</v>
      </c>
      <c r="E45">
        <v>6</v>
      </c>
      <c r="F45">
        <v>1.8886503117305755</v>
      </c>
      <c r="G45">
        <v>3</v>
      </c>
      <c r="H45">
        <v>3.5670000000000002</v>
      </c>
      <c r="I45">
        <v>48</v>
      </c>
      <c r="J45" t="s">
        <v>1473</v>
      </c>
      <c r="K45" t="s">
        <v>1474</v>
      </c>
    </row>
    <row r="46" spans="1:11">
      <c r="A46" t="s">
        <v>29</v>
      </c>
      <c r="B46" t="s">
        <v>30</v>
      </c>
      <c r="C46" t="s">
        <v>586</v>
      </c>
      <c r="D46" t="s">
        <v>1476</v>
      </c>
      <c r="E46">
        <v>8</v>
      </c>
      <c r="F46">
        <v>1.8886503117305755</v>
      </c>
      <c r="G46">
        <v>3</v>
      </c>
      <c r="H46">
        <v>3.5670000000000002</v>
      </c>
      <c r="I46">
        <v>48</v>
      </c>
      <c r="J46" t="s">
        <v>1473</v>
      </c>
      <c r="K46" t="s">
        <v>1474</v>
      </c>
    </row>
    <row r="47" spans="1:11">
      <c r="A47" t="s">
        <v>29</v>
      </c>
      <c r="B47" t="s">
        <v>30</v>
      </c>
      <c r="C47" t="s">
        <v>590</v>
      </c>
      <c r="D47" t="s">
        <v>34</v>
      </c>
      <c r="E47">
        <v>3</v>
      </c>
      <c r="F47">
        <v>1.8886503117305755</v>
      </c>
      <c r="G47">
        <v>3</v>
      </c>
      <c r="H47">
        <v>3.5670000000000002</v>
      </c>
      <c r="I47">
        <v>48</v>
      </c>
      <c r="J47" t="s">
        <v>1473</v>
      </c>
      <c r="K47" t="s">
        <v>1474</v>
      </c>
    </row>
    <row r="48" spans="1:11">
      <c r="A48" t="s">
        <v>29</v>
      </c>
      <c r="B48" t="s">
        <v>30</v>
      </c>
      <c r="C48" t="s">
        <v>590</v>
      </c>
      <c r="D48" t="s">
        <v>1475</v>
      </c>
      <c r="E48">
        <v>4.5</v>
      </c>
      <c r="F48">
        <v>1.8886503117305755</v>
      </c>
      <c r="G48">
        <v>3</v>
      </c>
      <c r="H48">
        <v>3.5670000000000002</v>
      </c>
      <c r="I48">
        <v>48</v>
      </c>
      <c r="J48" t="s">
        <v>1473</v>
      </c>
      <c r="K48" t="s">
        <v>1474</v>
      </c>
    </row>
    <row r="49" spans="1:11">
      <c r="A49" t="s">
        <v>29</v>
      </c>
      <c r="B49" t="s">
        <v>30</v>
      </c>
      <c r="C49" t="s">
        <v>590</v>
      </c>
      <c r="D49" t="s">
        <v>1476</v>
      </c>
      <c r="E49">
        <v>5.8</v>
      </c>
      <c r="F49">
        <v>1.8886503117305755</v>
      </c>
      <c r="G49">
        <v>3</v>
      </c>
      <c r="H49">
        <v>3.5670000000000002</v>
      </c>
      <c r="I49">
        <v>48</v>
      </c>
      <c r="J49" t="s">
        <v>1473</v>
      </c>
      <c r="K49" t="s">
        <v>1474</v>
      </c>
    </row>
    <row r="50" spans="1:11">
      <c r="A50" t="s">
        <v>41</v>
      </c>
      <c r="B50" t="s">
        <v>337</v>
      </c>
      <c r="C50" t="s">
        <v>574</v>
      </c>
      <c r="D50" t="s">
        <v>34</v>
      </c>
      <c r="E50">
        <v>5.4</v>
      </c>
      <c r="F50">
        <v>1.7927074496414634</v>
      </c>
      <c r="G50">
        <v>3</v>
      </c>
      <c r="H50">
        <v>3.2138</v>
      </c>
      <c r="I50">
        <v>48</v>
      </c>
      <c r="J50" t="s">
        <v>1473</v>
      </c>
      <c r="K50" t="s">
        <v>1474</v>
      </c>
    </row>
    <row r="51" spans="1:11">
      <c r="A51" t="s">
        <v>41</v>
      </c>
      <c r="B51" t="s">
        <v>337</v>
      </c>
      <c r="C51" t="s">
        <v>574</v>
      </c>
      <c r="D51" t="s">
        <v>1475</v>
      </c>
      <c r="E51">
        <v>6.5</v>
      </c>
      <c r="F51">
        <v>1.7927074496414634</v>
      </c>
      <c r="G51">
        <v>3</v>
      </c>
      <c r="H51">
        <v>3.2138</v>
      </c>
      <c r="I51">
        <v>48</v>
      </c>
      <c r="J51" t="s">
        <v>1473</v>
      </c>
      <c r="K51" t="s">
        <v>1474</v>
      </c>
    </row>
    <row r="52" spans="1:11">
      <c r="A52" t="s">
        <v>41</v>
      </c>
      <c r="B52" t="s">
        <v>337</v>
      </c>
      <c r="C52" t="s">
        <v>574</v>
      </c>
      <c r="D52" t="s">
        <v>1476</v>
      </c>
      <c r="E52">
        <v>8.1999999999999993</v>
      </c>
      <c r="F52">
        <v>1.7927074496414634</v>
      </c>
      <c r="G52">
        <v>3</v>
      </c>
      <c r="H52">
        <v>3.2138</v>
      </c>
      <c r="I52">
        <v>48</v>
      </c>
      <c r="J52" t="s">
        <v>1473</v>
      </c>
      <c r="K52" t="s">
        <v>1474</v>
      </c>
    </row>
    <row r="53" spans="1:11">
      <c r="A53" t="s">
        <v>41</v>
      </c>
      <c r="B53" t="s">
        <v>337</v>
      </c>
      <c r="C53" t="s">
        <v>582</v>
      </c>
      <c r="D53" t="s">
        <v>34</v>
      </c>
      <c r="E53">
        <v>4.9000000000000004</v>
      </c>
      <c r="F53">
        <v>1.7927074496414634</v>
      </c>
      <c r="G53">
        <v>3</v>
      </c>
      <c r="H53">
        <v>3.2138</v>
      </c>
      <c r="I53">
        <v>48</v>
      </c>
      <c r="J53" t="s">
        <v>1473</v>
      </c>
      <c r="K53" t="s">
        <v>1474</v>
      </c>
    </row>
    <row r="54" spans="1:11">
      <c r="A54" t="s">
        <v>41</v>
      </c>
      <c r="B54" t="s">
        <v>337</v>
      </c>
      <c r="C54" t="s">
        <v>582</v>
      </c>
      <c r="D54" t="s">
        <v>1475</v>
      </c>
      <c r="E54">
        <v>5.8</v>
      </c>
      <c r="F54">
        <v>1.7927074496414634</v>
      </c>
      <c r="G54">
        <v>3</v>
      </c>
      <c r="H54">
        <v>3.2138</v>
      </c>
      <c r="I54">
        <v>48</v>
      </c>
      <c r="J54" t="s">
        <v>1473</v>
      </c>
      <c r="K54" t="s">
        <v>1474</v>
      </c>
    </row>
    <row r="55" spans="1:11">
      <c r="A55" t="s">
        <v>41</v>
      </c>
      <c r="B55" t="s">
        <v>337</v>
      </c>
      <c r="C55" t="s">
        <v>582</v>
      </c>
      <c r="D55" t="s">
        <v>1476</v>
      </c>
      <c r="E55">
        <v>7.1</v>
      </c>
      <c r="F55">
        <v>1.7927074496414634</v>
      </c>
      <c r="G55">
        <v>3</v>
      </c>
      <c r="H55">
        <v>3.2138</v>
      </c>
      <c r="I55">
        <v>48</v>
      </c>
      <c r="J55" t="s">
        <v>1473</v>
      </c>
      <c r="K55" t="s">
        <v>1474</v>
      </c>
    </row>
    <row r="56" spans="1:11">
      <c r="A56" t="s">
        <v>41</v>
      </c>
      <c r="B56" t="s">
        <v>337</v>
      </c>
      <c r="C56" t="s">
        <v>586</v>
      </c>
      <c r="D56" t="s">
        <v>34</v>
      </c>
      <c r="E56">
        <v>3.7</v>
      </c>
      <c r="F56">
        <v>1.7927074496414634</v>
      </c>
      <c r="G56">
        <v>3</v>
      </c>
      <c r="H56">
        <v>3.2138</v>
      </c>
      <c r="I56">
        <v>48</v>
      </c>
      <c r="J56" t="s">
        <v>1473</v>
      </c>
      <c r="K56" t="s">
        <v>1474</v>
      </c>
    </row>
    <row r="57" spans="1:11">
      <c r="A57" t="s">
        <v>41</v>
      </c>
      <c r="B57" t="s">
        <v>337</v>
      </c>
      <c r="C57" t="s">
        <v>586</v>
      </c>
      <c r="D57" t="s">
        <v>1475</v>
      </c>
      <c r="E57">
        <v>4.5999999999999996</v>
      </c>
      <c r="F57">
        <v>1.7927074496414634</v>
      </c>
      <c r="G57">
        <v>3</v>
      </c>
      <c r="H57">
        <v>3.2138</v>
      </c>
      <c r="I57">
        <v>48</v>
      </c>
      <c r="J57" t="s">
        <v>1473</v>
      </c>
      <c r="K57" t="s">
        <v>1474</v>
      </c>
    </row>
    <row r="58" spans="1:11">
      <c r="A58" t="s">
        <v>41</v>
      </c>
      <c r="B58" t="s">
        <v>337</v>
      </c>
      <c r="C58" t="s">
        <v>586</v>
      </c>
      <c r="D58" t="s">
        <v>1476</v>
      </c>
      <c r="E58">
        <v>5.6</v>
      </c>
      <c r="F58">
        <v>1.7927074496414634</v>
      </c>
      <c r="G58">
        <v>3</v>
      </c>
      <c r="H58">
        <v>3.2138</v>
      </c>
      <c r="I58">
        <v>48</v>
      </c>
      <c r="J58" t="s">
        <v>1473</v>
      </c>
      <c r="K58" t="s">
        <v>1474</v>
      </c>
    </row>
    <row r="59" spans="1:11">
      <c r="A59" t="s">
        <v>41</v>
      </c>
      <c r="B59" t="s">
        <v>337</v>
      </c>
      <c r="C59" t="s">
        <v>590</v>
      </c>
      <c r="D59" t="s">
        <v>34</v>
      </c>
      <c r="E59">
        <v>2.5</v>
      </c>
      <c r="F59">
        <v>1.7927074496414634</v>
      </c>
      <c r="G59">
        <v>3</v>
      </c>
      <c r="H59">
        <v>3.2138</v>
      </c>
      <c r="I59">
        <v>48</v>
      </c>
      <c r="J59" t="s">
        <v>1473</v>
      </c>
      <c r="K59" t="s">
        <v>1474</v>
      </c>
    </row>
    <row r="60" spans="1:11">
      <c r="A60" t="s">
        <v>41</v>
      </c>
      <c r="B60" t="s">
        <v>337</v>
      </c>
      <c r="C60" t="s">
        <v>590</v>
      </c>
      <c r="D60" t="s">
        <v>1475</v>
      </c>
      <c r="E60">
        <v>3.2</v>
      </c>
      <c r="F60">
        <v>1.7927074496414634</v>
      </c>
      <c r="G60">
        <v>3</v>
      </c>
      <c r="H60">
        <v>3.2138</v>
      </c>
      <c r="I60">
        <v>48</v>
      </c>
      <c r="J60" t="s">
        <v>1473</v>
      </c>
      <c r="K60" t="s">
        <v>1474</v>
      </c>
    </row>
    <row r="61" spans="1:11">
      <c r="A61" t="s">
        <v>41</v>
      </c>
      <c r="B61" t="s">
        <v>337</v>
      </c>
      <c r="C61" t="s">
        <v>590</v>
      </c>
      <c r="D61" t="s">
        <v>1476</v>
      </c>
      <c r="E61">
        <v>4.4000000000000004</v>
      </c>
      <c r="F61">
        <v>1.7927074496414634</v>
      </c>
      <c r="G61">
        <v>3</v>
      </c>
      <c r="H61">
        <v>3.2138</v>
      </c>
      <c r="I61">
        <v>48</v>
      </c>
      <c r="J61" t="s">
        <v>1473</v>
      </c>
      <c r="K61" t="s">
        <v>1474</v>
      </c>
    </row>
    <row r="62" spans="1:11">
      <c r="A62" t="s">
        <v>29</v>
      </c>
      <c r="B62" t="s">
        <v>337</v>
      </c>
      <c r="C62" t="s">
        <v>574</v>
      </c>
      <c r="D62" t="s">
        <v>34</v>
      </c>
      <c r="E62">
        <v>4.8</v>
      </c>
      <c r="F62">
        <v>0.7235329985563892</v>
      </c>
      <c r="G62">
        <v>3</v>
      </c>
      <c r="H62">
        <v>0.52349999999999997</v>
      </c>
      <c r="I62">
        <v>48</v>
      </c>
      <c r="J62" t="s">
        <v>1473</v>
      </c>
      <c r="K62" t="s">
        <v>1474</v>
      </c>
    </row>
    <row r="63" spans="1:11">
      <c r="A63" t="s">
        <v>29</v>
      </c>
      <c r="B63" t="s">
        <v>337</v>
      </c>
      <c r="C63" t="s">
        <v>574</v>
      </c>
      <c r="D63" t="s">
        <v>1475</v>
      </c>
      <c r="E63">
        <v>5.6</v>
      </c>
      <c r="F63">
        <v>0.7235329985563892</v>
      </c>
      <c r="G63">
        <v>3</v>
      </c>
      <c r="H63">
        <v>0.52349999999999997</v>
      </c>
      <c r="I63">
        <v>48</v>
      </c>
      <c r="J63" t="s">
        <v>1473</v>
      </c>
      <c r="K63" t="s">
        <v>1474</v>
      </c>
    </row>
    <row r="64" spans="1:11">
      <c r="A64" t="s">
        <v>29</v>
      </c>
      <c r="B64" t="s">
        <v>337</v>
      </c>
      <c r="C64" t="s">
        <v>574</v>
      </c>
      <c r="D64" t="s">
        <v>1476</v>
      </c>
      <c r="E64">
        <v>6.7</v>
      </c>
      <c r="F64">
        <v>0.7235329985563892</v>
      </c>
      <c r="G64">
        <v>3</v>
      </c>
      <c r="H64">
        <v>0.52349999999999997</v>
      </c>
      <c r="I64">
        <v>48</v>
      </c>
      <c r="J64" t="s">
        <v>1473</v>
      </c>
      <c r="K64" t="s">
        <v>1474</v>
      </c>
    </row>
    <row r="65" spans="1:11">
      <c r="A65" t="s">
        <v>29</v>
      </c>
      <c r="B65" t="s">
        <v>337</v>
      </c>
      <c r="C65" t="s">
        <v>582</v>
      </c>
      <c r="D65" t="s">
        <v>34</v>
      </c>
      <c r="E65">
        <v>4.0999999999999996</v>
      </c>
      <c r="F65">
        <v>0.7235329985563892</v>
      </c>
      <c r="G65">
        <v>3</v>
      </c>
      <c r="H65">
        <v>0.52349999999999997</v>
      </c>
      <c r="I65">
        <v>48</v>
      </c>
      <c r="J65" t="s">
        <v>1473</v>
      </c>
      <c r="K65" t="s">
        <v>1474</v>
      </c>
    </row>
    <row r="66" spans="1:11">
      <c r="A66" t="s">
        <v>29</v>
      </c>
      <c r="B66" t="s">
        <v>337</v>
      </c>
      <c r="C66" t="s">
        <v>582</v>
      </c>
      <c r="D66" t="s">
        <v>1475</v>
      </c>
      <c r="E66">
        <v>4.5999999999999996</v>
      </c>
      <c r="F66">
        <v>0.7235329985563892</v>
      </c>
      <c r="G66">
        <v>3</v>
      </c>
      <c r="H66">
        <v>0.52349999999999997</v>
      </c>
      <c r="I66">
        <v>48</v>
      </c>
      <c r="J66" t="s">
        <v>1473</v>
      </c>
      <c r="K66" t="s">
        <v>1474</v>
      </c>
    </row>
    <row r="67" spans="1:11">
      <c r="A67" t="s">
        <v>29</v>
      </c>
      <c r="B67" t="s">
        <v>337</v>
      </c>
      <c r="C67" t="s">
        <v>582</v>
      </c>
      <c r="D67" t="s">
        <v>1476</v>
      </c>
      <c r="E67">
        <v>5.6</v>
      </c>
      <c r="F67">
        <v>0.7235329985563892</v>
      </c>
      <c r="G67">
        <v>3</v>
      </c>
      <c r="H67">
        <v>0.52349999999999997</v>
      </c>
      <c r="I67">
        <v>48</v>
      </c>
      <c r="J67" t="s">
        <v>1473</v>
      </c>
      <c r="K67" t="s">
        <v>1474</v>
      </c>
    </row>
    <row r="68" spans="1:11">
      <c r="A68" t="s">
        <v>29</v>
      </c>
      <c r="B68" t="s">
        <v>337</v>
      </c>
      <c r="C68" t="s">
        <v>586</v>
      </c>
      <c r="D68" t="s">
        <v>34</v>
      </c>
      <c r="E68">
        <v>3</v>
      </c>
      <c r="F68">
        <v>0.7235329985563892</v>
      </c>
      <c r="G68">
        <v>3</v>
      </c>
      <c r="H68">
        <v>0.52349999999999997</v>
      </c>
      <c r="I68">
        <v>48</v>
      </c>
      <c r="J68" t="s">
        <v>1473</v>
      </c>
      <c r="K68" t="s">
        <v>1474</v>
      </c>
    </row>
    <row r="69" spans="1:11">
      <c r="A69" t="s">
        <v>29</v>
      </c>
      <c r="B69" t="s">
        <v>337</v>
      </c>
      <c r="C69" t="s">
        <v>586</v>
      </c>
      <c r="D69" t="s">
        <v>1475</v>
      </c>
      <c r="E69">
        <v>3.7</v>
      </c>
      <c r="F69">
        <v>0.7235329985563892</v>
      </c>
      <c r="G69">
        <v>3</v>
      </c>
      <c r="H69">
        <v>0.52349999999999997</v>
      </c>
      <c r="I69">
        <v>48</v>
      </c>
      <c r="J69" t="s">
        <v>1473</v>
      </c>
      <c r="K69" t="s">
        <v>1474</v>
      </c>
    </row>
    <row r="70" spans="1:11">
      <c r="A70" t="s">
        <v>29</v>
      </c>
      <c r="B70" t="s">
        <v>337</v>
      </c>
      <c r="C70" t="s">
        <v>586</v>
      </c>
      <c r="D70" t="s">
        <v>1476</v>
      </c>
      <c r="E70">
        <v>4.8</v>
      </c>
      <c r="F70">
        <v>0.7235329985563892</v>
      </c>
      <c r="G70">
        <v>3</v>
      </c>
      <c r="H70">
        <v>0.52349999999999997</v>
      </c>
      <c r="I70">
        <v>48</v>
      </c>
      <c r="J70" t="s">
        <v>1473</v>
      </c>
      <c r="K70" t="s">
        <v>1474</v>
      </c>
    </row>
    <row r="71" spans="1:11">
      <c r="A71" t="s">
        <v>29</v>
      </c>
      <c r="B71" t="s">
        <v>337</v>
      </c>
      <c r="C71" t="s">
        <v>590</v>
      </c>
      <c r="D71" t="s">
        <v>34</v>
      </c>
      <c r="E71">
        <v>2.5</v>
      </c>
      <c r="F71">
        <v>0.7235329985563892</v>
      </c>
      <c r="G71">
        <v>3</v>
      </c>
      <c r="H71">
        <v>0.52349999999999997</v>
      </c>
      <c r="I71">
        <v>48</v>
      </c>
      <c r="J71" t="s">
        <v>1473</v>
      </c>
      <c r="K71" t="s">
        <v>1474</v>
      </c>
    </row>
    <row r="72" spans="1:11">
      <c r="A72" t="s">
        <v>29</v>
      </c>
      <c r="B72" t="s">
        <v>337</v>
      </c>
      <c r="C72" t="s">
        <v>590</v>
      </c>
      <c r="D72" t="s">
        <v>1475</v>
      </c>
      <c r="E72">
        <v>3.1</v>
      </c>
      <c r="F72">
        <v>0.7235329985563892</v>
      </c>
      <c r="G72">
        <v>3</v>
      </c>
      <c r="H72">
        <v>0.52349999999999997</v>
      </c>
      <c r="I72">
        <v>48</v>
      </c>
      <c r="J72" t="s">
        <v>1473</v>
      </c>
      <c r="K72" t="s">
        <v>1474</v>
      </c>
    </row>
    <row r="73" spans="1:11">
      <c r="A73" t="s">
        <v>29</v>
      </c>
      <c r="B73" t="s">
        <v>337</v>
      </c>
      <c r="C73" t="s">
        <v>590</v>
      </c>
      <c r="D73" t="s">
        <v>1476</v>
      </c>
      <c r="E73">
        <v>3.7</v>
      </c>
      <c r="F73">
        <v>0.7235329985563892</v>
      </c>
      <c r="G73">
        <v>3</v>
      </c>
      <c r="H73">
        <v>0.52349999999999997</v>
      </c>
      <c r="I73">
        <v>48</v>
      </c>
      <c r="J73" t="s">
        <v>1473</v>
      </c>
      <c r="K73" t="s">
        <v>1474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workbookViewId="0"/>
  </sheetViews>
  <sheetFormatPr baseColWidth="10" defaultColWidth="9" defaultRowHeight="13.5"/>
  <cols>
    <col min="1" max="1" width="8" customWidth="1"/>
    <col min="2" max="2" width="7" customWidth="1"/>
    <col min="3" max="3" width="8.5" customWidth="1"/>
    <col min="4" max="4" width="5" customWidth="1"/>
    <col min="5" max="5" width="3.75" customWidth="1"/>
    <col min="6" max="6" width="1.5" customWidth="1"/>
    <col min="7" max="7" width="8.75" customWidth="1"/>
    <col min="8" max="8" width="5.875" customWidth="1"/>
  </cols>
  <sheetData>
    <row r="1" spans="1:8" ht="27.75">
      <c r="A1" s="19" t="s">
        <v>1469</v>
      </c>
      <c r="B1" s="19" t="s">
        <v>24</v>
      </c>
      <c r="C1" s="19" t="s">
        <v>25</v>
      </c>
      <c r="D1" s="19" t="s">
        <v>1233</v>
      </c>
      <c r="E1" s="19" t="s">
        <v>1214</v>
      </c>
      <c r="F1" s="19" t="s">
        <v>1209</v>
      </c>
      <c r="G1" s="19" t="s">
        <v>1234</v>
      </c>
      <c r="H1" s="19" t="s">
        <v>74</v>
      </c>
    </row>
    <row r="2" spans="1:8">
      <c r="A2" t="s">
        <v>656</v>
      </c>
      <c r="B2" t="s">
        <v>40</v>
      </c>
      <c r="C2" t="s">
        <v>1477</v>
      </c>
      <c r="D2">
        <v>5.15</v>
      </c>
      <c r="E2">
        <v>0.18</v>
      </c>
      <c r="F2">
        <v>4</v>
      </c>
      <c r="G2" t="s">
        <v>1214</v>
      </c>
      <c r="H2" t="s">
        <v>658</v>
      </c>
    </row>
    <row r="3" spans="1:8">
      <c r="A3" t="s">
        <v>656</v>
      </c>
      <c r="B3" t="s">
        <v>40</v>
      </c>
      <c r="C3" t="s">
        <v>1478</v>
      </c>
      <c r="D3">
        <v>6.3</v>
      </c>
      <c r="E3">
        <v>0.18</v>
      </c>
      <c r="F3">
        <v>4</v>
      </c>
      <c r="G3" t="s">
        <v>1214</v>
      </c>
      <c r="H3" t="s">
        <v>658</v>
      </c>
    </row>
    <row r="4" spans="1:8">
      <c r="A4" t="s">
        <v>656</v>
      </c>
      <c r="B4" t="s">
        <v>30</v>
      </c>
      <c r="C4" t="s">
        <v>1477</v>
      </c>
      <c r="D4">
        <v>6.25</v>
      </c>
      <c r="E4">
        <v>0.32</v>
      </c>
      <c r="F4">
        <v>4</v>
      </c>
      <c r="G4" t="s">
        <v>1214</v>
      </c>
      <c r="H4" t="s">
        <v>658</v>
      </c>
    </row>
    <row r="5" spans="1:8">
      <c r="A5" t="s">
        <v>656</v>
      </c>
      <c r="B5" t="s">
        <v>30</v>
      </c>
      <c r="C5" t="s">
        <v>1478</v>
      </c>
      <c r="D5">
        <v>10</v>
      </c>
      <c r="E5">
        <v>0.46</v>
      </c>
      <c r="F5">
        <v>4</v>
      </c>
      <c r="G5" t="s">
        <v>1214</v>
      </c>
      <c r="H5" t="s">
        <v>658</v>
      </c>
    </row>
    <row r="6" spans="1:8">
      <c r="A6" t="s">
        <v>656</v>
      </c>
      <c r="B6" t="s">
        <v>53</v>
      </c>
      <c r="C6" t="s">
        <v>1477</v>
      </c>
      <c r="D6">
        <v>0.08</v>
      </c>
      <c r="E6">
        <v>0.02</v>
      </c>
      <c r="F6">
        <v>4</v>
      </c>
      <c r="G6" t="s">
        <v>1214</v>
      </c>
      <c r="H6" t="s">
        <v>658</v>
      </c>
    </row>
    <row r="7" spans="1:8">
      <c r="A7" t="s">
        <v>656</v>
      </c>
      <c r="B7" t="s">
        <v>53</v>
      </c>
      <c r="C7" t="s">
        <v>1478</v>
      </c>
      <c r="D7">
        <v>0.09</v>
      </c>
      <c r="E7">
        <v>0.01</v>
      </c>
      <c r="F7">
        <v>4</v>
      </c>
      <c r="G7" t="s">
        <v>1214</v>
      </c>
      <c r="H7" t="s">
        <v>658</v>
      </c>
    </row>
    <row r="8" spans="1:8">
      <c r="A8" t="s">
        <v>665</v>
      </c>
      <c r="B8" t="s">
        <v>40</v>
      </c>
      <c r="C8" t="s">
        <v>1477</v>
      </c>
      <c r="D8">
        <v>4.88</v>
      </c>
      <c r="E8">
        <v>0.15</v>
      </c>
      <c r="F8">
        <v>4</v>
      </c>
      <c r="G8" t="s">
        <v>1214</v>
      </c>
      <c r="H8" t="s">
        <v>658</v>
      </c>
    </row>
    <row r="9" spans="1:8">
      <c r="A9" t="s">
        <v>665</v>
      </c>
      <c r="B9" t="s">
        <v>40</v>
      </c>
      <c r="C9" t="s">
        <v>1478</v>
      </c>
      <c r="D9">
        <v>6.38</v>
      </c>
      <c r="E9">
        <v>0.23</v>
      </c>
      <c r="F9">
        <v>4</v>
      </c>
      <c r="G9" t="s">
        <v>1214</v>
      </c>
      <c r="H9" t="s">
        <v>658</v>
      </c>
    </row>
    <row r="10" spans="1:8">
      <c r="A10" t="s">
        <v>665</v>
      </c>
      <c r="B10" t="s">
        <v>30</v>
      </c>
      <c r="C10" t="s">
        <v>1477</v>
      </c>
      <c r="D10">
        <v>9.3000000000000007</v>
      </c>
      <c r="E10">
        <v>0.28999999999999998</v>
      </c>
      <c r="F10">
        <v>4</v>
      </c>
      <c r="G10" t="s">
        <v>1214</v>
      </c>
      <c r="H10" t="s">
        <v>658</v>
      </c>
    </row>
    <row r="11" spans="1:8">
      <c r="A11" t="s">
        <v>665</v>
      </c>
      <c r="B11" t="s">
        <v>30</v>
      </c>
      <c r="C11" t="s">
        <v>1478</v>
      </c>
      <c r="D11">
        <v>10</v>
      </c>
      <c r="E11">
        <v>0.46</v>
      </c>
      <c r="F11">
        <v>4</v>
      </c>
      <c r="G11" t="s">
        <v>1214</v>
      </c>
      <c r="H11" t="s">
        <v>658</v>
      </c>
    </row>
    <row r="12" spans="1:8">
      <c r="A12" t="s">
        <v>665</v>
      </c>
      <c r="B12" t="s">
        <v>53</v>
      </c>
      <c r="C12" t="s">
        <v>1477</v>
      </c>
      <c r="D12">
        <v>0.08</v>
      </c>
      <c r="E12">
        <v>0.01</v>
      </c>
      <c r="F12">
        <v>4</v>
      </c>
      <c r="G12" t="s">
        <v>1214</v>
      </c>
      <c r="H12" t="s">
        <v>658</v>
      </c>
    </row>
    <row r="13" spans="1:8">
      <c r="A13" t="s">
        <v>665</v>
      </c>
      <c r="B13" t="s">
        <v>53</v>
      </c>
      <c r="C13" t="s">
        <v>1478</v>
      </c>
      <c r="D13">
        <v>0.09</v>
      </c>
      <c r="E13">
        <v>0.01</v>
      </c>
      <c r="F13">
        <v>4</v>
      </c>
      <c r="G13" t="s">
        <v>1214</v>
      </c>
      <c r="H13" t="s">
        <v>658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"/>
  <sheetViews>
    <sheetView workbookViewId="0"/>
  </sheetViews>
  <sheetFormatPr baseColWidth="10" defaultColWidth="9" defaultRowHeight="13.5"/>
  <cols>
    <col min="1" max="1" width="10.625" customWidth="1"/>
    <col min="2" max="2" width="5.125" customWidth="1"/>
    <col min="3" max="3" width="8.5" customWidth="1"/>
    <col min="4" max="4" width="5" customWidth="1"/>
    <col min="5" max="5" width="3.75" customWidth="1"/>
    <col min="6" max="6" width="1.5" customWidth="1"/>
    <col min="7" max="7" width="8.75" customWidth="1"/>
  </cols>
  <sheetData>
    <row r="1" spans="1:7" ht="27.75">
      <c r="A1" s="21" t="s">
        <v>1479</v>
      </c>
      <c r="B1" s="21" t="s">
        <v>23</v>
      </c>
      <c r="C1" s="21" t="s">
        <v>25</v>
      </c>
      <c r="D1" s="21" t="s">
        <v>1233</v>
      </c>
      <c r="E1" s="21" t="s">
        <v>1214</v>
      </c>
      <c r="F1" s="21" t="s">
        <v>1209</v>
      </c>
      <c r="G1" s="21" t="s">
        <v>1234</v>
      </c>
    </row>
    <row r="2" spans="1:7">
      <c r="A2" t="s">
        <v>676</v>
      </c>
      <c r="B2" t="s">
        <v>41</v>
      </c>
      <c r="C2" t="s">
        <v>1480</v>
      </c>
      <c r="D2">
        <v>0.78</v>
      </c>
      <c r="E2">
        <v>0.05</v>
      </c>
      <c r="F2">
        <v>8</v>
      </c>
      <c r="G2" t="s">
        <v>1214</v>
      </c>
    </row>
    <row r="3" spans="1:7">
      <c r="A3" t="s">
        <v>676</v>
      </c>
      <c r="B3" t="s">
        <v>41</v>
      </c>
      <c r="C3" t="s">
        <v>1481</v>
      </c>
      <c r="D3">
        <v>0.72</v>
      </c>
      <c r="E3">
        <v>0.05</v>
      </c>
      <c r="F3">
        <v>8</v>
      </c>
      <c r="G3" t="s">
        <v>1214</v>
      </c>
    </row>
    <row r="4" spans="1:7">
      <c r="A4" t="s">
        <v>676</v>
      </c>
      <c r="B4" t="s">
        <v>29</v>
      </c>
      <c r="C4" t="s">
        <v>1480</v>
      </c>
      <c r="D4">
        <v>0.85</v>
      </c>
      <c r="E4">
        <v>0.06</v>
      </c>
      <c r="F4">
        <v>8</v>
      </c>
      <c r="G4" t="s">
        <v>1214</v>
      </c>
    </row>
    <row r="5" spans="1:7">
      <c r="A5" t="s">
        <v>676</v>
      </c>
      <c r="B5" t="s">
        <v>29</v>
      </c>
      <c r="C5" t="s">
        <v>1481</v>
      </c>
      <c r="D5">
        <v>0.9</v>
      </c>
      <c r="E5">
        <v>7.0000000000000007E-2</v>
      </c>
      <c r="F5">
        <v>8</v>
      </c>
      <c r="G5" t="s">
        <v>1214</v>
      </c>
    </row>
    <row r="6" spans="1:7">
      <c r="A6" t="s">
        <v>86</v>
      </c>
      <c r="B6" t="s">
        <v>41</v>
      </c>
      <c r="C6" t="s">
        <v>1480</v>
      </c>
      <c r="D6">
        <v>0.72</v>
      </c>
      <c r="E6">
        <v>0.05</v>
      </c>
      <c r="F6">
        <v>8</v>
      </c>
      <c r="G6" t="s">
        <v>1214</v>
      </c>
    </row>
    <row r="7" spans="1:7">
      <c r="A7" t="s">
        <v>86</v>
      </c>
      <c r="B7" t="s">
        <v>41</v>
      </c>
      <c r="C7" t="s">
        <v>1481</v>
      </c>
      <c r="D7">
        <v>0.73</v>
      </c>
      <c r="E7">
        <v>0.05</v>
      </c>
      <c r="F7">
        <v>8</v>
      </c>
      <c r="G7" t="s">
        <v>1214</v>
      </c>
    </row>
    <row r="8" spans="1:7">
      <c r="A8" t="s">
        <v>86</v>
      </c>
      <c r="B8" t="s">
        <v>29</v>
      </c>
      <c r="C8" t="s">
        <v>1480</v>
      </c>
      <c r="D8">
        <v>0.82</v>
      </c>
      <c r="E8">
        <v>0.06</v>
      </c>
      <c r="F8">
        <v>8</v>
      </c>
      <c r="G8" t="s">
        <v>1214</v>
      </c>
    </row>
    <row r="9" spans="1:7">
      <c r="A9" t="s">
        <v>86</v>
      </c>
      <c r="B9" t="s">
        <v>29</v>
      </c>
      <c r="C9" t="s">
        <v>1481</v>
      </c>
      <c r="D9">
        <v>1.02</v>
      </c>
      <c r="E9">
        <v>0.08</v>
      </c>
      <c r="F9">
        <v>8</v>
      </c>
      <c r="G9" t="s">
        <v>1214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5"/>
  <sheetViews>
    <sheetView workbookViewId="0"/>
  </sheetViews>
  <sheetFormatPr baseColWidth="10" defaultColWidth="9" defaultRowHeight="13.5"/>
  <cols>
    <col min="1" max="1" width="7" customWidth="1"/>
    <col min="2" max="2" width="8.5" customWidth="1"/>
    <col min="3" max="3" width="5" customWidth="1"/>
    <col min="4" max="4" width="3.75" customWidth="1"/>
    <col min="5" max="5" width="1.5" customWidth="1"/>
    <col min="6" max="6" width="8.75" customWidth="1"/>
  </cols>
  <sheetData>
    <row r="1" spans="1:6" ht="27.75">
      <c r="A1" s="22" t="s">
        <v>24</v>
      </c>
      <c r="B1" s="22" t="s">
        <v>25</v>
      </c>
      <c r="C1" s="22" t="s">
        <v>1233</v>
      </c>
      <c r="D1" s="22" t="s">
        <v>1245</v>
      </c>
      <c r="E1" s="22" t="s">
        <v>1209</v>
      </c>
      <c r="F1" s="22" t="s">
        <v>1234</v>
      </c>
    </row>
    <row r="2" spans="1:6">
      <c r="A2" t="s">
        <v>693</v>
      </c>
      <c r="B2" t="s">
        <v>481</v>
      </c>
      <c r="C2">
        <v>2.3199999999999998</v>
      </c>
      <c r="D2">
        <v>0.12</v>
      </c>
      <c r="E2">
        <v>3</v>
      </c>
      <c r="F2" t="s">
        <v>1245</v>
      </c>
    </row>
    <row r="3" spans="1:6">
      <c r="A3" t="s">
        <v>693</v>
      </c>
      <c r="B3" t="s">
        <v>1482</v>
      </c>
      <c r="C3">
        <v>2.64</v>
      </c>
      <c r="D3">
        <v>0.14000000000000001</v>
      </c>
      <c r="E3">
        <v>3</v>
      </c>
      <c r="F3" t="s">
        <v>1245</v>
      </c>
    </row>
    <row r="4" spans="1:6">
      <c r="A4" t="s">
        <v>699</v>
      </c>
      <c r="B4" t="s">
        <v>481</v>
      </c>
      <c r="C4">
        <v>1.03</v>
      </c>
      <c r="D4">
        <v>0.03</v>
      </c>
      <c r="E4">
        <v>3</v>
      </c>
      <c r="F4" t="s">
        <v>1245</v>
      </c>
    </row>
    <row r="5" spans="1:6">
      <c r="A5" t="s">
        <v>699</v>
      </c>
      <c r="B5" t="s">
        <v>1482</v>
      </c>
      <c r="C5">
        <v>0.76</v>
      </c>
      <c r="D5">
        <v>0.03</v>
      </c>
      <c r="E5">
        <v>3</v>
      </c>
      <c r="F5" t="s">
        <v>1245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"/>
  <sheetViews>
    <sheetView workbookViewId="0"/>
  </sheetViews>
  <sheetFormatPr baseColWidth="10" defaultColWidth="9" defaultRowHeight="13.5"/>
  <cols>
    <col min="1" max="1" width="5.125" customWidth="1"/>
    <col min="2" max="2" width="8.5" customWidth="1"/>
    <col min="3" max="3" width="5" customWidth="1"/>
    <col min="4" max="4" width="2.375" customWidth="1"/>
    <col min="5" max="5" width="1.5" customWidth="1"/>
    <col min="6" max="6" width="8.75" customWidth="1"/>
  </cols>
  <sheetData>
    <row r="1" spans="1:6" ht="27.75">
      <c r="A1" s="23" t="s">
        <v>23</v>
      </c>
      <c r="B1" s="23" t="s">
        <v>25</v>
      </c>
      <c r="C1" s="23" t="s">
        <v>1233</v>
      </c>
      <c r="D1" s="23" t="s">
        <v>1214</v>
      </c>
      <c r="E1" s="23" t="s">
        <v>1209</v>
      </c>
      <c r="F1" s="23" t="s">
        <v>1234</v>
      </c>
    </row>
    <row r="2" spans="1:6">
      <c r="A2" t="s">
        <v>149</v>
      </c>
      <c r="B2" t="s">
        <v>34</v>
      </c>
      <c r="C2">
        <v>524</v>
      </c>
      <c r="D2">
        <v>6</v>
      </c>
      <c r="E2">
        <v>3</v>
      </c>
      <c r="F2" t="s">
        <v>1214</v>
      </c>
    </row>
    <row r="3" spans="1:6">
      <c r="A3" t="s">
        <v>149</v>
      </c>
      <c r="B3" t="s">
        <v>1483</v>
      </c>
      <c r="C3">
        <v>539</v>
      </c>
      <c r="D3">
        <v>7</v>
      </c>
      <c r="E3">
        <v>3</v>
      </c>
      <c r="F3" t="s">
        <v>1214</v>
      </c>
    </row>
    <row r="4" spans="1:6">
      <c r="A4" t="s">
        <v>41</v>
      </c>
      <c r="B4" t="s">
        <v>34</v>
      </c>
      <c r="C4">
        <v>211</v>
      </c>
      <c r="D4">
        <v>14</v>
      </c>
      <c r="E4">
        <v>3</v>
      </c>
      <c r="F4" t="s">
        <v>1214</v>
      </c>
    </row>
    <row r="5" spans="1:6">
      <c r="A5" t="s">
        <v>41</v>
      </c>
      <c r="B5" t="s">
        <v>1483</v>
      </c>
      <c r="C5">
        <v>361</v>
      </c>
      <c r="D5">
        <v>8</v>
      </c>
      <c r="E5">
        <v>3</v>
      </c>
      <c r="F5" t="s">
        <v>1214</v>
      </c>
    </row>
    <row r="6" spans="1:6">
      <c r="A6" t="s">
        <v>29</v>
      </c>
      <c r="B6" t="s">
        <v>34</v>
      </c>
      <c r="C6">
        <v>206</v>
      </c>
      <c r="D6">
        <v>11</v>
      </c>
      <c r="E6">
        <v>3</v>
      </c>
      <c r="F6" t="s">
        <v>1214</v>
      </c>
    </row>
    <row r="7" spans="1:6">
      <c r="A7" t="s">
        <v>29</v>
      </c>
      <c r="B7" t="s">
        <v>1483</v>
      </c>
      <c r="C7">
        <v>344</v>
      </c>
      <c r="D7">
        <v>12</v>
      </c>
      <c r="E7">
        <v>3</v>
      </c>
      <c r="F7" t="s">
        <v>1214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1"/>
  <sheetViews>
    <sheetView workbookViewId="0"/>
  </sheetViews>
  <sheetFormatPr baseColWidth="10" defaultColWidth="9" defaultRowHeight="13.5"/>
  <cols>
    <col min="1" max="1" width="5.125" customWidth="1"/>
    <col min="2" max="2" width="7" customWidth="1"/>
    <col min="3" max="3" width="8.5" customWidth="1"/>
    <col min="4" max="4" width="5" customWidth="1"/>
    <col min="5" max="5" width="3.75" customWidth="1"/>
    <col min="6" max="6" width="1.5" customWidth="1"/>
    <col min="7" max="7" width="8.75" customWidth="1"/>
  </cols>
  <sheetData>
    <row r="1" spans="1:7" ht="27.75">
      <c r="A1" s="24" t="s">
        <v>23</v>
      </c>
      <c r="B1" s="24" t="s">
        <v>24</v>
      </c>
      <c r="C1" s="24" t="s">
        <v>25</v>
      </c>
      <c r="D1" s="24" t="s">
        <v>1233</v>
      </c>
      <c r="E1" s="24" t="s">
        <v>1214</v>
      </c>
      <c r="F1" s="24" t="s">
        <v>1209</v>
      </c>
      <c r="G1" s="24" t="s">
        <v>1234</v>
      </c>
    </row>
    <row r="2" spans="1:7">
      <c r="A2" t="s">
        <v>29</v>
      </c>
      <c r="B2" t="s">
        <v>40</v>
      </c>
      <c r="C2" t="s">
        <v>1484</v>
      </c>
      <c r="D2">
        <v>26</v>
      </c>
      <c r="E2">
        <v>1.3</v>
      </c>
      <c r="F2">
        <v>3</v>
      </c>
      <c r="G2" t="s">
        <v>1214</v>
      </c>
    </row>
    <row r="3" spans="1:7">
      <c r="A3" t="s">
        <v>29</v>
      </c>
      <c r="B3" t="s">
        <v>40</v>
      </c>
      <c r="C3" t="s">
        <v>1485</v>
      </c>
      <c r="D3">
        <v>27</v>
      </c>
      <c r="E3">
        <v>1.3</v>
      </c>
      <c r="F3">
        <v>3</v>
      </c>
      <c r="G3" t="s">
        <v>1214</v>
      </c>
    </row>
    <row r="4" spans="1:7">
      <c r="A4" t="s">
        <v>29</v>
      </c>
      <c r="B4" t="s">
        <v>40</v>
      </c>
      <c r="C4" t="s">
        <v>1486</v>
      </c>
      <c r="D4">
        <v>27.8</v>
      </c>
      <c r="E4">
        <v>1.3</v>
      </c>
      <c r="F4">
        <v>3</v>
      </c>
      <c r="G4" t="s">
        <v>1214</v>
      </c>
    </row>
    <row r="5" spans="1:7">
      <c r="A5" t="s">
        <v>29</v>
      </c>
      <c r="B5" t="s">
        <v>40</v>
      </c>
      <c r="C5" t="s">
        <v>1487</v>
      </c>
      <c r="D5">
        <v>27.1</v>
      </c>
      <c r="E5">
        <v>1.3</v>
      </c>
      <c r="F5">
        <v>3</v>
      </c>
      <c r="G5" t="s">
        <v>1214</v>
      </c>
    </row>
    <row r="6" spans="1:7">
      <c r="A6" t="s">
        <v>29</v>
      </c>
      <c r="B6" t="s">
        <v>40</v>
      </c>
      <c r="C6" t="s">
        <v>1488</v>
      </c>
      <c r="D6">
        <v>32</v>
      </c>
      <c r="E6">
        <v>1.3</v>
      </c>
      <c r="F6">
        <v>3</v>
      </c>
      <c r="G6" t="s">
        <v>1214</v>
      </c>
    </row>
    <row r="7" spans="1:7">
      <c r="A7" t="s">
        <v>41</v>
      </c>
      <c r="B7" t="s">
        <v>40</v>
      </c>
      <c r="C7" t="s">
        <v>1484</v>
      </c>
      <c r="D7">
        <v>4.9000000000000004</v>
      </c>
      <c r="E7">
        <v>0.35</v>
      </c>
      <c r="F7">
        <v>3</v>
      </c>
      <c r="G7" t="s">
        <v>1214</v>
      </c>
    </row>
    <row r="8" spans="1:7">
      <c r="A8" t="s">
        <v>41</v>
      </c>
      <c r="B8" t="s">
        <v>40</v>
      </c>
      <c r="C8" t="s">
        <v>1485</v>
      </c>
      <c r="D8">
        <v>5.2</v>
      </c>
      <c r="E8">
        <v>0.35</v>
      </c>
      <c r="F8">
        <v>3</v>
      </c>
      <c r="G8" t="s">
        <v>1214</v>
      </c>
    </row>
    <row r="9" spans="1:7">
      <c r="A9" t="s">
        <v>41</v>
      </c>
      <c r="B9" t="s">
        <v>40</v>
      </c>
      <c r="C9" t="s">
        <v>1486</v>
      </c>
      <c r="D9">
        <v>6.1</v>
      </c>
      <c r="E9">
        <v>0.35</v>
      </c>
      <c r="F9">
        <v>3</v>
      </c>
      <c r="G9" t="s">
        <v>1214</v>
      </c>
    </row>
    <row r="10" spans="1:7">
      <c r="A10" t="s">
        <v>41</v>
      </c>
      <c r="B10" t="s">
        <v>40</v>
      </c>
      <c r="C10" t="s">
        <v>1487</v>
      </c>
      <c r="D10">
        <v>6.9</v>
      </c>
      <c r="E10">
        <v>0.35</v>
      </c>
      <c r="F10">
        <v>3</v>
      </c>
      <c r="G10" t="s">
        <v>1214</v>
      </c>
    </row>
    <row r="11" spans="1:7">
      <c r="A11" t="s">
        <v>41</v>
      </c>
      <c r="B11" t="s">
        <v>40</v>
      </c>
      <c r="C11" t="s">
        <v>1488</v>
      </c>
      <c r="D11">
        <v>7.1</v>
      </c>
      <c r="E11">
        <v>0.4</v>
      </c>
      <c r="F11">
        <v>3</v>
      </c>
      <c r="G11" t="s">
        <v>1214</v>
      </c>
    </row>
    <row r="12" spans="1:7">
      <c r="A12" t="s">
        <v>29</v>
      </c>
      <c r="B12" t="s">
        <v>30</v>
      </c>
      <c r="C12" t="s">
        <v>1484</v>
      </c>
      <c r="D12">
        <v>5.75</v>
      </c>
      <c r="E12">
        <v>0.7</v>
      </c>
      <c r="F12">
        <v>3</v>
      </c>
      <c r="G12" t="s">
        <v>1214</v>
      </c>
    </row>
    <row r="13" spans="1:7">
      <c r="A13" t="s">
        <v>29</v>
      </c>
      <c r="B13" t="s">
        <v>30</v>
      </c>
      <c r="C13" t="s">
        <v>1485</v>
      </c>
      <c r="D13">
        <v>6.4</v>
      </c>
      <c r="E13">
        <v>0.7</v>
      </c>
      <c r="F13">
        <v>3</v>
      </c>
      <c r="G13" t="s">
        <v>1214</v>
      </c>
    </row>
    <row r="14" spans="1:7">
      <c r="A14" t="s">
        <v>29</v>
      </c>
      <c r="B14" t="s">
        <v>30</v>
      </c>
      <c r="C14" t="s">
        <v>1486</v>
      </c>
      <c r="D14">
        <v>7.35</v>
      </c>
      <c r="E14">
        <v>0.7</v>
      </c>
      <c r="F14">
        <v>3</v>
      </c>
      <c r="G14" t="s">
        <v>1214</v>
      </c>
    </row>
    <row r="15" spans="1:7">
      <c r="A15" t="s">
        <v>29</v>
      </c>
      <c r="B15" t="s">
        <v>30</v>
      </c>
      <c r="C15" t="s">
        <v>1487</v>
      </c>
      <c r="D15">
        <v>8.65</v>
      </c>
      <c r="E15">
        <v>0.7</v>
      </c>
      <c r="F15">
        <v>3</v>
      </c>
      <c r="G15" t="s">
        <v>1214</v>
      </c>
    </row>
    <row r="16" spans="1:7">
      <c r="A16" t="s">
        <v>29</v>
      </c>
      <c r="B16" t="s">
        <v>30</v>
      </c>
      <c r="C16" t="s">
        <v>1488</v>
      </c>
      <c r="D16">
        <v>9.65</v>
      </c>
      <c r="E16">
        <v>0.75</v>
      </c>
      <c r="F16">
        <v>3</v>
      </c>
      <c r="G16" t="s">
        <v>1214</v>
      </c>
    </row>
    <row r="17" spans="1:7">
      <c r="A17" t="s">
        <v>41</v>
      </c>
      <c r="B17" t="s">
        <v>30</v>
      </c>
      <c r="C17" t="s">
        <v>1484</v>
      </c>
      <c r="D17">
        <v>5.75</v>
      </c>
      <c r="E17">
        <v>0.2</v>
      </c>
      <c r="F17">
        <v>3</v>
      </c>
      <c r="G17" t="s">
        <v>1214</v>
      </c>
    </row>
    <row r="18" spans="1:7">
      <c r="A18" t="s">
        <v>41</v>
      </c>
      <c r="B18" t="s">
        <v>30</v>
      </c>
      <c r="C18" t="s">
        <v>1485</v>
      </c>
      <c r="D18">
        <v>6.5</v>
      </c>
      <c r="E18">
        <v>0.2</v>
      </c>
      <c r="F18">
        <v>3</v>
      </c>
      <c r="G18" t="s">
        <v>1214</v>
      </c>
    </row>
    <row r="19" spans="1:7">
      <c r="A19" t="s">
        <v>41</v>
      </c>
      <c r="B19" t="s">
        <v>30</v>
      </c>
      <c r="C19" t="s">
        <v>1486</v>
      </c>
      <c r="D19">
        <v>6.85</v>
      </c>
      <c r="E19">
        <v>0.2</v>
      </c>
      <c r="F19">
        <v>3</v>
      </c>
      <c r="G19" t="s">
        <v>1214</v>
      </c>
    </row>
    <row r="20" spans="1:7">
      <c r="A20" t="s">
        <v>41</v>
      </c>
      <c r="B20" t="s">
        <v>30</v>
      </c>
      <c r="C20" t="s">
        <v>1487</v>
      </c>
      <c r="D20">
        <v>7.25</v>
      </c>
      <c r="E20">
        <v>0.2</v>
      </c>
      <c r="F20">
        <v>3</v>
      </c>
      <c r="G20" t="s">
        <v>1214</v>
      </c>
    </row>
    <row r="21" spans="1:7">
      <c r="A21" t="s">
        <v>41</v>
      </c>
      <c r="B21" t="s">
        <v>30</v>
      </c>
      <c r="C21" t="s">
        <v>1488</v>
      </c>
      <c r="D21">
        <v>7.95</v>
      </c>
      <c r="E21">
        <v>0.3</v>
      </c>
      <c r="F21">
        <v>3</v>
      </c>
      <c r="G21" t="s">
        <v>1214</v>
      </c>
    </row>
    <row r="22" spans="1:7">
      <c r="A22" t="s">
        <v>29</v>
      </c>
      <c r="B22" t="s">
        <v>737</v>
      </c>
      <c r="C22" t="s">
        <v>1484</v>
      </c>
      <c r="D22">
        <v>9.4</v>
      </c>
      <c r="E22">
        <v>1</v>
      </c>
      <c r="F22">
        <v>3</v>
      </c>
      <c r="G22" t="s">
        <v>1214</v>
      </c>
    </row>
    <row r="23" spans="1:7">
      <c r="A23" t="s">
        <v>29</v>
      </c>
      <c r="B23" t="s">
        <v>737</v>
      </c>
      <c r="C23" t="s">
        <v>1485</v>
      </c>
      <c r="D23">
        <v>11.5</v>
      </c>
      <c r="E23">
        <v>1</v>
      </c>
      <c r="F23">
        <v>3</v>
      </c>
      <c r="G23" t="s">
        <v>1214</v>
      </c>
    </row>
    <row r="24" spans="1:7">
      <c r="A24" t="s">
        <v>29</v>
      </c>
      <c r="B24" t="s">
        <v>737</v>
      </c>
      <c r="C24" t="s">
        <v>1486</v>
      </c>
      <c r="D24">
        <v>11.6</v>
      </c>
      <c r="E24">
        <v>1</v>
      </c>
      <c r="F24">
        <v>3</v>
      </c>
      <c r="G24" t="s">
        <v>1214</v>
      </c>
    </row>
    <row r="25" spans="1:7">
      <c r="A25" t="s">
        <v>29</v>
      </c>
      <c r="B25" t="s">
        <v>737</v>
      </c>
      <c r="C25" t="s">
        <v>1487</v>
      </c>
      <c r="D25">
        <v>13.5</v>
      </c>
      <c r="E25">
        <v>1</v>
      </c>
      <c r="F25">
        <v>3</v>
      </c>
      <c r="G25" t="s">
        <v>1214</v>
      </c>
    </row>
    <row r="26" spans="1:7">
      <c r="A26" t="s">
        <v>29</v>
      </c>
      <c r="B26" t="s">
        <v>737</v>
      </c>
      <c r="C26" t="s">
        <v>1488</v>
      </c>
      <c r="D26">
        <v>14.1</v>
      </c>
      <c r="E26">
        <v>1</v>
      </c>
      <c r="F26">
        <v>3</v>
      </c>
      <c r="G26" t="s">
        <v>1214</v>
      </c>
    </row>
    <row r="27" spans="1:7">
      <c r="A27" t="s">
        <v>41</v>
      </c>
      <c r="B27" t="s">
        <v>737</v>
      </c>
      <c r="C27" t="s">
        <v>1484</v>
      </c>
      <c r="D27">
        <v>7.4</v>
      </c>
      <c r="E27">
        <v>0.9</v>
      </c>
      <c r="F27">
        <v>3</v>
      </c>
      <c r="G27" t="s">
        <v>1214</v>
      </c>
    </row>
    <row r="28" spans="1:7">
      <c r="A28" t="s">
        <v>41</v>
      </c>
      <c r="B28" t="s">
        <v>737</v>
      </c>
      <c r="C28" t="s">
        <v>1485</v>
      </c>
      <c r="D28">
        <v>7.5</v>
      </c>
      <c r="E28">
        <v>0.9</v>
      </c>
      <c r="F28">
        <v>3</v>
      </c>
      <c r="G28" t="s">
        <v>1214</v>
      </c>
    </row>
    <row r="29" spans="1:7">
      <c r="A29" t="s">
        <v>41</v>
      </c>
      <c r="B29" t="s">
        <v>737</v>
      </c>
      <c r="C29" t="s">
        <v>1486</v>
      </c>
      <c r="D29">
        <v>9.4</v>
      </c>
      <c r="E29">
        <v>0.9</v>
      </c>
      <c r="F29">
        <v>3</v>
      </c>
      <c r="G29" t="s">
        <v>1214</v>
      </c>
    </row>
    <row r="30" spans="1:7">
      <c r="A30" t="s">
        <v>41</v>
      </c>
      <c r="B30" t="s">
        <v>737</v>
      </c>
      <c r="C30" t="s">
        <v>1487</v>
      </c>
      <c r="D30">
        <v>10.4</v>
      </c>
      <c r="E30">
        <v>0.9</v>
      </c>
      <c r="F30">
        <v>3</v>
      </c>
      <c r="G30" t="s">
        <v>1214</v>
      </c>
    </row>
    <row r="31" spans="1:7">
      <c r="A31" t="s">
        <v>41</v>
      </c>
      <c r="B31" t="s">
        <v>737</v>
      </c>
      <c r="C31" t="s">
        <v>1488</v>
      </c>
      <c r="D31">
        <v>12.3</v>
      </c>
      <c r="E31">
        <v>0.9</v>
      </c>
      <c r="F31">
        <v>3</v>
      </c>
      <c r="G31" t="s">
        <v>1214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1"/>
  <sheetViews>
    <sheetView workbookViewId="0"/>
  </sheetViews>
  <sheetFormatPr baseColWidth="10" defaultColWidth="9" defaultRowHeight="13.5"/>
  <cols>
    <col min="1" max="1" width="7" customWidth="1"/>
    <col min="2" max="2" width="5.75" customWidth="1"/>
    <col min="3" max="3" width="8.5" customWidth="1"/>
    <col min="4" max="5" width="10.25" customWidth="1"/>
    <col min="6" max="6" width="1.5" customWidth="1"/>
    <col min="7" max="7" width="8.75" customWidth="1"/>
  </cols>
  <sheetData>
    <row r="1" spans="1:7" ht="27.75">
      <c r="A1" s="25" t="s">
        <v>24</v>
      </c>
      <c r="B1" s="25" t="s">
        <v>23</v>
      </c>
      <c r="C1" s="25" t="s">
        <v>25</v>
      </c>
      <c r="D1" s="25" t="s">
        <v>1233</v>
      </c>
      <c r="E1" s="25" t="s">
        <v>1214</v>
      </c>
      <c r="F1" s="25" t="s">
        <v>1209</v>
      </c>
      <c r="G1" s="25" t="s">
        <v>1234</v>
      </c>
    </row>
    <row r="2" spans="1:7">
      <c r="A2" t="s">
        <v>337</v>
      </c>
      <c r="B2" t="s">
        <v>149</v>
      </c>
      <c r="C2" t="s">
        <v>1489</v>
      </c>
      <c r="D2">
        <v>4826.4271499750876</v>
      </c>
      <c r="E2">
        <v>839.37863477827614</v>
      </c>
      <c r="F2">
        <v>3</v>
      </c>
      <c r="G2" t="s">
        <v>1214</v>
      </c>
    </row>
    <row r="3" spans="1:7">
      <c r="A3" t="s">
        <v>337</v>
      </c>
      <c r="B3" t="s">
        <v>149</v>
      </c>
      <c r="C3" t="s">
        <v>1490</v>
      </c>
      <c r="D3">
        <v>4826.4271499750876</v>
      </c>
      <c r="E3">
        <v>839.37863477827614</v>
      </c>
      <c r="F3">
        <v>3</v>
      </c>
      <c r="G3" t="s">
        <v>1214</v>
      </c>
    </row>
    <row r="4" spans="1:7">
      <c r="A4" t="s">
        <v>337</v>
      </c>
      <c r="B4" t="s">
        <v>149</v>
      </c>
      <c r="C4" t="s">
        <v>1491</v>
      </c>
      <c r="D4">
        <v>6295.3397608370706</v>
      </c>
      <c r="E4">
        <v>839.37863477827614</v>
      </c>
      <c r="F4">
        <v>3</v>
      </c>
      <c r="G4" t="s">
        <v>1214</v>
      </c>
    </row>
    <row r="5" spans="1:7">
      <c r="A5" t="s">
        <v>337</v>
      </c>
      <c r="B5" t="s">
        <v>149</v>
      </c>
      <c r="C5" t="s">
        <v>1492</v>
      </c>
      <c r="D5">
        <v>43227.999691081219</v>
      </c>
      <c r="E5">
        <v>839.37863477827614</v>
      </c>
      <c r="F5">
        <v>3</v>
      </c>
      <c r="G5" t="s">
        <v>1214</v>
      </c>
    </row>
    <row r="6" spans="1:7">
      <c r="A6" t="s">
        <v>337</v>
      </c>
      <c r="B6" t="s">
        <v>452</v>
      </c>
      <c r="C6" t="s">
        <v>1489</v>
      </c>
      <c r="D6">
        <v>3357.5145391131045</v>
      </c>
      <c r="E6">
        <v>839.37863477827614</v>
      </c>
      <c r="F6">
        <v>3</v>
      </c>
      <c r="G6" t="s">
        <v>1214</v>
      </c>
    </row>
    <row r="7" spans="1:7">
      <c r="A7" t="s">
        <v>337</v>
      </c>
      <c r="B7" t="s">
        <v>452</v>
      </c>
      <c r="C7" t="s">
        <v>1490</v>
      </c>
      <c r="D7">
        <v>3147.6698804185353</v>
      </c>
      <c r="E7">
        <v>839.37863477827614</v>
      </c>
      <c r="F7">
        <v>3</v>
      </c>
      <c r="G7" t="s">
        <v>1214</v>
      </c>
    </row>
    <row r="8" spans="1:7">
      <c r="A8" t="s">
        <v>337</v>
      </c>
      <c r="B8" t="s">
        <v>452</v>
      </c>
      <c r="C8" t="s">
        <v>1491</v>
      </c>
      <c r="D8">
        <v>2937.8252217239665</v>
      </c>
      <c r="E8">
        <v>839.37863477827614</v>
      </c>
      <c r="F8">
        <v>3</v>
      </c>
      <c r="G8" t="s">
        <v>1214</v>
      </c>
    </row>
    <row r="9" spans="1:7">
      <c r="A9" t="s">
        <v>337</v>
      </c>
      <c r="B9" t="s">
        <v>452</v>
      </c>
      <c r="C9" t="s">
        <v>1492</v>
      </c>
      <c r="D9">
        <v>39660.640493273546</v>
      </c>
      <c r="E9">
        <v>839.37863477827614</v>
      </c>
      <c r="F9">
        <v>3</v>
      </c>
      <c r="G9" t="s">
        <v>1214</v>
      </c>
    </row>
    <row r="10" spans="1:7">
      <c r="A10" t="s">
        <v>337</v>
      </c>
      <c r="B10" t="s">
        <v>29</v>
      </c>
      <c r="C10" t="s">
        <v>1489</v>
      </c>
      <c r="D10">
        <v>2937.8252217239665</v>
      </c>
      <c r="E10">
        <v>839.37863477827614</v>
      </c>
      <c r="F10">
        <v>3</v>
      </c>
      <c r="G10" t="s">
        <v>1214</v>
      </c>
    </row>
    <row r="11" spans="1:7">
      <c r="A11" t="s">
        <v>337</v>
      </c>
      <c r="B11" t="s">
        <v>29</v>
      </c>
      <c r="C11" t="s">
        <v>1490</v>
      </c>
      <c r="D11">
        <v>3147.6698804185353</v>
      </c>
      <c r="E11">
        <v>839.37863477827614</v>
      </c>
      <c r="F11">
        <v>3</v>
      </c>
      <c r="G11" t="s">
        <v>1214</v>
      </c>
    </row>
    <row r="12" spans="1:7">
      <c r="A12" t="s">
        <v>337</v>
      </c>
      <c r="B12" t="s">
        <v>29</v>
      </c>
      <c r="C12" t="s">
        <v>1491</v>
      </c>
      <c r="D12">
        <v>2937.8252217239665</v>
      </c>
      <c r="E12">
        <v>839.37863477827614</v>
      </c>
      <c r="F12">
        <v>3</v>
      </c>
      <c r="G12" t="s">
        <v>1214</v>
      </c>
    </row>
    <row r="13" spans="1:7">
      <c r="A13" t="s">
        <v>337</v>
      </c>
      <c r="B13" t="s">
        <v>29</v>
      </c>
      <c r="C13" t="s">
        <v>1492</v>
      </c>
      <c r="D13">
        <v>39240.951175884409</v>
      </c>
      <c r="E13">
        <v>839.37863477827614</v>
      </c>
      <c r="F13">
        <v>3</v>
      </c>
      <c r="G13" t="s">
        <v>1214</v>
      </c>
    </row>
    <row r="14" spans="1:7">
      <c r="A14" t="s">
        <v>30</v>
      </c>
      <c r="B14" t="s">
        <v>149</v>
      </c>
      <c r="C14" t="s">
        <v>1489</v>
      </c>
      <c r="D14">
        <v>3762.3873239872883</v>
      </c>
      <c r="E14">
        <v>752.47746479745774</v>
      </c>
      <c r="F14">
        <v>3</v>
      </c>
      <c r="G14" t="s">
        <v>1214</v>
      </c>
    </row>
    <row r="15" spans="1:7">
      <c r="A15" t="s">
        <v>30</v>
      </c>
      <c r="B15" t="s">
        <v>149</v>
      </c>
      <c r="C15" t="s">
        <v>1490</v>
      </c>
      <c r="D15">
        <v>5768.9938967805092</v>
      </c>
      <c r="E15">
        <v>752.47746479745774</v>
      </c>
      <c r="F15">
        <v>3</v>
      </c>
      <c r="G15" t="s">
        <v>1214</v>
      </c>
    </row>
    <row r="16" spans="1:7">
      <c r="A16" t="s">
        <v>30</v>
      </c>
      <c r="B16" t="s">
        <v>149</v>
      </c>
      <c r="C16" t="s">
        <v>1491</v>
      </c>
      <c r="D16">
        <v>8026.426291172882</v>
      </c>
      <c r="E16">
        <v>752.47746479745774</v>
      </c>
      <c r="F16">
        <v>3</v>
      </c>
      <c r="G16" t="s">
        <v>1214</v>
      </c>
    </row>
    <row r="17" spans="1:7">
      <c r="A17" t="s">
        <v>30</v>
      </c>
      <c r="B17" t="s">
        <v>149</v>
      </c>
      <c r="C17" t="s">
        <v>1492</v>
      </c>
      <c r="D17">
        <v>52924.248357421187</v>
      </c>
      <c r="E17">
        <v>752.47746479745774</v>
      </c>
      <c r="F17">
        <v>3</v>
      </c>
      <c r="G17" t="s">
        <v>1214</v>
      </c>
    </row>
    <row r="18" spans="1:7">
      <c r="A18" t="s">
        <v>30</v>
      </c>
      <c r="B18" t="s">
        <v>452</v>
      </c>
      <c r="C18" t="s">
        <v>1489</v>
      </c>
      <c r="D18">
        <v>3260.7356807889832</v>
      </c>
      <c r="E18">
        <v>752.47746479745774</v>
      </c>
      <c r="F18">
        <v>3</v>
      </c>
      <c r="G18" t="s">
        <v>1214</v>
      </c>
    </row>
    <row r="19" spans="1:7">
      <c r="A19" t="s">
        <v>30</v>
      </c>
      <c r="B19" t="s">
        <v>452</v>
      </c>
      <c r="C19" t="s">
        <v>1490</v>
      </c>
      <c r="D19">
        <v>7775.6004695737292</v>
      </c>
      <c r="E19">
        <v>752.47746479745774</v>
      </c>
      <c r="F19">
        <v>3</v>
      </c>
      <c r="G19" t="s">
        <v>1214</v>
      </c>
    </row>
    <row r="20" spans="1:7">
      <c r="A20" t="s">
        <v>30</v>
      </c>
      <c r="B20" t="s">
        <v>452</v>
      </c>
      <c r="C20" t="s">
        <v>1491</v>
      </c>
      <c r="D20">
        <v>5267.3422535822037</v>
      </c>
      <c r="E20">
        <v>752.47746479745774</v>
      </c>
      <c r="F20">
        <v>3</v>
      </c>
      <c r="G20" t="s">
        <v>1214</v>
      </c>
    </row>
    <row r="21" spans="1:7">
      <c r="A21" t="s">
        <v>30</v>
      </c>
      <c r="B21" t="s">
        <v>452</v>
      </c>
      <c r="C21" t="s">
        <v>1492</v>
      </c>
      <c r="D21">
        <v>37874.699061472034</v>
      </c>
      <c r="E21">
        <v>752.47746479745774</v>
      </c>
      <c r="F21">
        <v>3</v>
      </c>
      <c r="G21" t="s">
        <v>1214</v>
      </c>
    </row>
    <row r="22" spans="1:7">
      <c r="A22" t="s">
        <v>30</v>
      </c>
      <c r="B22" t="s">
        <v>29</v>
      </c>
      <c r="C22" t="s">
        <v>1489</v>
      </c>
      <c r="D22">
        <v>3260.7356807889832</v>
      </c>
      <c r="E22">
        <v>752.47746479745774</v>
      </c>
      <c r="F22">
        <v>3</v>
      </c>
      <c r="G22" t="s">
        <v>1214</v>
      </c>
    </row>
    <row r="23" spans="1:7">
      <c r="A23" t="s">
        <v>30</v>
      </c>
      <c r="B23" t="s">
        <v>29</v>
      </c>
      <c r="C23" t="s">
        <v>1490</v>
      </c>
      <c r="D23">
        <v>7023.123004776272</v>
      </c>
      <c r="E23">
        <v>752.47746479745774</v>
      </c>
      <c r="F23">
        <v>3</v>
      </c>
      <c r="G23" t="s">
        <v>1214</v>
      </c>
    </row>
    <row r="24" spans="1:7">
      <c r="A24" t="s">
        <v>30</v>
      </c>
      <c r="B24" t="s">
        <v>29</v>
      </c>
      <c r="C24" t="s">
        <v>1491</v>
      </c>
      <c r="D24">
        <v>6019.8197183796619</v>
      </c>
      <c r="E24">
        <v>752.47746479745774</v>
      </c>
      <c r="F24">
        <v>3</v>
      </c>
      <c r="G24" t="s">
        <v>1214</v>
      </c>
    </row>
    <row r="25" spans="1:7">
      <c r="A25" t="s">
        <v>30</v>
      </c>
      <c r="B25" t="s">
        <v>29</v>
      </c>
      <c r="C25" t="s">
        <v>1492</v>
      </c>
      <c r="D25">
        <v>44897.822066248307</v>
      </c>
      <c r="E25">
        <v>752.47746479745774</v>
      </c>
      <c r="F25">
        <v>3</v>
      </c>
      <c r="G25" t="s">
        <v>1214</v>
      </c>
    </row>
    <row r="26" spans="1:7">
      <c r="A26" t="s">
        <v>40</v>
      </c>
      <c r="B26" t="s">
        <v>149</v>
      </c>
      <c r="C26" t="s">
        <v>1489</v>
      </c>
      <c r="D26">
        <v>32075.549894500029</v>
      </c>
      <c r="E26">
        <v>886.064914212708</v>
      </c>
      <c r="F26">
        <v>3</v>
      </c>
      <c r="G26" t="s">
        <v>1214</v>
      </c>
    </row>
    <row r="27" spans="1:7">
      <c r="A27" t="s">
        <v>40</v>
      </c>
      <c r="B27" t="s">
        <v>149</v>
      </c>
      <c r="C27" t="s">
        <v>1490</v>
      </c>
      <c r="D27">
        <v>20379.493026892284</v>
      </c>
      <c r="E27">
        <v>886.064914212708</v>
      </c>
      <c r="F27">
        <v>3</v>
      </c>
      <c r="G27" t="s">
        <v>1214</v>
      </c>
    </row>
    <row r="28" spans="1:7">
      <c r="A28" t="s">
        <v>40</v>
      </c>
      <c r="B28" t="s">
        <v>149</v>
      </c>
      <c r="C28" t="s">
        <v>1491</v>
      </c>
      <c r="D28">
        <v>29062.929186176825</v>
      </c>
      <c r="E28">
        <v>886.064914212708</v>
      </c>
      <c r="F28">
        <v>3</v>
      </c>
      <c r="G28" t="s">
        <v>1214</v>
      </c>
    </row>
    <row r="29" spans="1:7">
      <c r="A29" t="s">
        <v>40</v>
      </c>
      <c r="B29" t="s">
        <v>149</v>
      </c>
      <c r="C29" t="s">
        <v>1492</v>
      </c>
      <c r="D29">
        <v>23037.68776953041</v>
      </c>
      <c r="E29">
        <v>886.064914212708</v>
      </c>
      <c r="F29">
        <v>3</v>
      </c>
      <c r="G29" t="s">
        <v>1214</v>
      </c>
    </row>
    <row r="30" spans="1:7">
      <c r="A30" t="s">
        <v>40</v>
      </c>
      <c r="B30" t="s">
        <v>452</v>
      </c>
      <c r="C30" t="s">
        <v>1489</v>
      </c>
      <c r="D30">
        <v>35265.383585665782</v>
      </c>
      <c r="E30">
        <v>886.064914212708</v>
      </c>
      <c r="F30">
        <v>3</v>
      </c>
      <c r="G30" t="s">
        <v>1214</v>
      </c>
    </row>
    <row r="31" spans="1:7">
      <c r="A31" t="s">
        <v>40</v>
      </c>
      <c r="B31" t="s">
        <v>452</v>
      </c>
      <c r="C31" t="s">
        <v>1490</v>
      </c>
      <c r="D31">
        <v>18784.57618130941</v>
      </c>
      <c r="E31">
        <v>886.064914212708</v>
      </c>
      <c r="F31">
        <v>3</v>
      </c>
      <c r="G31" t="s">
        <v>1214</v>
      </c>
    </row>
    <row r="32" spans="1:7">
      <c r="A32" t="s">
        <v>40</v>
      </c>
      <c r="B32" t="s">
        <v>452</v>
      </c>
      <c r="C32" t="s">
        <v>1491</v>
      </c>
      <c r="D32">
        <v>24809.817597955825</v>
      </c>
      <c r="E32">
        <v>886.064914212708</v>
      </c>
      <c r="F32">
        <v>3</v>
      </c>
      <c r="G32" t="s">
        <v>1214</v>
      </c>
    </row>
    <row r="33" spans="1:7">
      <c r="A33" t="s">
        <v>40</v>
      </c>
      <c r="B33" t="s">
        <v>452</v>
      </c>
      <c r="C33" t="s">
        <v>1492</v>
      </c>
      <c r="D33">
        <v>15417.52950730112</v>
      </c>
      <c r="E33">
        <v>886.064914212708</v>
      </c>
      <c r="F33">
        <v>3</v>
      </c>
      <c r="G33" t="s">
        <v>1214</v>
      </c>
    </row>
    <row r="34" spans="1:7">
      <c r="A34" t="s">
        <v>40</v>
      </c>
      <c r="B34" t="s">
        <v>29</v>
      </c>
      <c r="C34" t="s">
        <v>1489</v>
      </c>
      <c r="D34">
        <v>28708.503220491741</v>
      </c>
      <c r="E34">
        <v>886.064914212708</v>
      </c>
      <c r="F34">
        <v>3</v>
      </c>
      <c r="G34" t="s">
        <v>1214</v>
      </c>
    </row>
    <row r="35" spans="1:7">
      <c r="A35" t="s">
        <v>40</v>
      </c>
      <c r="B35" t="s">
        <v>29</v>
      </c>
      <c r="C35" t="s">
        <v>1490</v>
      </c>
      <c r="D35">
        <v>18252.937232781784</v>
      </c>
      <c r="E35">
        <v>886.064914212708</v>
      </c>
      <c r="F35">
        <v>3</v>
      </c>
      <c r="G35" t="s">
        <v>1214</v>
      </c>
    </row>
    <row r="36" spans="1:7">
      <c r="A36" t="s">
        <v>40</v>
      </c>
      <c r="B36" t="s">
        <v>29</v>
      </c>
      <c r="C36" t="s">
        <v>1491</v>
      </c>
      <c r="D36">
        <v>16480.807404356368</v>
      </c>
      <c r="E36">
        <v>886.064914212708</v>
      </c>
      <c r="F36">
        <v>3</v>
      </c>
      <c r="G36" t="s">
        <v>1214</v>
      </c>
    </row>
    <row r="37" spans="1:7">
      <c r="A37" t="s">
        <v>40</v>
      </c>
      <c r="B37" t="s">
        <v>29</v>
      </c>
      <c r="C37" t="s">
        <v>1492</v>
      </c>
      <c r="D37">
        <v>17721.298284254161</v>
      </c>
      <c r="E37">
        <v>886.064914212708</v>
      </c>
      <c r="F37">
        <v>3</v>
      </c>
      <c r="G37" t="s">
        <v>1214</v>
      </c>
    </row>
    <row r="38" spans="1:7">
      <c r="A38" t="s">
        <v>53</v>
      </c>
      <c r="B38" t="s">
        <v>149</v>
      </c>
      <c r="C38" t="s">
        <v>1489</v>
      </c>
      <c r="D38">
        <v>1477.3338269921924</v>
      </c>
      <c r="E38">
        <v>369.33345674804809</v>
      </c>
      <c r="F38">
        <v>3</v>
      </c>
      <c r="G38" t="s">
        <v>1214</v>
      </c>
    </row>
    <row r="39" spans="1:7">
      <c r="A39" t="s">
        <v>53</v>
      </c>
      <c r="B39" t="s">
        <v>149</v>
      </c>
      <c r="C39" t="s">
        <v>1490</v>
      </c>
      <c r="D39">
        <v>1015.6670060571323</v>
      </c>
      <c r="E39">
        <v>369.33345674804809</v>
      </c>
      <c r="F39">
        <v>3</v>
      </c>
      <c r="G39" t="s">
        <v>1214</v>
      </c>
    </row>
    <row r="40" spans="1:7">
      <c r="A40" t="s">
        <v>53</v>
      </c>
      <c r="B40" t="s">
        <v>149</v>
      </c>
      <c r="C40" t="s">
        <v>1491</v>
      </c>
      <c r="D40">
        <v>1846.6672837402405</v>
      </c>
      <c r="E40">
        <v>369.33345674804809</v>
      </c>
      <c r="F40">
        <v>3</v>
      </c>
      <c r="G40" t="s">
        <v>1214</v>
      </c>
    </row>
    <row r="41" spans="1:7">
      <c r="A41" t="s">
        <v>53</v>
      </c>
      <c r="B41" t="s">
        <v>149</v>
      </c>
      <c r="C41" t="s">
        <v>1492</v>
      </c>
      <c r="D41">
        <v>17543.339195532284</v>
      </c>
      <c r="E41">
        <v>369.33345674804809</v>
      </c>
      <c r="F41">
        <v>3</v>
      </c>
      <c r="G41" t="s">
        <v>1214</v>
      </c>
    </row>
    <row r="42" spans="1:7">
      <c r="A42" t="s">
        <v>53</v>
      </c>
      <c r="B42" t="s">
        <v>452</v>
      </c>
      <c r="C42" t="s">
        <v>1489</v>
      </c>
      <c r="D42">
        <v>1754.3339195532285</v>
      </c>
      <c r="E42">
        <v>369.33345674804809</v>
      </c>
      <c r="F42">
        <v>3</v>
      </c>
      <c r="G42" t="s">
        <v>1214</v>
      </c>
    </row>
    <row r="43" spans="1:7">
      <c r="A43" t="s">
        <v>53</v>
      </c>
      <c r="B43" t="s">
        <v>452</v>
      </c>
      <c r="C43" t="s">
        <v>1490</v>
      </c>
      <c r="D43">
        <v>1015.6670060571323</v>
      </c>
      <c r="E43">
        <v>369.33345674804809</v>
      </c>
      <c r="F43">
        <v>3</v>
      </c>
      <c r="G43" t="s">
        <v>1214</v>
      </c>
    </row>
    <row r="44" spans="1:7">
      <c r="A44" t="s">
        <v>53</v>
      </c>
      <c r="B44" t="s">
        <v>452</v>
      </c>
      <c r="C44" t="s">
        <v>1491</v>
      </c>
      <c r="D44">
        <v>1108.0003702441443</v>
      </c>
      <c r="E44">
        <v>369.33345674804809</v>
      </c>
      <c r="F44">
        <v>3</v>
      </c>
      <c r="G44" t="s">
        <v>1214</v>
      </c>
    </row>
    <row r="45" spans="1:7">
      <c r="A45" t="s">
        <v>53</v>
      </c>
      <c r="B45" t="s">
        <v>452</v>
      </c>
      <c r="C45" t="s">
        <v>1492</v>
      </c>
      <c r="D45">
        <v>12003.337344311563</v>
      </c>
      <c r="E45">
        <v>369.33345674804809</v>
      </c>
      <c r="F45">
        <v>3</v>
      </c>
      <c r="G45" t="s">
        <v>1214</v>
      </c>
    </row>
    <row r="46" spans="1:7">
      <c r="A46" t="s">
        <v>53</v>
      </c>
      <c r="B46" t="s">
        <v>29</v>
      </c>
      <c r="C46" t="s">
        <v>1489</v>
      </c>
      <c r="D46">
        <v>1477.3338269921924</v>
      </c>
      <c r="E46">
        <v>369.33345674804809</v>
      </c>
      <c r="F46">
        <v>3</v>
      </c>
      <c r="G46" t="s">
        <v>1214</v>
      </c>
    </row>
    <row r="47" spans="1:7">
      <c r="A47" t="s">
        <v>53</v>
      </c>
      <c r="B47" t="s">
        <v>29</v>
      </c>
      <c r="C47" t="s">
        <v>1490</v>
      </c>
      <c r="D47">
        <v>1292.6670986181684</v>
      </c>
      <c r="E47">
        <v>369.33345674804809</v>
      </c>
      <c r="F47">
        <v>3</v>
      </c>
      <c r="G47" t="s">
        <v>1214</v>
      </c>
    </row>
    <row r="48" spans="1:7">
      <c r="A48" t="s">
        <v>53</v>
      </c>
      <c r="B48" t="s">
        <v>29</v>
      </c>
      <c r="C48" t="s">
        <v>1491</v>
      </c>
      <c r="D48">
        <v>1292.6670986181684</v>
      </c>
      <c r="E48">
        <v>369.33345674804809</v>
      </c>
      <c r="F48">
        <v>3</v>
      </c>
      <c r="G48" t="s">
        <v>1214</v>
      </c>
    </row>
    <row r="49" spans="1:7">
      <c r="A49" t="s">
        <v>53</v>
      </c>
      <c r="B49" t="s">
        <v>29</v>
      </c>
      <c r="C49" t="s">
        <v>1492</v>
      </c>
      <c r="D49">
        <v>16158.338732727105</v>
      </c>
      <c r="E49">
        <v>369.33345674804809</v>
      </c>
      <c r="F49">
        <v>3</v>
      </c>
      <c r="G49" t="s">
        <v>1214</v>
      </c>
    </row>
    <row r="50" spans="1:7">
      <c r="A50" t="s">
        <v>34</v>
      </c>
      <c r="B50" t="s">
        <v>149</v>
      </c>
      <c r="C50" t="s">
        <v>1489</v>
      </c>
      <c r="D50">
        <v>717.83637352601261</v>
      </c>
      <c r="E50">
        <v>69.022728223655065</v>
      </c>
      <c r="F50">
        <v>3</v>
      </c>
      <c r="G50" t="s">
        <v>1214</v>
      </c>
    </row>
    <row r="51" spans="1:7">
      <c r="A51" t="s">
        <v>34</v>
      </c>
      <c r="B51" t="s">
        <v>149</v>
      </c>
      <c r="C51" t="s">
        <v>1490</v>
      </c>
      <c r="D51">
        <v>980.12274077590189</v>
      </c>
      <c r="E51">
        <v>69.022728223655065</v>
      </c>
      <c r="F51">
        <v>3</v>
      </c>
      <c r="G51" t="s">
        <v>1214</v>
      </c>
    </row>
    <row r="52" spans="1:7">
      <c r="A52" t="s">
        <v>34</v>
      </c>
      <c r="B52" t="s">
        <v>149</v>
      </c>
      <c r="C52" t="s">
        <v>1491</v>
      </c>
      <c r="D52">
        <v>1442.5750198743908</v>
      </c>
      <c r="E52">
        <v>69.022728223655065</v>
      </c>
      <c r="F52">
        <v>3</v>
      </c>
      <c r="G52" t="s">
        <v>1214</v>
      </c>
    </row>
    <row r="53" spans="1:7">
      <c r="A53" t="s">
        <v>34</v>
      </c>
      <c r="B53" t="s">
        <v>149</v>
      </c>
      <c r="C53" t="s">
        <v>1492</v>
      </c>
      <c r="D53">
        <v>738.54319199310919</v>
      </c>
      <c r="E53">
        <v>69.022728223655065</v>
      </c>
      <c r="F53">
        <v>3</v>
      </c>
      <c r="G53" t="s">
        <v>1214</v>
      </c>
    </row>
    <row r="54" spans="1:7">
      <c r="A54" t="s">
        <v>34</v>
      </c>
      <c r="B54" t="s">
        <v>452</v>
      </c>
      <c r="C54" t="s">
        <v>1489</v>
      </c>
      <c r="D54">
        <v>738.54319199310919</v>
      </c>
      <c r="E54">
        <v>69.022728223655065</v>
      </c>
      <c r="F54">
        <v>3</v>
      </c>
      <c r="G54" t="s">
        <v>1214</v>
      </c>
    </row>
    <row r="55" spans="1:7">
      <c r="A55" t="s">
        <v>34</v>
      </c>
      <c r="B55" t="s">
        <v>452</v>
      </c>
      <c r="C55" t="s">
        <v>1490</v>
      </c>
      <c r="D55">
        <v>524.57273449977845</v>
      </c>
      <c r="E55">
        <v>69.022728223655065</v>
      </c>
      <c r="F55">
        <v>3</v>
      </c>
      <c r="G55" t="s">
        <v>1214</v>
      </c>
    </row>
    <row r="56" spans="1:7">
      <c r="A56" t="s">
        <v>34</v>
      </c>
      <c r="B56" t="s">
        <v>452</v>
      </c>
      <c r="C56" t="s">
        <v>1491</v>
      </c>
      <c r="D56">
        <v>524.57273449977845</v>
      </c>
      <c r="E56">
        <v>69.022728223655065</v>
      </c>
      <c r="F56">
        <v>3</v>
      </c>
      <c r="G56" t="s">
        <v>1214</v>
      </c>
    </row>
    <row r="57" spans="1:7">
      <c r="A57" t="s">
        <v>34</v>
      </c>
      <c r="B57" t="s">
        <v>452</v>
      </c>
      <c r="C57" t="s">
        <v>1492</v>
      </c>
      <c r="D57">
        <v>524.57273449977845</v>
      </c>
      <c r="E57">
        <v>69.022728223655065</v>
      </c>
      <c r="F57">
        <v>3</v>
      </c>
      <c r="G57" t="s">
        <v>1214</v>
      </c>
    </row>
    <row r="58" spans="1:7">
      <c r="A58" t="s">
        <v>34</v>
      </c>
      <c r="B58" t="s">
        <v>29</v>
      </c>
      <c r="C58" t="s">
        <v>1489</v>
      </c>
      <c r="D58">
        <v>565.9863714339715</v>
      </c>
      <c r="E58">
        <v>69.022728223655065</v>
      </c>
      <c r="F58">
        <v>3</v>
      </c>
      <c r="G58" t="s">
        <v>1214</v>
      </c>
    </row>
    <row r="59" spans="1:7">
      <c r="A59" t="s">
        <v>34</v>
      </c>
      <c r="B59" t="s">
        <v>29</v>
      </c>
      <c r="C59" t="s">
        <v>1490</v>
      </c>
      <c r="D59">
        <v>448.64773345375789</v>
      </c>
      <c r="E59">
        <v>69.022728223655065</v>
      </c>
      <c r="F59">
        <v>3</v>
      </c>
      <c r="G59" t="s">
        <v>1214</v>
      </c>
    </row>
    <row r="60" spans="1:7">
      <c r="A60" t="s">
        <v>34</v>
      </c>
      <c r="B60" t="s">
        <v>29</v>
      </c>
      <c r="C60" t="s">
        <v>1491</v>
      </c>
      <c r="D60">
        <v>476.25682474321991</v>
      </c>
      <c r="E60">
        <v>69.022728223655065</v>
      </c>
      <c r="F60">
        <v>3</v>
      </c>
      <c r="G60" t="s">
        <v>1214</v>
      </c>
    </row>
    <row r="61" spans="1:7">
      <c r="A61" t="s">
        <v>34</v>
      </c>
      <c r="B61" t="s">
        <v>29</v>
      </c>
      <c r="C61" t="s">
        <v>1492</v>
      </c>
      <c r="D61">
        <v>448.64773345375789</v>
      </c>
      <c r="E61">
        <v>69.022728223655065</v>
      </c>
      <c r="F61">
        <v>3</v>
      </c>
      <c r="G61" t="s">
        <v>1214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3"/>
  <sheetViews>
    <sheetView workbookViewId="0"/>
  </sheetViews>
  <sheetFormatPr baseColWidth="10" defaultColWidth="9" defaultRowHeight="13.5"/>
  <cols>
    <col min="1" max="1" width="5.125" customWidth="1"/>
    <col min="2" max="2" width="7" customWidth="1"/>
    <col min="3" max="3" width="8.5" customWidth="1"/>
    <col min="4" max="4" width="6.625" customWidth="1"/>
    <col min="5" max="5" width="4.75" customWidth="1"/>
    <col min="6" max="6" width="1.5" customWidth="1"/>
    <col min="7" max="7" width="8.75" customWidth="1"/>
    <col min="8" max="8" width="5.875" customWidth="1"/>
  </cols>
  <sheetData>
    <row r="1" spans="1:8" ht="27.75">
      <c r="A1" s="27" t="s">
        <v>23</v>
      </c>
      <c r="B1" s="27" t="s">
        <v>24</v>
      </c>
      <c r="C1" s="27" t="s">
        <v>25</v>
      </c>
      <c r="D1" s="27" t="s">
        <v>1233</v>
      </c>
      <c r="E1" s="27" t="s">
        <v>1245</v>
      </c>
      <c r="F1" s="27" t="s">
        <v>1209</v>
      </c>
      <c r="G1" s="27" t="s">
        <v>1234</v>
      </c>
      <c r="H1" s="27" t="s">
        <v>74</v>
      </c>
    </row>
    <row r="2" spans="1:8">
      <c r="A2" t="s">
        <v>29</v>
      </c>
      <c r="B2" t="s">
        <v>489</v>
      </c>
      <c r="C2" t="s">
        <v>1493</v>
      </c>
      <c r="D2">
        <v>1159.58</v>
      </c>
      <c r="E2">
        <v>4.12</v>
      </c>
      <c r="F2">
        <v>3</v>
      </c>
      <c r="G2" t="s">
        <v>1245</v>
      </c>
      <c r="H2" t="s">
        <v>819</v>
      </c>
    </row>
    <row r="3" spans="1:8">
      <c r="A3" t="s">
        <v>29</v>
      </c>
      <c r="B3" t="s">
        <v>489</v>
      </c>
      <c r="C3" t="s">
        <v>1494</v>
      </c>
      <c r="D3">
        <v>446.78</v>
      </c>
      <c r="E3">
        <v>7.01</v>
      </c>
      <c r="F3">
        <v>3</v>
      </c>
      <c r="G3" t="s">
        <v>1245</v>
      </c>
      <c r="H3" t="s">
        <v>819</v>
      </c>
    </row>
    <row r="4" spans="1:8">
      <c r="A4" t="s">
        <v>29</v>
      </c>
      <c r="B4" t="s">
        <v>489</v>
      </c>
      <c r="C4" t="s">
        <v>1495</v>
      </c>
      <c r="D4">
        <v>807.46</v>
      </c>
      <c r="E4">
        <v>15.24</v>
      </c>
      <c r="F4">
        <v>3</v>
      </c>
      <c r="G4" t="s">
        <v>1245</v>
      </c>
      <c r="H4" t="s">
        <v>819</v>
      </c>
    </row>
    <row r="5" spans="1:8">
      <c r="A5" t="s">
        <v>41</v>
      </c>
      <c r="B5" t="s">
        <v>489</v>
      </c>
      <c r="C5" t="s">
        <v>1493</v>
      </c>
      <c r="D5">
        <v>54.58</v>
      </c>
      <c r="E5">
        <v>0.63</v>
      </c>
      <c r="F5">
        <v>3</v>
      </c>
      <c r="G5" t="s">
        <v>1245</v>
      </c>
      <c r="H5" t="s">
        <v>819</v>
      </c>
    </row>
    <row r="6" spans="1:8">
      <c r="A6" t="s">
        <v>41</v>
      </c>
      <c r="B6" t="s">
        <v>489</v>
      </c>
      <c r="C6" t="s">
        <v>1494</v>
      </c>
      <c r="D6">
        <v>110.82</v>
      </c>
      <c r="E6">
        <v>0.06</v>
      </c>
      <c r="F6">
        <v>3</v>
      </c>
      <c r="G6" t="s">
        <v>1245</v>
      </c>
      <c r="H6" t="s">
        <v>819</v>
      </c>
    </row>
    <row r="7" spans="1:8">
      <c r="A7" t="s">
        <v>41</v>
      </c>
      <c r="B7" t="s">
        <v>489</v>
      </c>
      <c r="C7" t="s">
        <v>1495</v>
      </c>
      <c r="D7">
        <v>95.86</v>
      </c>
      <c r="E7">
        <v>1.1499999999999999</v>
      </c>
      <c r="F7">
        <v>3</v>
      </c>
      <c r="G7" t="s">
        <v>1245</v>
      </c>
      <c r="H7" t="s">
        <v>819</v>
      </c>
    </row>
    <row r="8" spans="1:8">
      <c r="A8" t="s">
        <v>29</v>
      </c>
      <c r="B8" t="s">
        <v>503</v>
      </c>
      <c r="C8" t="s">
        <v>1493</v>
      </c>
      <c r="D8">
        <v>135.85</v>
      </c>
      <c r="E8">
        <v>0.44</v>
      </c>
      <c r="F8">
        <v>3</v>
      </c>
      <c r="G8" t="s">
        <v>1245</v>
      </c>
      <c r="H8" t="s">
        <v>819</v>
      </c>
    </row>
    <row r="9" spans="1:8">
      <c r="A9" t="s">
        <v>29</v>
      </c>
      <c r="B9" t="s">
        <v>503</v>
      </c>
      <c r="C9" t="s">
        <v>1494</v>
      </c>
      <c r="D9">
        <v>87.46</v>
      </c>
      <c r="E9">
        <v>5.12</v>
      </c>
      <c r="F9">
        <v>3</v>
      </c>
      <c r="G9" t="s">
        <v>1245</v>
      </c>
      <c r="H9" t="s">
        <v>819</v>
      </c>
    </row>
    <row r="10" spans="1:8">
      <c r="A10" t="s">
        <v>29</v>
      </c>
      <c r="B10" t="s">
        <v>503</v>
      </c>
      <c r="C10" t="s">
        <v>1495</v>
      </c>
      <c r="D10">
        <v>129.35</v>
      </c>
      <c r="E10">
        <v>0.54</v>
      </c>
      <c r="F10">
        <v>3</v>
      </c>
      <c r="G10" t="s">
        <v>1245</v>
      </c>
      <c r="H10" t="s">
        <v>819</v>
      </c>
    </row>
    <row r="11" spans="1:8">
      <c r="A11" t="s">
        <v>41</v>
      </c>
      <c r="B11" t="s">
        <v>503</v>
      </c>
      <c r="C11" t="s">
        <v>1493</v>
      </c>
      <c r="D11">
        <v>147.91</v>
      </c>
      <c r="E11">
        <v>0.09</v>
      </c>
      <c r="F11">
        <v>3</v>
      </c>
      <c r="G11" t="s">
        <v>1245</v>
      </c>
      <c r="H11" t="s">
        <v>819</v>
      </c>
    </row>
    <row r="12" spans="1:8">
      <c r="A12" t="s">
        <v>41</v>
      </c>
      <c r="B12" t="s">
        <v>503</v>
      </c>
      <c r="C12" t="s">
        <v>1494</v>
      </c>
      <c r="D12">
        <v>202.33</v>
      </c>
      <c r="E12">
        <v>3.99</v>
      </c>
      <c r="F12">
        <v>3</v>
      </c>
      <c r="G12" t="s">
        <v>1245</v>
      </c>
      <c r="H12" t="s">
        <v>819</v>
      </c>
    </row>
    <row r="13" spans="1:8">
      <c r="A13" t="s">
        <v>41</v>
      </c>
      <c r="B13" t="s">
        <v>503</v>
      </c>
      <c r="C13" t="s">
        <v>1495</v>
      </c>
      <c r="D13">
        <v>202.19</v>
      </c>
      <c r="E13">
        <v>0.23</v>
      </c>
      <c r="F13">
        <v>3</v>
      </c>
      <c r="G13" t="s">
        <v>1245</v>
      </c>
      <c r="H13" t="s">
        <v>819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7"/>
  <sheetViews>
    <sheetView workbookViewId="0"/>
  </sheetViews>
  <sheetFormatPr baseColWidth="10" defaultColWidth="9" defaultRowHeight="13.5"/>
  <cols>
    <col min="1" max="1" width="5.125" customWidth="1"/>
    <col min="2" max="2" width="7" customWidth="1"/>
    <col min="3" max="3" width="8.125" customWidth="1"/>
    <col min="4" max="4" width="10.625" customWidth="1"/>
    <col min="5" max="5" width="5" customWidth="1"/>
    <col min="6" max="6" width="10.25" customWidth="1"/>
    <col min="7" max="7" width="1.5" customWidth="1"/>
    <col min="8" max="8" width="18.875" customWidth="1"/>
    <col min="9" max="9" width="8.625" customWidth="1"/>
    <col min="10" max="10" width="6.875" customWidth="1"/>
  </cols>
  <sheetData>
    <row r="1" spans="1:10" ht="27.75">
      <c r="A1" s="28" t="s">
        <v>23</v>
      </c>
      <c r="B1" s="28" t="s">
        <v>24</v>
      </c>
      <c r="C1" s="28" t="s">
        <v>1469</v>
      </c>
      <c r="D1" s="28" t="s">
        <v>25</v>
      </c>
      <c r="E1" s="28" t="s">
        <v>1233</v>
      </c>
      <c r="F1" s="28" t="s">
        <v>1470</v>
      </c>
      <c r="G1" s="28" t="s">
        <v>1209</v>
      </c>
      <c r="H1" s="28" t="s">
        <v>1496</v>
      </c>
      <c r="I1" s="28" t="s">
        <v>1497</v>
      </c>
      <c r="J1" s="28" t="s">
        <v>1472</v>
      </c>
    </row>
    <row r="2" spans="1:10">
      <c r="A2" t="s">
        <v>41</v>
      </c>
      <c r="B2" t="s">
        <v>30</v>
      </c>
      <c r="C2" t="s">
        <v>833</v>
      </c>
      <c r="D2" t="s">
        <v>1498</v>
      </c>
      <c r="E2">
        <v>3</v>
      </c>
      <c r="F2">
        <v>8.3677397301471182E-2</v>
      </c>
      <c r="G2">
        <v>4</v>
      </c>
      <c r="H2" t="s">
        <v>1499</v>
      </c>
      <c r="I2">
        <v>0.12</v>
      </c>
      <c r="J2">
        <v>36</v>
      </c>
    </row>
    <row r="3" spans="1:10">
      <c r="A3" t="s">
        <v>41</v>
      </c>
      <c r="B3" t="s">
        <v>30</v>
      </c>
      <c r="C3" t="s">
        <v>833</v>
      </c>
      <c r="D3" t="s">
        <v>1500</v>
      </c>
      <c r="E3">
        <v>4.7</v>
      </c>
      <c r="F3">
        <v>8.3677397301471182E-2</v>
      </c>
      <c r="G3">
        <v>4</v>
      </c>
      <c r="H3" t="s">
        <v>1499</v>
      </c>
      <c r="I3">
        <v>0.12</v>
      </c>
      <c r="J3">
        <v>36</v>
      </c>
    </row>
    <row r="4" spans="1:10">
      <c r="A4" t="s">
        <v>41</v>
      </c>
      <c r="B4" t="s">
        <v>30</v>
      </c>
      <c r="C4" t="s">
        <v>840</v>
      </c>
      <c r="D4" t="s">
        <v>1498</v>
      </c>
      <c r="E4">
        <v>2.2999999999999998</v>
      </c>
      <c r="F4">
        <v>8.3677397301471182E-2</v>
      </c>
      <c r="G4">
        <v>4</v>
      </c>
      <c r="H4" t="s">
        <v>1499</v>
      </c>
      <c r="I4">
        <v>0.12</v>
      </c>
      <c r="J4">
        <v>36</v>
      </c>
    </row>
    <row r="5" spans="1:10">
      <c r="A5" t="s">
        <v>41</v>
      </c>
      <c r="B5" t="s">
        <v>30</v>
      </c>
      <c r="C5" t="s">
        <v>840</v>
      </c>
      <c r="D5" t="s">
        <v>1500</v>
      </c>
      <c r="E5">
        <v>4</v>
      </c>
      <c r="F5">
        <v>8.3677397301471182E-2</v>
      </c>
      <c r="G5">
        <v>4</v>
      </c>
      <c r="H5" t="s">
        <v>1499</v>
      </c>
      <c r="I5">
        <v>0.12</v>
      </c>
      <c r="J5">
        <v>36</v>
      </c>
    </row>
    <row r="6" spans="1:10">
      <c r="A6" t="s">
        <v>41</v>
      </c>
      <c r="B6" t="s">
        <v>30</v>
      </c>
      <c r="C6" t="s">
        <v>843</v>
      </c>
      <c r="D6" t="s">
        <v>1498</v>
      </c>
      <c r="E6">
        <v>2.7</v>
      </c>
      <c r="F6">
        <v>8.3677397301471182E-2</v>
      </c>
      <c r="G6">
        <v>4</v>
      </c>
      <c r="H6" t="s">
        <v>1499</v>
      </c>
      <c r="I6">
        <v>0.12</v>
      </c>
      <c r="J6">
        <v>36</v>
      </c>
    </row>
    <row r="7" spans="1:10">
      <c r="A7" t="s">
        <v>41</v>
      </c>
      <c r="B7" t="s">
        <v>30</v>
      </c>
      <c r="C7" t="s">
        <v>843</v>
      </c>
      <c r="D7" t="s">
        <v>1500</v>
      </c>
      <c r="E7">
        <v>3.3</v>
      </c>
      <c r="F7">
        <v>8.3677397301471182E-2</v>
      </c>
      <c r="G7">
        <v>4</v>
      </c>
      <c r="H7" t="s">
        <v>1499</v>
      </c>
      <c r="I7">
        <v>0.12</v>
      </c>
      <c r="J7">
        <v>36</v>
      </c>
    </row>
    <row r="8" spans="1:10">
      <c r="A8" t="s">
        <v>41</v>
      </c>
      <c r="B8" t="s">
        <v>337</v>
      </c>
      <c r="C8" t="s">
        <v>833</v>
      </c>
      <c r="D8" t="s">
        <v>1498</v>
      </c>
      <c r="E8">
        <v>6.7</v>
      </c>
      <c r="F8">
        <v>0.10459674662683896</v>
      </c>
      <c r="G8">
        <v>4</v>
      </c>
      <c r="H8" t="s">
        <v>1499</v>
      </c>
      <c r="I8">
        <v>0.15</v>
      </c>
      <c r="J8">
        <v>36</v>
      </c>
    </row>
    <row r="9" spans="1:10">
      <c r="A9" t="s">
        <v>41</v>
      </c>
      <c r="B9" t="s">
        <v>337</v>
      </c>
      <c r="C9" t="s">
        <v>833</v>
      </c>
      <c r="D9" t="s">
        <v>1500</v>
      </c>
      <c r="E9">
        <v>7.2</v>
      </c>
      <c r="F9">
        <v>0.10459674662683896</v>
      </c>
      <c r="G9">
        <v>4</v>
      </c>
      <c r="H9" t="s">
        <v>1499</v>
      </c>
      <c r="I9">
        <v>0.15</v>
      </c>
      <c r="J9">
        <v>36</v>
      </c>
    </row>
    <row r="10" spans="1:10">
      <c r="A10" t="s">
        <v>41</v>
      </c>
      <c r="B10" t="s">
        <v>337</v>
      </c>
      <c r="C10" t="s">
        <v>840</v>
      </c>
      <c r="D10" t="s">
        <v>1498</v>
      </c>
      <c r="E10">
        <v>6.7</v>
      </c>
      <c r="F10">
        <v>0.10459674662683896</v>
      </c>
      <c r="G10">
        <v>4</v>
      </c>
      <c r="H10" t="s">
        <v>1499</v>
      </c>
      <c r="I10">
        <v>0.15</v>
      </c>
      <c r="J10">
        <v>36</v>
      </c>
    </row>
    <row r="11" spans="1:10">
      <c r="A11" t="s">
        <v>41</v>
      </c>
      <c r="B11" t="s">
        <v>337</v>
      </c>
      <c r="C11" t="s">
        <v>840</v>
      </c>
      <c r="D11" t="s">
        <v>1500</v>
      </c>
      <c r="E11">
        <v>6.9</v>
      </c>
      <c r="F11">
        <v>0.10459674662683896</v>
      </c>
      <c r="G11">
        <v>4</v>
      </c>
      <c r="H11" t="s">
        <v>1499</v>
      </c>
      <c r="I11">
        <v>0.15</v>
      </c>
      <c r="J11">
        <v>36</v>
      </c>
    </row>
    <row r="12" spans="1:10">
      <c r="A12" t="s">
        <v>41</v>
      </c>
      <c r="B12" t="s">
        <v>337</v>
      </c>
      <c r="C12" t="s">
        <v>843</v>
      </c>
      <c r="D12" t="s">
        <v>1498</v>
      </c>
      <c r="E12">
        <v>6.8</v>
      </c>
      <c r="F12">
        <v>0.10459674662683896</v>
      </c>
      <c r="G12">
        <v>4</v>
      </c>
      <c r="H12" t="s">
        <v>1499</v>
      </c>
      <c r="I12">
        <v>0.15</v>
      </c>
      <c r="J12">
        <v>36</v>
      </c>
    </row>
    <row r="13" spans="1:10">
      <c r="A13" t="s">
        <v>41</v>
      </c>
      <c r="B13" t="s">
        <v>337</v>
      </c>
      <c r="C13" t="s">
        <v>843</v>
      </c>
      <c r="D13" t="s">
        <v>1500</v>
      </c>
      <c r="E13">
        <v>6.7</v>
      </c>
      <c r="F13">
        <v>0.10459674662683896</v>
      </c>
      <c r="G13">
        <v>4</v>
      </c>
      <c r="H13" t="s">
        <v>1499</v>
      </c>
      <c r="I13">
        <v>0.15</v>
      </c>
      <c r="J13">
        <v>36</v>
      </c>
    </row>
    <row r="14" spans="1:10">
      <c r="A14" t="s">
        <v>41</v>
      </c>
      <c r="B14" t="s">
        <v>40</v>
      </c>
      <c r="C14" t="s">
        <v>833</v>
      </c>
      <c r="D14" t="s">
        <v>1498</v>
      </c>
      <c r="E14">
        <v>58</v>
      </c>
      <c r="F14">
        <v>9.0650513743260455E-2</v>
      </c>
      <c r="G14">
        <v>4</v>
      </c>
      <c r="H14" t="s">
        <v>1499</v>
      </c>
      <c r="I14">
        <v>0.13</v>
      </c>
      <c r="J14">
        <v>36</v>
      </c>
    </row>
    <row r="15" spans="1:10">
      <c r="A15" t="s">
        <v>41</v>
      </c>
      <c r="B15" t="s">
        <v>40</v>
      </c>
      <c r="C15" t="s">
        <v>833</v>
      </c>
      <c r="D15" t="s">
        <v>1500</v>
      </c>
      <c r="E15">
        <v>61</v>
      </c>
      <c r="F15">
        <v>9.0650513743260455E-2</v>
      </c>
      <c r="G15">
        <v>4</v>
      </c>
      <c r="H15" t="s">
        <v>1499</v>
      </c>
      <c r="I15">
        <v>0.13</v>
      </c>
      <c r="J15">
        <v>36</v>
      </c>
    </row>
    <row r="16" spans="1:10">
      <c r="A16" t="s">
        <v>41</v>
      </c>
      <c r="B16" t="s">
        <v>40</v>
      </c>
      <c r="C16" t="s">
        <v>840</v>
      </c>
      <c r="D16" t="s">
        <v>1498</v>
      </c>
      <c r="E16">
        <v>48</v>
      </c>
      <c r="F16">
        <v>9.0650513743260455E-2</v>
      </c>
      <c r="G16">
        <v>4</v>
      </c>
      <c r="H16" t="s">
        <v>1499</v>
      </c>
      <c r="I16">
        <v>0.13</v>
      </c>
      <c r="J16">
        <v>36</v>
      </c>
    </row>
    <row r="17" spans="1:10">
      <c r="A17" t="s">
        <v>41</v>
      </c>
      <c r="B17" t="s">
        <v>40</v>
      </c>
      <c r="C17" t="s">
        <v>840</v>
      </c>
      <c r="D17" t="s">
        <v>1500</v>
      </c>
      <c r="E17">
        <v>58</v>
      </c>
      <c r="F17">
        <v>9.0650513743260455E-2</v>
      </c>
      <c r="G17">
        <v>4</v>
      </c>
      <c r="H17" t="s">
        <v>1499</v>
      </c>
      <c r="I17">
        <v>0.13</v>
      </c>
      <c r="J17">
        <v>36</v>
      </c>
    </row>
    <row r="18" spans="1:10">
      <c r="A18" t="s">
        <v>41</v>
      </c>
      <c r="B18" t="s">
        <v>40</v>
      </c>
      <c r="C18" t="s">
        <v>843</v>
      </c>
      <c r="D18" t="s">
        <v>1498</v>
      </c>
      <c r="E18">
        <v>50.7</v>
      </c>
      <c r="F18">
        <v>9.0650513743260455E-2</v>
      </c>
      <c r="G18">
        <v>4</v>
      </c>
      <c r="H18" t="s">
        <v>1499</v>
      </c>
      <c r="I18">
        <v>0.13</v>
      </c>
      <c r="J18">
        <v>36</v>
      </c>
    </row>
    <row r="19" spans="1:10">
      <c r="A19" t="s">
        <v>41</v>
      </c>
      <c r="B19" t="s">
        <v>40</v>
      </c>
      <c r="C19" t="s">
        <v>843</v>
      </c>
      <c r="D19" t="s">
        <v>1500</v>
      </c>
      <c r="E19">
        <v>55</v>
      </c>
      <c r="F19">
        <v>9.0650513743260455E-2</v>
      </c>
      <c r="G19">
        <v>4</v>
      </c>
      <c r="H19" t="s">
        <v>1499</v>
      </c>
      <c r="I19">
        <v>0.13</v>
      </c>
      <c r="J19">
        <v>36</v>
      </c>
    </row>
    <row r="20" spans="1:10">
      <c r="A20" t="s">
        <v>29</v>
      </c>
      <c r="B20" t="s">
        <v>30</v>
      </c>
      <c r="C20" t="s">
        <v>833</v>
      </c>
      <c r="D20" t="s">
        <v>1498</v>
      </c>
      <c r="E20">
        <v>12</v>
      </c>
      <c r="F20">
        <v>0.11156986306862825</v>
      </c>
      <c r="G20">
        <v>4</v>
      </c>
      <c r="H20" t="s">
        <v>1499</v>
      </c>
      <c r="I20">
        <v>0.16</v>
      </c>
      <c r="J20">
        <v>36</v>
      </c>
    </row>
    <row r="21" spans="1:10">
      <c r="A21" t="s">
        <v>29</v>
      </c>
      <c r="B21" t="s">
        <v>30</v>
      </c>
      <c r="C21" t="s">
        <v>833</v>
      </c>
      <c r="D21" t="s">
        <v>1500</v>
      </c>
      <c r="E21">
        <v>13</v>
      </c>
      <c r="F21">
        <v>0.11156986306862825</v>
      </c>
      <c r="G21">
        <v>4</v>
      </c>
      <c r="H21" t="s">
        <v>1499</v>
      </c>
      <c r="I21">
        <v>0.16</v>
      </c>
      <c r="J21">
        <v>36</v>
      </c>
    </row>
    <row r="22" spans="1:10">
      <c r="A22" t="s">
        <v>29</v>
      </c>
      <c r="B22" t="s">
        <v>30</v>
      </c>
      <c r="C22" t="s">
        <v>840</v>
      </c>
      <c r="D22" t="s">
        <v>1498</v>
      </c>
      <c r="E22">
        <v>12.3</v>
      </c>
      <c r="F22">
        <v>0.11156986306862825</v>
      </c>
      <c r="G22">
        <v>4</v>
      </c>
      <c r="H22" t="s">
        <v>1499</v>
      </c>
      <c r="I22">
        <v>0.16</v>
      </c>
      <c r="J22">
        <v>36</v>
      </c>
    </row>
    <row r="23" spans="1:10">
      <c r="A23" t="s">
        <v>29</v>
      </c>
      <c r="B23" t="s">
        <v>30</v>
      </c>
      <c r="C23" t="s">
        <v>840</v>
      </c>
      <c r="D23" t="s">
        <v>1500</v>
      </c>
      <c r="E23">
        <v>13.3</v>
      </c>
      <c r="F23">
        <v>0.11156986306862825</v>
      </c>
      <c r="G23">
        <v>4</v>
      </c>
      <c r="H23" t="s">
        <v>1499</v>
      </c>
      <c r="I23">
        <v>0.16</v>
      </c>
      <c r="J23">
        <v>36</v>
      </c>
    </row>
    <row r="24" spans="1:10">
      <c r="A24" t="s">
        <v>29</v>
      </c>
      <c r="B24" t="s">
        <v>30</v>
      </c>
      <c r="C24" t="s">
        <v>843</v>
      </c>
      <c r="D24" t="s">
        <v>1498</v>
      </c>
      <c r="E24">
        <v>12.3</v>
      </c>
      <c r="F24">
        <v>0.11156986306862825</v>
      </c>
      <c r="G24">
        <v>4</v>
      </c>
      <c r="H24" t="s">
        <v>1499</v>
      </c>
      <c r="I24">
        <v>0.16</v>
      </c>
      <c r="J24">
        <v>36</v>
      </c>
    </row>
    <row r="25" spans="1:10">
      <c r="A25" t="s">
        <v>29</v>
      </c>
      <c r="B25" t="s">
        <v>30</v>
      </c>
      <c r="C25" t="s">
        <v>843</v>
      </c>
      <c r="D25" t="s">
        <v>1500</v>
      </c>
      <c r="E25">
        <v>14.3</v>
      </c>
      <c r="F25">
        <v>0.11156986306862825</v>
      </c>
      <c r="G25">
        <v>4</v>
      </c>
      <c r="H25" t="s">
        <v>1499</v>
      </c>
      <c r="I25">
        <v>0.16</v>
      </c>
      <c r="J25">
        <v>36</v>
      </c>
    </row>
    <row r="26" spans="1:10">
      <c r="A26" t="s">
        <v>29</v>
      </c>
      <c r="B26" t="s">
        <v>337</v>
      </c>
      <c r="C26" t="s">
        <v>833</v>
      </c>
      <c r="D26" t="s">
        <v>1498</v>
      </c>
      <c r="E26">
        <v>4.5999999999999996</v>
      </c>
      <c r="F26">
        <v>8.3677397301471182E-2</v>
      </c>
      <c r="G26">
        <v>4</v>
      </c>
      <c r="H26" t="s">
        <v>1499</v>
      </c>
      <c r="I26">
        <v>0.12</v>
      </c>
      <c r="J26">
        <v>36</v>
      </c>
    </row>
    <row r="27" spans="1:10">
      <c r="A27" t="s">
        <v>29</v>
      </c>
      <c r="B27" t="s">
        <v>337</v>
      </c>
      <c r="C27" t="s">
        <v>833</v>
      </c>
      <c r="D27" t="s">
        <v>1500</v>
      </c>
      <c r="E27">
        <v>5</v>
      </c>
      <c r="F27">
        <v>8.3677397301471182E-2</v>
      </c>
      <c r="G27">
        <v>4</v>
      </c>
      <c r="H27" t="s">
        <v>1499</v>
      </c>
      <c r="I27">
        <v>0.12</v>
      </c>
      <c r="J27">
        <v>36</v>
      </c>
    </row>
    <row r="28" spans="1:10">
      <c r="A28" t="s">
        <v>29</v>
      </c>
      <c r="B28" t="s">
        <v>337</v>
      </c>
      <c r="C28" t="s">
        <v>840</v>
      </c>
      <c r="D28" t="s">
        <v>1498</v>
      </c>
      <c r="E28">
        <v>4.8</v>
      </c>
      <c r="F28">
        <v>8.3677397301471182E-2</v>
      </c>
      <c r="G28">
        <v>4</v>
      </c>
      <c r="H28" t="s">
        <v>1499</v>
      </c>
      <c r="I28">
        <v>0.12</v>
      </c>
      <c r="J28">
        <v>36</v>
      </c>
    </row>
    <row r="29" spans="1:10">
      <c r="A29" t="s">
        <v>29</v>
      </c>
      <c r="B29" t="s">
        <v>337</v>
      </c>
      <c r="C29" t="s">
        <v>840</v>
      </c>
      <c r="D29" t="s">
        <v>1500</v>
      </c>
      <c r="E29">
        <v>5.9</v>
      </c>
      <c r="F29">
        <v>8.3677397301471182E-2</v>
      </c>
      <c r="G29">
        <v>4</v>
      </c>
      <c r="H29" t="s">
        <v>1499</v>
      </c>
      <c r="I29">
        <v>0.12</v>
      </c>
      <c r="J29">
        <v>36</v>
      </c>
    </row>
    <row r="30" spans="1:10">
      <c r="A30" t="s">
        <v>29</v>
      </c>
      <c r="B30" t="s">
        <v>337</v>
      </c>
      <c r="C30" t="s">
        <v>843</v>
      </c>
      <c r="D30" t="s">
        <v>1498</v>
      </c>
      <c r="E30">
        <v>5.0999999999999996</v>
      </c>
      <c r="F30">
        <v>8.3677397301471182E-2</v>
      </c>
      <c r="G30">
        <v>4</v>
      </c>
      <c r="H30" t="s">
        <v>1499</v>
      </c>
      <c r="I30">
        <v>0.12</v>
      </c>
      <c r="J30">
        <v>36</v>
      </c>
    </row>
    <row r="31" spans="1:10">
      <c r="A31" t="s">
        <v>29</v>
      </c>
      <c r="B31" t="s">
        <v>337</v>
      </c>
      <c r="C31" t="s">
        <v>843</v>
      </c>
      <c r="D31" t="s">
        <v>1500</v>
      </c>
      <c r="E31">
        <v>5.2</v>
      </c>
      <c r="F31">
        <v>8.3677397301471182E-2</v>
      </c>
      <c r="G31">
        <v>4</v>
      </c>
      <c r="H31" t="s">
        <v>1499</v>
      </c>
      <c r="I31">
        <v>0.12</v>
      </c>
      <c r="J31">
        <v>36</v>
      </c>
    </row>
    <row r="32" spans="1:10">
      <c r="A32" t="s">
        <v>29</v>
      </c>
      <c r="B32" t="s">
        <v>40</v>
      </c>
      <c r="C32" t="s">
        <v>833</v>
      </c>
      <c r="D32" t="s">
        <v>1498</v>
      </c>
      <c r="E32">
        <v>10</v>
      </c>
      <c r="F32">
        <v>9.7623630185049715E-2</v>
      </c>
      <c r="G32">
        <v>4</v>
      </c>
      <c r="H32" t="s">
        <v>1499</v>
      </c>
      <c r="I32">
        <v>0.14000000000000001</v>
      </c>
      <c r="J32">
        <v>36</v>
      </c>
    </row>
    <row r="33" spans="1:10">
      <c r="A33" t="s">
        <v>29</v>
      </c>
      <c r="B33" t="s">
        <v>40</v>
      </c>
      <c r="C33" t="s">
        <v>833</v>
      </c>
      <c r="D33" t="s">
        <v>1500</v>
      </c>
      <c r="E33">
        <v>11</v>
      </c>
      <c r="F33">
        <v>9.7623630185049715E-2</v>
      </c>
      <c r="G33">
        <v>4</v>
      </c>
      <c r="H33" t="s">
        <v>1499</v>
      </c>
      <c r="I33">
        <v>0.14000000000000001</v>
      </c>
      <c r="J33">
        <v>36</v>
      </c>
    </row>
    <row r="34" spans="1:10">
      <c r="A34" t="s">
        <v>29</v>
      </c>
      <c r="B34" t="s">
        <v>40</v>
      </c>
      <c r="C34" t="s">
        <v>840</v>
      </c>
      <c r="D34" t="s">
        <v>1498</v>
      </c>
      <c r="E34">
        <v>10</v>
      </c>
      <c r="F34">
        <v>9.7623630185049715E-2</v>
      </c>
      <c r="G34">
        <v>4</v>
      </c>
      <c r="H34" t="s">
        <v>1499</v>
      </c>
      <c r="I34">
        <v>0.14000000000000001</v>
      </c>
      <c r="J34">
        <v>36</v>
      </c>
    </row>
    <row r="35" spans="1:10">
      <c r="A35" t="s">
        <v>29</v>
      </c>
      <c r="B35" t="s">
        <v>40</v>
      </c>
      <c r="C35" t="s">
        <v>840</v>
      </c>
      <c r="D35" t="s">
        <v>1500</v>
      </c>
      <c r="E35">
        <v>11</v>
      </c>
      <c r="F35">
        <v>9.7623630185049715E-2</v>
      </c>
      <c r="G35">
        <v>4</v>
      </c>
      <c r="H35" t="s">
        <v>1499</v>
      </c>
      <c r="I35">
        <v>0.14000000000000001</v>
      </c>
      <c r="J35">
        <v>36</v>
      </c>
    </row>
    <row r="36" spans="1:10">
      <c r="A36" t="s">
        <v>29</v>
      </c>
      <c r="B36" t="s">
        <v>40</v>
      </c>
      <c r="C36" t="s">
        <v>843</v>
      </c>
      <c r="D36" t="s">
        <v>1498</v>
      </c>
      <c r="E36">
        <v>10</v>
      </c>
      <c r="F36">
        <v>9.7623630185049715E-2</v>
      </c>
      <c r="G36">
        <v>4</v>
      </c>
      <c r="H36" t="s">
        <v>1499</v>
      </c>
      <c r="I36">
        <v>0.14000000000000001</v>
      </c>
      <c r="J36">
        <v>36</v>
      </c>
    </row>
    <row r="37" spans="1:10">
      <c r="A37" t="s">
        <v>29</v>
      </c>
      <c r="B37" t="s">
        <v>40</v>
      </c>
      <c r="C37" t="s">
        <v>843</v>
      </c>
      <c r="D37" t="s">
        <v>1500</v>
      </c>
      <c r="E37">
        <v>11.3</v>
      </c>
      <c r="F37">
        <v>9.7623630185049715E-2</v>
      </c>
      <c r="G37">
        <v>4</v>
      </c>
      <c r="H37" t="s">
        <v>1499</v>
      </c>
      <c r="I37">
        <v>0.14000000000000001</v>
      </c>
      <c r="J37">
        <v>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3"/>
  <sheetViews>
    <sheetView workbookViewId="0"/>
  </sheetViews>
  <sheetFormatPr baseColWidth="10" defaultColWidth="9" defaultRowHeight="13.5"/>
  <cols>
    <col min="1" max="1" width="8.125" customWidth="1"/>
    <col min="2" max="2" width="7" customWidth="1"/>
    <col min="3" max="3" width="10.5" customWidth="1"/>
    <col min="4" max="4" width="5" customWidth="1"/>
    <col min="5" max="5" width="3.75" customWidth="1"/>
    <col min="6" max="6" width="1.5" customWidth="1"/>
    <col min="7" max="7" width="8.75" customWidth="1"/>
  </cols>
  <sheetData>
    <row r="1" spans="1:7" ht="27.75">
      <c r="A1" s="29" t="s">
        <v>1501</v>
      </c>
      <c r="B1" s="29" t="s">
        <v>24</v>
      </c>
      <c r="C1" s="29" t="s">
        <v>25</v>
      </c>
      <c r="D1" s="29" t="s">
        <v>1233</v>
      </c>
      <c r="E1" s="29" t="s">
        <v>1214</v>
      </c>
      <c r="F1" s="29" t="s">
        <v>1209</v>
      </c>
      <c r="G1" s="29" t="s">
        <v>1234</v>
      </c>
    </row>
    <row r="2" spans="1:7">
      <c r="A2">
        <v>75</v>
      </c>
      <c r="B2" t="s">
        <v>30</v>
      </c>
      <c r="C2" t="s">
        <v>1502</v>
      </c>
      <c r="D2">
        <v>1.55</v>
      </c>
      <c r="E2">
        <v>0.12</v>
      </c>
      <c r="F2">
        <v>6</v>
      </c>
      <c r="G2" t="s">
        <v>1214</v>
      </c>
    </row>
    <row r="3" spans="1:7">
      <c r="A3">
        <v>75</v>
      </c>
      <c r="B3" t="s">
        <v>30</v>
      </c>
      <c r="C3" t="s">
        <v>1503</v>
      </c>
      <c r="D3">
        <v>1.68</v>
      </c>
      <c r="E3">
        <v>0.12</v>
      </c>
      <c r="F3">
        <v>6</v>
      </c>
      <c r="G3" t="s">
        <v>1214</v>
      </c>
    </row>
    <row r="4" spans="1:7">
      <c r="A4">
        <v>75</v>
      </c>
      <c r="B4" t="s">
        <v>40</v>
      </c>
      <c r="C4" t="s">
        <v>1502</v>
      </c>
      <c r="D4">
        <v>32</v>
      </c>
      <c r="E4">
        <v>1.2</v>
      </c>
      <c r="F4">
        <v>6</v>
      </c>
      <c r="G4" t="s">
        <v>1214</v>
      </c>
    </row>
    <row r="5" spans="1:7">
      <c r="A5">
        <v>75</v>
      </c>
      <c r="B5" t="s">
        <v>40</v>
      </c>
      <c r="C5" t="s">
        <v>1503</v>
      </c>
      <c r="D5">
        <v>32.5</v>
      </c>
      <c r="E5">
        <v>1.1000000000000001</v>
      </c>
      <c r="F5">
        <v>6</v>
      </c>
      <c r="G5" t="s">
        <v>1214</v>
      </c>
    </row>
    <row r="6" spans="1:7">
      <c r="A6">
        <v>150</v>
      </c>
      <c r="B6" t="s">
        <v>30</v>
      </c>
      <c r="C6" t="s">
        <v>1502</v>
      </c>
      <c r="D6">
        <v>1.1599999999999999</v>
      </c>
      <c r="E6">
        <v>0.1</v>
      </c>
      <c r="F6">
        <v>6</v>
      </c>
      <c r="G6" t="s">
        <v>1214</v>
      </c>
    </row>
    <row r="7" spans="1:7">
      <c r="A7">
        <v>150</v>
      </c>
      <c r="B7" t="s">
        <v>30</v>
      </c>
      <c r="C7" t="s">
        <v>1503</v>
      </c>
      <c r="D7">
        <v>1.3</v>
      </c>
      <c r="E7">
        <v>0.06</v>
      </c>
      <c r="F7">
        <v>6</v>
      </c>
      <c r="G7" t="s">
        <v>1214</v>
      </c>
    </row>
    <row r="8" spans="1:7">
      <c r="A8">
        <v>150</v>
      </c>
      <c r="B8" t="s">
        <v>40</v>
      </c>
      <c r="C8" t="s">
        <v>1502</v>
      </c>
      <c r="D8">
        <v>26</v>
      </c>
      <c r="E8">
        <v>1.4</v>
      </c>
      <c r="F8">
        <v>6</v>
      </c>
      <c r="G8" t="s">
        <v>1214</v>
      </c>
    </row>
    <row r="9" spans="1:7">
      <c r="A9">
        <v>150</v>
      </c>
      <c r="B9" t="s">
        <v>40</v>
      </c>
      <c r="C9" t="s">
        <v>1503</v>
      </c>
      <c r="D9">
        <v>30.7</v>
      </c>
      <c r="E9">
        <v>1.2</v>
      </c>
      <c r="F9">
        <v>6</v>
      </c>
      <c r="G9" t="s">
        <v>1214</v>
      </c>
    </row>
    <row r="10" spans="1:7">
      <c r="A10">
        <v>225</v>
      </c>
      <c r="B10" t="s">
        <v>30</v>
      </c>
      <c r="C10" t="s">
        <v>1502</v>
      </c>
      <c r="D10">
        <v>0.94</v>
      </c>
      <c r="E10">
        <v>0.11</v>
      </c>
      <c r="F10">
        <v>6</v>
      </c>
      <c r="G10" t="s">
        <v>1214</v>
      </c>
    </row>
    <row r="11" spans="1:7">
      <c r="A11">
        <v>225</v>
      </c>
      <c r="B11" t="s">
        <v>30</v>
      </c>
      <c r="C11" t="s">
        <v>1503</v>
      </c>
      <c r="D11">
        <v>1.03</v>
      </c>
      <c r="E11">
        <v>0.08</v>
      </c>
      <c r="F11">
        <v>6</v>
      </c>
      <c r="G11" t="s">
        <v>1214</v>
      </c>
    </row>
    <row r="12" spans="1:7">
      <c r="A12">
        <v>225</v>
      </c>
      <c r="B12" t="s">
        <v>40</v>
      </c>
      <c r="C12" t="s">
        <v>1502</v>
      </c>
      <c r="D12">
        <v>20.5</v>
      </c>
      <c r="E12">
        <v>1.3</v>
      </c>
      <c r="F12">
        <v>6</v>
      </c>
      <c r="G12" t="s">
        <v>1214</v>
      </c>
    </row>
    <row r="13" spans="1:7">
      <c r="A13">
        <v>225</v>
      </c>
      <c r="B13" t="s">
        <v>40</v>
      </c>
      <c r="C13" t="s">
        <v>1503</v>
      </c>
      <c r="D13">
        <v>30</v>
      </c>
      <c r="E13">
        <v>1.2</v>
      </c>
      <c r="F13">
        <v>6</v>
      </c>
      <c r="G13" t="s">
        <v>1214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baseColWidth="10" defaultColWidth="9" defaultRowHeight="13.5"/>
  <cols>
    <col min="1" max="1" width="10.625" customWidth="1"/>
    <col min="2" max="2" width="5.125" customWidth="1"/>
    <col min="3" max="3" width="7" customWidth="1"/>
    <col min="4" max="4" width="13.125" customWidth="1"/>
    <col min="5" max="5" width="5" customWidth="1"/>
    <col min="6" max="6" width="2.875" customWidth="1"/>
    <col min="7" max="7" width="1.5" customWidth="1"/>
    <col min="8" max="8" width="8.75" customWidth="1"/>
  </cols>
  <sheetData>
    <row r="1" spans="1:8" ht="27.75">
      <c r="A1" s="30" t="s">
        <v>1479</v>
      </c>
      <c r="B1" s="30" t="s">
        <v>23</v>
      </c>
      <c r="C1" s="30" t="s">
        <v>24</v>
      </c>
      <c r="D1" s="30" t="s">
        <v>25</v>
      </c>
      <c r="E1" s="30" t="s">
        <v>1233</v>
      </c>
      <c r="F1" s="30" t="s">
        <v>1214</v>
      </c>
      <c r="G1" s="30" t="s">
        <v>1209</v>
      </c>
      <c r="H1" s="30" t="s">
        <v>1234</v>
      </c>
    </row>
    <row r="2" spans="1:8">
      <c r="A2" t="s">
        <v>86</v>
      </c>
      <c r="B2" t="s">
        <v>149</v>
      </c>
      <c r="C2" t="s">
        <v>40</v>
      </c>
      <c r="D2" t="s">
        <v>1489</v>
      </c>
      <c r="E2">
        <v>32.5</v>
      </c>
      <c r="F2">
        <v>1</v>
      </c>
      <c r="G2">
        <v>4</v>
      </c>
      <c r="H2" t="s">
        <v>1214</v>
      </c>
    </row>
    <row r="3" spans="1:8">
      <c r="A3" t="s">
        <v>86</v>
      </c>
      <c r="B3" t="s">
        <v>149</v>
      </c>
      <c r="C3" t="s">
        <v>40</v>
      </c>
      <c r="D3" t="s">
        <v>1504</v>
      </c>
      <c r="E3">
        <v>33.5</v>
      </c>
      <c r="F3">
        <v>0.6</v>
      </c>
      <c r="G3">
        <v>4</v>
      </c>
      <c r="H3" t="s">
        <v>1214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9"/>
  <sheetViews>
    <sheetView workbookViewId="0"/>
  </sheetViews>
  <sheetFormatPr baseColWidth="10" defaultColWidth="9" defaultRowHeight="13.5"/>
  <cols>
    <col min="1" max="1" width="8.125" customWidth="1"/>
    <col min="2" max="2" width="7" customWidth="1"/>
    <col min="3" max="3" width="9.125" customWidth="1"/>
    <col min="4" max="4" width="5" customWidth="1"/>
    <col min="5" max="5" width="1.5" customWidth="1"/>
    <col min="6" max="6" width="12.125" customWidth="1"/>
    <col min="7" max="7" width="6.5" customWidth="1"/>
    <col min="8" max="8" width="30.875" customWidth="1"/>
  </cols>
  <sheetData>
    <row r="1" spans="1:8" ht="27.75">
      <c r="A1" s="31" t="s">
        <v>1469</v>
      </c>
      <c r="B1" s="31" t="s">
        <v>24</v>
      </c>
      <c r="C1" s="31" t="s">
        <v>25</v>
      </c>
      <c r="D1" s="31" t="s">
        <v>1233</v>
      </c>
      <c r="E1" s="31" t="s">
        <v>1209</v>
      </c>
      <c r="F1" s="31" t="s">
        <v>1505</v>
      </c>
      <c r="G1" s="31" t="s">
        <v>74</v>
      </c>
      <c r="H1" s="31" t="s">
        <v>1506</v>
      </c>
    </row>
    <row r="2" spans="1:8">
      <c r="A2" t="s">
        <v>1507</v>
      </c>
      <c r="B2" t="s">
        <v>30</v>
      </c>
      <c r="C2" t="s">
        <v>1508</v>
      </c>
      <c r="D2">
        <v>3.6</v>
      </c>
      <c r="E2">
        <v>4</v>
      </c>
      <c r="F2" t="s">
        <v>1451</v>
      </c>
      <c r="G2" t="s">
        <v>1373</v>
      </c>
      <c r="H2" t="s">
        <v>1509</v>
      </c>
    </row>
    <row r="3" spans="1:8">
      <c r="A3" t="s">
        <v>1507</v>
      </c>
      <c r="B3" t="s">
        <v>30</v>
      </c>
      <c r="C3" t="s">
        <v>1510</v>
      </c>
      <c r="D3">
        <v>4.5999999999999996</v>
      </c>
      <c r="E3">
        <v>4</v>
      </c>
      <c r="F3" t="s">
        <v>1451</v>
      </c>
      <c r="G3" t="s">
        <v>1373</v>
      </c>
      <c r="H3" t="s">
        <v>1509</v>
      </c>
    </row>
    <row r="4" spans="1:8">
      <c r="A4" t="s">
        <v>1507</v>
      </c>
      <c r="B4" t="s">
        <v>40</v>
      </c>
      <c r="C4" t="s">
        <v>1508</v>
      </c>
      <c r="D4">
        <v>11.1</v>
      </c>
      <c r="E4">
        <v>4</v>
      </c>
      <c r="F4" t="s">
        <v>1451</v>
      </c>
      <c r="G4" t="s">
        <v>1373</v>
      </c>
      <c r="H4" t="s">
        <v>1509</v>
      </c>
    </row>
    <row r="5" spans="1:8">
      <c r="A5" t="s">
        <v>1507</v>
      </c>
      <c r="B5" t="s">
        <v>40</v>
      </c>
      <c r="C5" t="s">
        <v>1510</v>
      </c>
      <c r="D5">
        <v>14</v>
      </c>
      <c r="E5">
        <v>4</v>
      </c>
      <c r="F5" t="s">
        <v>1451</v>
      </c>
      <c r="G5" t="s">
        <v>1373</v>
      </c>
      <c r="H5" t="s">
        <v>1509</v>
      </c>
    </row>
    <row r="6" spans="1:8">
      <c r="A6" t="s">
        <v>1511</v>
      </c>
      <c r="B6" t="s">
        <v>30</v>
      </c>
      <c r="C6" t="s">
        <v>1508</v>
      </c>
      <c r="D6">
        <v>4.5999999999999996</v>
      </c>
      <c r="E6">
        <v>4</v>
      </c>
      <c r="F6" t="s">
        <v>1451</v>
      </c>
      <c r="G6" t="s">
        <v>1373</v>
      </c>
      <c r="H6" t="s">
        <v>1509</v>
      </c>
    </row>
    <row r="7" spans="1:8">
      <c r="A7" t="s">
        <v>1511</v>
      </c>
      <c r="B7" t="s">
        <v>30</v>
      </c>
      <c r="C7" t="s">
        <v>1510</v>
      </c>
      <c r="D7">
        <v>5.4</v>
      </c>
      <c r="E7">
        <v>4</v>
      </c>
      <c r="F7" t="s">
        <v>1451</v>
      </c>
      <c r="G7" t="s">
        <v>1373</v>
      </c>
      <c r="H7" t="s">
        <v>1509</v>
      </c>
    </row>
    <row r="8" spans="1:8">
      <c r="A8" t="s">
        <v>1511</v>
      </c>
      <c r="B8" t="s">
        <v>40</v>
      </c>
      <c r="C8" t="s">
        <v>1508</v>
      </c>
      <c r="D8">
        <v>15.6</v>
      </c>
      <c r="E8">
        <v>4</v>
      </c>
      <c r="F8" t="s">
        <v>1451</v>
      </c>
      <c r="G8" t="s">
        <v>1373</v>
      </c>
      <c r="H8" t="s">
        <v>1509</v>
      </c>
    </row>
    <row r="9" spans="1:8">
      <c r="A9" t="s">
        <v>1511</v>
      </c>
      <c r="B9" t="s">
        <v>40</v>
      </c>
      <c r="C9" t="s">
        <v>1510</v>
      </c>
      <c r="D9">
        <v>18.3</v>
      </c>
      <c r="E9">
        <v>4</v>
      </c>
      <c r="F9" t="s">
        <v>1451</v>
      </c>
      <c r="G9" t="s">
        <v>1373</v>
      </c>
      <c r="H9" t="s">
        <v>1509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1"/>
  <sheetViews>
    <sheetView workbookViewId="0"/>
  </sheetViews>
  <sheetFormatPr baseColWidth="10" defaultColWidth="9" defaultRowHeight="13.5"/>
  <cols>
    <col min="1" max="1" width="5.125" customWidth="1"/>
    <col min="2" max="2" width="7" customWidth="1"/>
    <col min="3" max="3" width="13" customWidth="1"/>
    <col min="4" max="4" width="9.75" customWidth="1"/>
    <col min="5" max="5" width="5" customWidth="1"/>
    <col min="6" max="6" width="4.75" customWidth="1"/>
    <col min="7" max="7" width="1.5" customWidth="1"/>
    <col min="8" max="8" width="8.75" customWidth="1"/>
    <col min="9" max="9" width="7.875" customWidth="1"/>
  </cols>
  <sheetData>
    <row r="1" spans="1:9" ht="27.75">
      <c r="A1" s="33" t="s">
        <v>23</v>
      </c>
      <c r="B1" s="33" t="s">
        <v>24</v>
      </c>
      <c r="C1" s="33" t="s">
        <v>1512</v>
      </c>
      <c r="D1" s="33" t="s">
        <v>25</v>
      </c>
      <c r="E1" s="33" t="s">
        <v>1233</v>
      </c>
      <c r="F1" s="33" t="s">
        <v>1214</v>
      </c>
      <c r="G1" s="33" t="s">
        <v>1209</v>
      </c>
      <c r="H1" s="33" t="s">
        <v>1234</v>
      </c>
      <c r="I1" s="33" t="s">
        <v>1479</v>
      </c>
    </row>
    <row r="2" spans="1:9">
      <c r="A2" t="s">
        <v>29</v>
      </c>
      <c r="B2" t="s">
        <v>53</v>
      </c>
      <c r="C2" t="s">
        <v>1513</v>
      </c>
      <c r="D2" t="s">
        <v>43</v>
      </c>
      <c r="E2">
        <v>0.16700000000000001</v>
      </c>
      <c r="F2">
        <v>8.9999999999999993E-3</v>
      </c>
      <c r="G2">
        <v>3</v>
      </c>
      <c r="H2" t="s">
        <v>1214</v>
      </c>
      <c r="I2" t="s">
        <v>1380</v>
      </c>
    </row>
    <row r="3" spans="1:9">
      <c r="A3" t="s">
        <v>29</v>
      </c>
      <c r="B3" t="s">
        <v>53</v>
      </c>
      <c r="C3" t="s">
        <v>1514</v>
      </c>
      <c r="D3" t="s">
        <v>1515</v>
      </c>
      <c r="E3">
        <v>0.19800000000000001</v>
      </c>
      <c r="F3">
        <v>0.01</v>
      </c>
      <c r="G3">
        <v>3</v>
      </c>
      <c r="H3" t="s">
        <v>1214</v>
      </c>
      <c r="I3" t="s">
        <v>1380</v>
      </c>
    </row>
    <row r="4" spans="1:9">
      <c r="A4" t="s">
        <v>29</v>
      </c>
      <c r="B4" t="s">
        <v>53</v>
      </c>
      <c r="C4" t="s">
        <v>1516</v>
      </c>
      <c r="D4" t="s">
        <v>1517</v>
      </c>
      <c r="E4">
        <v>0.217</v>
      </c>
      <c r="F4">
        <v>8.9999999999999993E-3</v>
      </c>
      <c r="G4">
        <v>3</v>
      </c>
      <c r="H4" t="s">
        <v>1214</v>
      </c>
      <c r="I4" t="s">
        <v>1380</v>
      </c>
    </row>
    <row r="5" spans="1:9">
      <c r="A5" t="s">
        <v>29</v>
      </c>
      <c r="B5" t="s">
        <v>53</v>
      </c>
      <c r="C5" t="s">
        <v>1518</v>
      </c>
      <c r="D5" t="s">
        <v>1519</v>
      </c>
      <c r="E5">
        <v>0.20499999999999999</v>
      </c>
      <c r="F5">
        <v>8.9999999999999993E-3</v>
      </c>
      <c r="G5">
        <v>3</v>
      </c>
      <c r="H5" t="s">
        <v>1214</v>
      </c>
      <c r="I5" t="s">
        <v>1380</v>
      </c>
    </row>
    <row r="6" spans="1:9">
      <c r="A6" t="s">
        <v>29</v>
      </c>
      <c r="B6" t="s">
        <v>53</v>
      </c>
      <c r="C6" t="s">
        <v>1520</v>
      </c>
      <c r="D6" t="s">
        <v>1521</v>
      </c>
      <c r="E6">
        <v>0.23200000000000001</v>
      </c>
      <c r="F6">
        <v>0.01</v>
      </c>
      <c r="G6">
        <v>3</v>
      </c>
      <c r="H6" t="s">
        <v>1214</v>
      </c>
      <c r="I6" t="s">
        <v>1380</v>
      </c>
    </row>
    <row r="7" spans="1:9">
      <c r="A7" t="s">
        <v>41</v>
      </c>
      <c r="B7" t="s">
        <v>53</v>
      </c>
      <c r="C7" t="s">
        <v>1513</v>
      </c>
      <c r="D7" t="s">
        <v>43</v>
      </c>
      <c r="E7">
        <v>0.18</v>
      </c>
      <c r="F7">
        <v>0.01</v>
      </c>
      <c r="G7">
        <v>3</v>
      </c>
      <c r="H7" t="s">
        <v>1214</v>
      </c>
      <c r="I7" t="s">
        <v>1380</v>
      </c>
    </row>
    <row r="8" spans="1:9">
      <c r="A8" t="s">
        <v>41</v>
      </c>
      <c r="B8" t="s">
        <v>53</v>
      </c>
      <c r="C8" t="s">
        <v>1514</v>
      </c>
      <c r="D8" t="s">
        <v>1515</v>
      </c>
      <c r="E8">
        <v>0.22</v>
      </c>
      <c r="F8">
        <v>8.0000000000000002E-3</v>
      </c>
      <c r="G8">
        <v>3</v>
      </c>
      <c r="H8" t="s">
        <v>1214</v>
      </c>
      <c r="I8" t="s">
        <v>1380</v>
      </c>
    </row>
    <row r="9" spans="1:9">
      <c r="A9" t="s">
        <v>41</v>
      </c>
      <c r="B9" t="s">
        <v>53</v>
      </c>
      <c r="C9" t="s">
        <v>1516</v>
      </c>
      <c r="D9" t="s">
        <v>1517</v>
      </c>
      <c r="E9">
        <v>0.23499999999999999</v>
      </c>
      <c r="F9">
        <v>8.0000000000000002E-3</v>
      </c>
      <c r="G9">
        <v>3</v>
      </c>
      <c r="H9" t="s">
        <v>1214</v>
      </c>
      <c r="I9" t="s">
        <v>1380</v>
      </c>
    </row>
    <row r="10" spans="1:9">
      <c r="A10" t="s">
        <v>41</v>
      </c>
      <c r="B10" t="s">
        <v>53</v>
      </c>
      <c r="C10" t="s">
        <v>1518</v>
      </c>
      <c r="D10" t="s">
        <v>1519</v>
      </c>
      <c r="E10">
        <v>0.25</v>
      </c>
      <c r="F10">
        <v>8.9999999999999993E-3</v>
      </c>
      <c r="G10">
        <v>3</v>
      </c>
      <c r="H10" t="s">
        <v>1214</v>
      </c>
      <c r="I10" t="s">
        <v>1380</v>
      </c>
    </row>
    <row r="11" spans="1:9">
      <c r="A11" t="s">
        <v>41</v>
      </c>
      <c r="B11" t="s">
        <v>53</v>
      </c>
      <c r="C11" t="s">
        <v>1520</v>
      </c>
      <c r="D11" t="s">
        <v>1521</v>
      </c>
      <c r="E11">
        <v>0.28999999999999998</v>
      </c>
      <c r="F11">
        <v>1.2E-2</v>
      </c>
      <c r="G11">
        <v>3</v>
      </c>
      <c r="H11" t="s">
        <v>1214</v>
      </c>
      <c r="I11" t="s">
        <v>1380</v>
      </c>
    </row>
    <row r="12" spans="1:9">
      <c r="A12" t="s">
        <v>41</v>
      </c>
      <c r="B12" t="s">
        <v>42</v>
      </c>
      <c r="C12" t="s">
        <v>1513</v>
      </c>
      <c r="D12" t="s">
        <v>43</v>
      </c>
      <c r="E12">
        <v>1.08</v>
      </c>
      <c r="F12">
        <v>2.5000000000000001E-2</v>
      </c>
      <c r="G12">
        <v>3</v>
      </c>
      <c r="H12" t="s">
        <v>1214</v>
      </c>
      <c r="I12" t="s">
        <v>1380</v>
      </c>
    </row>
    <row r="13" spans="1:9">
      <c r="A13" t="s">
        <v>41</v>
      </c>
      <c r="B13" t="s">
        <v>42</v>
      </c>
      <c r="C13" t="s">
        <v>1514</v>
      </c>
      <c r="D13" t="s">
        <v>1515</v>
      </c>
      <c r="E13">
        <v>1.31</v>
      </c>
      <c r="F13">
        <v>2.5000000000000001E-2</v>
      </c>
      <c r="G13">
        <v>3</v>
      </c>
      <c r="H13" t="s">
        <v>1214</v>
      </c>
      <c r="I13" t="s">
        <v>1380</v>
      </c>
    </row>
    <row r="14" spans="1:9">
      <c r="A14" t="s">
        <v>41</v>
      </c>
      <c r="B14" t="s">
        <v>42</v>
      </c>
      <c r="C14" t="s">
        <v>1516</v>
      </c>
      <c r="D14" t="s">
        <v>1517</v>
      </c>
      <c r="E14">
        <v>1.3149999999999999</v>
      </c>
      <c r="F14">
        <v>2.1999999999999999E-2</v>
      </c>
      <c r="G14">
        <v>3</v>
      </c>
      <c r="H14" t="s">
        <v>1214</v>
      </c>
      <c r="I14" t="s">
        <v>1380</v>
      </c>
    </row>
    <row r="15" spans="1:9">
      <c r="A15" t="s">
        <v>41</v>
      </c>
      <c r="B15" t="s">
        <v>42</v>
      </c>
      <c r="C15" t="s">
        <v>1518</v>
      </c>
      <c r="D15" t="s">
        <v>1519</v>
      </c>
      <c r="E15">
        <v>1.36</v>
      </c>
      <c r="F15">
        <v>2.4E-2</v>
      </c>
      <c r="G15">
        <v>3</v>
      </c>
      <c r="H15" t="s">
        <v>1214</v>
      </c>
      <c r="I15" t="s">
        <v>1380</v>
      </c>
    </row>
    <row r="16" spans="1:9">
      <c r="A16" t="s">
        <v>41</v>
      </c>
      <c r="B16" t="s">
        <v>42</v>
      </c>
      <c r="C16" t="s">
        <v>1520</v>
      </c>
      <c r="D16" t="s">
        <v>1521</v>
      </c>
      <c r="E16">
        <v>1.42</v>
      </c>
      <c r="F16">
        <v>2.5999999999999999E-2</v>
      </c>
      <c r="G16">
        <v>3</v>
      </c>
      <c r="H16" t="s">
        <v>1214</v>
      </c>
      <c r="I16" t="s">
        <v>1380</v>
      </c>
    </row>
    <row r="17" spans="1:9">
      <c r="A17" t="s">
        <v>29</v>
      </c>
      <c r="B17" t="s">
        <v>42</v>
      </c>
      <c r="C17" t="s">
        <v>1513</v>
      </c>
      <c r="D17" t="s">
        <v>43</v>
      </c>
      <c r="E17">
        <v>1.02</v>
      </c>
      <c r="F17">
        <v>4.4999999999999998E-2</v>
      </c>
      <c r="G17">
        <v>3</v>
      </c>
      <c r="H17" t="s">
        <v>1214</v>
      </c>
      <c r="I17" t="s">
        <v>1380</v>
      </c>
    </row>
    <row r="18" spans="1:9">
      <c r="A18" t="s">
        <v>29</v>
      </c>
      <c r="B18" t="s">
        <v>42</v>
      </c>
      <c r="C18" t="s">
        <v>1514</v>
      </c>
      <c r="D18" t="s">
        <v>1515</v>
      </c>
      <c r="E18">
        <v>1.23</v>
      </c>
      <c r="F18">
        <v>0.04</v>
      </c>
      <c r="G18">
        <v>3</v>
      </c>
      <c r="H18" t="s">
        <v>1214</v>
      </c>
      <c r="I18" t="s">
        <v>1380</v>
      </c>
    </row>
    <row r="19" spans="1:9">
      <c r="A19" t="s">
        <v>29</v>
      </c>
      <c r="B19" t="s">
        <v>42</v>
      </c>
      <c r="C19" t="s">
        <v>1516</v>
      </c>
      <c r="D19" t="s">
        <v>1517</v>
      </c>
      <c r="E19">
        <v>1.1599999999999999</v>
      </c>
      <c r="F19">
        <v>3.7999999999999999E-2</v>
      </c>
      <c r="G19">
        <v>3</v>
      </c>
      <c r="H19" t="s">
        <v>1214</v>
      </c>
      <c r="I19" t="s">
        <v>1380</v>
      </c>
    </row>
    <row r="20" spans="1:9">
      <c r="A20" t="s">
        <v>29</v>
      </c>
      <c r="B20" t="s">
        <v>42</v>
      </c>
      <c r="C20" t="s">
        <v>1518</v>
      </c>
      <c r="D20" t="s">
        <v>1519</v>
      </c>
      <c r="E20">
        <v>1.28</v>
      </c>
      <c r="F20">
        <v>0.04</v>
      </c>
      <c r="G20">
        <v>3</v>
      </c>
      <c r="H20" t="s">
        <v>1214</v>
      </c>
      <c r="I20" t="s">
        <v>1380</v>
      </c>
    </row>
    <row r="21" spans="1:9">
      <c r="A21" t="s">
        <v>29</v>
      </c>
      <c r="B21" t="s">
        <v>42</v>
      </c>
      <c r="C21" t="s">
        <v>1520</v>
      </c>
      <c r="D21" t="s">
        <v>1521</v>
      </c>
      <c r="E21">
        <v>1.33</v>
      </c>
      <c r="F21">
        <v>4.4999999999999998E-2</v>
      </c>
      <c r="G21">
        <v>3</v>
      </c>
      <c r="H21" t="s">
        <v>1214</v>
      </c>
      <c r="I21" t="s">
        <v>1380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9"/>
  <sheetViews>
    <sheetView workbookViewId="0"/>
  </sheetViews>
  <sheetFormatPr baseColWidth="10" defaultColWidth="9" defaultRowHeight="13.5"/>
  <cols>
    <col min="1" max="1" width="11" customWidth="1"/>
    <col min="2" max="2" width="14.625" customWidth="1"/>
    <col min="3" max="3" width="6.875" customWidth="1"/>
    <col min="4" max="4" width="3.375" customWidth="1"/>
    <col min="5" max="5" width="1.5" customWidth="1"/>
    <col min="6" max="6" width="8.75" customWidth="1"/>
  </cols>
  <sheetData>
    <row r="1" spans="1:6" ht="27.75">
      <c r="A1" s="34" t="s">
        <v>57</v>
      </c>
      <c r="B1" s="34" t="s">
        <v>25</v>
      </c>
      <c r="C1" s="34" t="s">
        <v>1522</v>
      </c>
      <c r="D1" s="34" t="s">
        <v>1245</v>
      </c>
      <c r="E1" s="34" t="s">
        <v>1209</v>
      </c>
      <c r="F1" s="34" t="s">
        <v>1234</v>
      </c>
    </row>
    <row r="2" spans="1:6">
      <c r="A2" t="s">
        <v>928</v>
      </c>
      <c r="B2" t="s">
        <v>1480</v>
      </c>
      <c r="C2">
        <v>2446</v>
      </c>
      <c r="D2">
        <v>115</v>
      </c>
      <c r="E2">
        <v>5</v>
      </c>
      <c r="F2" t="s">
        <v>1245</v>
      </c>
    </row>
    <row r="3" spans="1:6">
      <c r="A3" t="s">
        <v>928</v>
      </c>
      <c r="B3" t="s">
        <v>1523</v>
      </c>
      <c r="C3">
        <v>2684</v>
      </c>
      <c r="D3">
        <v>120</v>
      </c>
      <c r="E3">
        <v>5</v>
      </c>
      <c r="F3" t="s">
        <v>1245</v>
      </c>
    </row>
    <row r="4" spans="1:6">
      <c r="A4" t="s">
        <v>936</v>
      </c>
      <c r="B4" t="s">
        <v>1480</v>
      </c>
      <c r="C4">
        <v>2446</v>
      </c>
      <c r="D4">
        <v>115</v>
      </c>
      <c r="E4">
        <v>5</v>
      </c>
      <c r="F4" t="s">
        <v>1245</v>
      </c>
    </row>
    <row r="5" spans="1:6">
      <c r="A5" t="s">
        <v>936</v>
      </c>
      <c r="B5" t="s">
        <v>1524</v>
      </c>
      <c r="C5">
        <v>2725</v>
      </c>
      <c r="D5">
        <v>125</v>
      </c>
      <c r="E5">
        <v>5</v>
      </c>
      <c r="F5" t="s">
        <v>1245</v>
      </c>
    </row>
    <row r="6" spans="1:6">
      <c r="A6" t="s">
        <v>94</v>
      </c>
      <c r="B6" t="s">
        <v>1480</v>
      </c>
      <c r="C6">
        <v>2446</v>
      </c>
      <c r="D6">
        <v>115</v>
      </c>
      <c r="E6">
        <v>5</v>
      </c>
      <c r="F6" t="s">
        <v>1245</v>
      </c>
    </row>
    <row r="7" spans="1:6">
      <c r="A7" t="s">
        <v>94</v>
      </c>
      <c r="B7" t="s">
        <v>1525</v>
      </c>
      <c r="C7">
        <v>2835</v>
      </c>
      <c r="D7">
        <v>115</v>
      </c>
      <c r="E7">
        <v>5</v>
      </c>
      <c r="F7" t="s">
        <v>1245</v>
      </c>
    </row>
    <row r="8" spans="1:6">
      <c r="A8" t="s">
        <v>939</v>
      </c>
      <c r="B8" t="s">
        <v>1480</v>
      </c>
      <c r="C8">
        <v>2446</v>
      </c>
      <c r="D8">
        <v>115</v>
      </c>
      <c r="E8">
        <v>5</v>
      </c>
      <c r="F8" t="s">
        <v>1245</v>
      </c>
    </row>
    <row r="9" spans="1:6">
      <c r="A9" t="s">
        <v>939</v>
      </c>
      <c r="B9" t="s">
        <v>1526</v>
      </c>
      <c r="C9">
        <v>3022</v>
      </c>
      <c r="D9">
        <v>125</v>
      </c>
      <c r="E9">
        <v>5</v>
      </c>
      <c r="F9" t="s">
        <v>1245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7"/>
  <sheetViews>
    <sheetView workbookViewId="0"/>
  </sheetViews>
  <sheetFormatPr baseColWidth="10" defaultColWidth="9" defaultRowHeight="13.5"/>
  <cols>
    <col min="1" max="1" width="7.125" customWidth="1"/>
    <col min="2" max="2" width="17.25" customWidth="1"/>
    <col min="3" max="3" width="5.125" customWidth="1"/>
    <col min="4" max="4" width="7" customWidth="1"/>
    <col min="5" max="5" width="8.5" customWidth="1"/>
    <col min="6" max="6" width="5" customWidth="1"/>
    <col min="7" max="7" width="3.75" customWidth="1"/>
    <col min="8" max="8" width="1.5" customWidth="1"/>
    <col min="9" max="9" width="8.75" customWidth="1"/>
  </cols>
  <sheetData>
    <row r="1" spans="1:9" ht="27.75">
      <c r="A1" s="35" t="s">
        <v>1527</v>
      </c>
      <c r="B1" s="35" t="s">
        <v>62</v>
      </c>
      <c r="C1" s="35" t="s">
        <v>23</v>
      </c>
      <c r="D1" s="35" t="s">
        <v>24</v>
      </c>
      <c r="E1" s="35" t="s">
        <v>25</v>
      </c>
      <c r="F1" s="35" t="s">
        <v>1233</v>
      </c>
      <c r="G1" s="35" t="s">
        <v>1245</v>
      </c>
      <c r="H1" s="35" t="s">
        <v>1209</v>
      </c>
      <c r="I1" s="35" t="s">
        <v>1234</v>
      </c>
    </row>
    <row r="2" spans="1:9">
      <c r="A2" t="s">
        <v>1246</v>
      </c>
      <c r="B2" t="s">
        <v>944</v>
      </c>
      <c r="C2" t="s">
        <v>149</v>
      </c>
      <c r="D2" t="s">
        <v>40</v>
      </c>
      <c r="E2" t="s">
        <v>1247</v>
      </c>
      <c r="F2">
        <v>17.39</v>
      </c>
      <c r="G2">
        <v>1.24</v>
      </c>
      <c r="H2">
        <v>5</v>
      </c>
      <c r="I2" t="s">
        <v>1245</v>
      </c>
    </row>
    <row r="3" spans="1:9">
      <c r="A3" t="s">
        <v>1246</v>
      </c>
      <c r="B3" t="s">
        <v>944</v>
      </c>
      <c r="C3" t="s">
        <v>149</v>
      </c>
      <c r="D3" t="s">
        <v>40</v>
      </c>
      <c r="E3" t="s">
        <v>1528</v>
      </c>
      <c r="F3">
        <v>19.96</v>
      </c>
      <c r="G3">
        <v>0.57999999999999996</v>
      </c>
      <c r="H3">
        <v>5</v>
      </c>
      <c r="I3" t="s">
        <v>1245</v>
      </c>
    </row>
    <row r="4" spans="1:9">
      <c r="A4" t="s">
        <v>1246</v>
      </c>
      <c r="B4" t="s">
        <v>944</v>
      </c>
      <c r="C4" t="s">
        <v>149</v>
      </c>
      <c r="D4" t="s">
        <v>40</v>
      </c>
      <c r="E4" t="s">
        <v>1529</v>
      </c>
      <c r="F4">
        <v>22.79</v>
      </c>
      <c r="G4">
        <v>0.93</v>
      </c>
      <c r="H4">
        <v>5</v>
      </c>
      <c r="I4" t="s">
        <v>1245</v>
      </c>
    </row>
    <row r="5" spans="1:9">
      <c r="A5" t="s">
        <v>1246</v>
      </c>
      <c r="B5" t="s">
        <v>944</v>
      </c>
      <c r="C5" t="s">
        <v>149</v>
      </c>
      <c r="D5" t="s">
        <v>30</v>
      </c>
      <c r="E5" t="s">
        <v>1247</v>
      </c>
      <c r="F5">
        <v>11.68</v>
      </c>
      <c r="G5">
        <v>0.49</v>
      </c>
      <c r="H5">
        <v>5</v>
      </c>
      <c r="I5" t="s">
        <v>1245</v>
      </c>
    </row>
    <row r="6" spans="1:9">
      <c r="A6" t="s">
        <v>1246</v>
      </c>
      <c r="B6" t="s">
        <v>944</v>
      </c>
      <c r="C6" t="s">
        <v>149</v>
      </c>
      <c r="D6" t="s">
        <v>30</v>
      </c>
      <c r="E6" t="s">
        <v>1528</v>
      </c>
      <c r="F6">
        <v>11.82</v>
      </c>
      <c r="G6">
        <v>1.1499999999999999</v>
      </c>
      <c r="H6">
        <v>5</v>
      </c>
      <c r="I6" t="s">
        <v>1245</v>
      </c>
    </row>
    <row r="7" spans="1:9">
      <c r="A7" t="s">
        <v>1246</v>
      </c>
      <c r="B7" t="s">
        <v>944</v>
      </c>
      <c r="C7" t="s">
        <v>149</v>
      </c>
      <c r="D7" t="s">
        <v>30</v>
      </c>
      <c r="E7" t="s">
        <v>1529</v>
      </c>
      <c r="F7">
        <v>12.87</v>
      </c>
      <c r="G7">
        <v>1.2</v>
      </c>
      <c r="H7">
        <v>5</v>
      </c>
      <c r="I7" t="s">
        <v>1245</v>
      </c>
    </row>
    <row r="8" spans="1:9">
      <c r="A8" t="s">
        <v>1246</v>
      </c>
      <c r="B8" t="s">
        <v>944</v>
      </c>
      <c r="C8" t="s">
        <v>149</v>
      </c>
      <c r="D8" t="s">
        <v>337</v>
      </c>
      <c r="E8" t="s">
        <v>1247</v>
      </c>
      <c r="F8">
        <v>3.19</v>
      </c>
      <c r="G8">
        <v>0.16</v>
      </c>
      <c r="H8">
        <v>5</v>
      </c>
      <c r="I8" t="s">
        <v>1245</v>
      </c>
    </row>
    <row r="9" spans="1:9">
      <c r="A9" t="s">
        <v>1246</v>
      </c>
      <c r="B9" t="s">
        <v>944</v>
      </c>
      <c r="C9" t="s">
        <v>149</v>
      </c>
      <c r="D9" t="s">
        <v>337</v>
      </c>
      <c r="E9" t="s">
        <v>1528</v>
      </c>
      <c r="F9">
        <v>3.39</v>
      </c>
      <c r="G9">
        <v>0.03</v>
      </c>
      <c r="H9">
        <v>5</v>
      </c>
      <c r="I9" t="s">
        <v>1245</v>
      </c>
    </row>
    <row r="10" spans="1:9">
      <c r="A10" t="s">
        <v>1246</v>
      </c>
      <c r="B10" t="s">
        <v>944</v>
      </c>
      <c r="C10" t="s">
        <v>149</v>
      </c>
      <c r="D10" t="s">
        <v>337</v>
      </c>
      <c r="E10" t="s">
        <v>1529</v>
      </c>
      <c r="F10">
        <v>3.46</v>
      </c>
      <c r="G10">
        <v>7.0000000000000007E-2</v>
      </c>
      <c r="H10">
        <v>5</v>
      </c>
      <c r="I10" t="s">
        <v>1245</v>
      </c>
    </row>
    <row r="11" spans="1:9">
      <c r="A11" t="s">
        <v>1246</v>
      </c>
      <c r="B11" t="s">
        <v>944</v>
      </c>
      <c r="C11" t="s">
        <v>29</v>
      </c>
      <c r="D11" t="s">
        <v>40</v>
      </c>
      <c r="E11" t="s">
        <v>1247</v>
      </c>
      <c r="F11">
        <v>15.48</v>
      </c>
      <c r="G11">
        <v>0.82</v>
      </c>
      <c r="H11">
        <v>5</v>
      </c>
      <c r="I11" t="s">
        <v>1245</v>
      </c>
    </row>
    <row r="12" spans="1:9">
      <c r="A12" t="s">
        <v>1246</v>
      </c>
      <c r="B12" t="s">
        <v>944</v>
      </c>
      <c r="C12" t="s">
        <v>29</v>
      </c>
      <c r="D12" t="s">
        <v>40</v>
      </c>
      <c r="E12" t="s">
        <v>1528</v>
      </c>
      <c r="F12">
        <v>16.96</v>
      </c>
      <c r="G12">
        <v>0.37</v>
      </c>
      <c r="H12">
        <v>5</v>
      </c>
      <c r="I12" t="s">
        <v>1245</v>
      </c>
    </row>
    <row r="13" spans="1:9">
      <c r="A13" t="s">
        <v>1246</v>
      </c>
      <c r="B13" t="s">
        <v>944</v>
      </c>
      <c r="C13" t="s">
        <v>29</v>
      </c>
      <c r="D13" t="s">
        <v>40</v>
      </c>
      <c r="E13" t="s">
        <v>1529</v>
      </c>
      <c r="F13">
        <v>20.67</v>
      </c>
      <c r="G13">
        <v>1.08</v>
      </c>
      <c r="H13">
        <v>5</v>
      </c>
      <c r="I13" t="s">
        <v>1245</v>
      </c>
    </row>
    <row r="14" spans="1:9">
      <c r="A14" t="s">
        <v>1246</v>
      </c>
      <c r="B14" t="s">
        <v>944</v>
      </c>
      <c r="C14" t="s">
        <v>29</v>
      </c>
      <c r="D14" t="s">
        <v>30</v>
      </c>
      <c r="E14" t="s">
        <v>1247</v>
      </c>
      <c r="F14">
        <v>14.82</v>
      </c>
      <c r="G14">
        <v>0.64</v>
      </c>
      <c r="H14">
        <v>5</v>
      </c>
      <c r="I14" t="s">
        <v>1245</v>
      </c>
    </row>
    <row r="15" spans="1:9">
      <c r="A15" t="s">
        <v>1246</v>
      </c>
      <c r="B15" t="s">
        <v>944</v>
      </c>
      <c r="C15" t="s">
        <v>29</v>
      </c>
      <c r="D15" t="s">
        <v>30</v>
      </c>
      <c r="E15" t="s">
        <v>1528</v>
      </c>
      <c r="F15">
        <v>15.47</v>
      </c>
      <c r="G15">
        <v>0.68</v>
      </c>
      <c r="H15">
        <v>5</v>
      </c>
      <c r="I15" t="s">
        <v>1245</v>
      </c>
    </row>
    <row r="16" spans="1:9">
      <c r="A16" t="s">
        <v>1246</v>
      </c>
      <c r="B16" t="s">
        <v>944</v>
      </c>
      <c r="C16" t="s">
        <v>29</v>
      </c>
      <c r="D16" t="s">
        <v>30</v>
      </c>
      <c r="E16" t="s">
        <v>1529</v>
      </c>
      <c r="F16">
        <v>16.95</v>
      </c>
      <c r="G16">
        <v>1.03</v>
      </c>
      <c r="H16">
        <v>5</v>
      </c>
      <c r="I16" t="s">
        <v>1245</v>
      </c>
    </row>
    <row r="17" spans="1:9">
      <c r="A17" t="s">
        <v>1246</v>
      </c>
      <c r="B17" t="s">
        <v>944</v>
      </c>
      <c r="C17" t="s">
        <v>29</v>
      </c>
      <c r="D17" t="s">
        <v>337</v>
      </c>
      <c r="E17" t="s">
        <v>1247</v>
      </c>
      <c r="F17">
        <v>3.06</v>
      </c>
      <c r="G17">
        <v>0.1</v>
      </c>
      <c r="H17">
        <v>5</v>
      </c>
      <c r="I17" t="s">
        <v>1245</v>
      </c>
    </row>
    <row r="18" spans="1:9">
      <c r="A18" t="s">
        <v>1246</v>
      </c>
      <c r="B18" t="s">
        <v>944</v>
      </c>
      <c r="C18" t="s">
        <v>29</v>
      </c>
      <c r="D18" t="s">
        <v>337</v>
      </c>
      <c r="E18" t="s">
        <v>1528</v>
      </c>
      <c r="F18">
        <v>3.18</v>
      </c>
      <c r="G18">
        <v>0.08</v>
      </c>
      <c r="H18">
        <v>5</v>
      </c>
      <c r="I18" t="s">
        <v>1245</v>
      </c>
    </row>
    <row r="19" spans="1:9">
      <c r="A19" t="s">
        <v>1246</v>
      </c>
      <c r="B19" t="s">
        <v>944</v>
      </c>
      <c r="C19" t="s">
        <v>29</v>
      </c>
      <c r="D19" t="s">
        <v>337</v>
      </c>
      <c r="E19" t="s">
        <v>1529</v>
      </c>
      <c r="F19">
        <v>3.35</v>
      </c>
      <c r="G19">
        <v>0.12</v>
      </c>
      <c r="H19">
        <v>5</v>
      </c>
      <c r="I19" t="s">
        <v>1245</v>
      </c>
    </row>
    <row r="20" spans="1:9">
      <c r="A20" t="s">
        <v>1250</v>
      </c>
      <c r="B20" t="s">
        <v>963</v>
      </c>
      <c r="C20" t="s">
        <v>149</v>
      </c>
      <c r="D20" t="s">
        <v>40</v>
      </c>
      <c r="E20" t="s">
        <v>1247</v>
      </c>
      <c r="F20">
        <v>17.32</v>
      </c>
      <c r="G20">
        <v>1.07</v>
      </c>
      <c r="H20">
        <v>5</v>
      </c>
      <c r="I20" t="s">
        <v>1245</v>
      </c>
    </row>
    <row r="21" spans="1:9">
      <c r="A21" t="s">
        <v>1250</v>
      </c>
      <c r="B21" t="s">
        <v>963</v>
      </c>
      <c r="C21" t="s">
        <v>149</v>
      </c>
      <c r="D21" t="s">
        <v>40</v>
      </c>
      <c r="E21" t="s">
        <v>1528</v>
      </c>
      <c r="F21">
        <v>18.899999999999999</v>
      </c>
      <c r="G21">
        <v>0.57999999999999996</v>
      </c>
      <c r="H21">
        <v>5</v>
      </c>
      <c r="I21" t="s">
        <v>1245</v>
      </c>
    </row>
    <row r="22" spans="1:9">
      <c r="A22" t="s">
        <v>1250</v>
      </c>
      <c r="B22" t="s">
        <v>963</v>
      </c>
      <c r="C22" t="s">
        <v>149</v>
      </c>
      <c r="D22" t="s">
        <v>40</v>
      </c>
      <c r="E22" t="s">
        <v>1529</v>
      </c>
      <c r="F22">
        <v>20.49</v>
      </c>
      <c r="G22">
        <v>0.89</v>
      </c>
      <c r="H22">
        <v>5</v>
      </c>
      <c r="I22" t="s">
        <v>1245</v>
      </c>
    </row>
    <row r="23" spans="1:9">
      <c r="A23" t="s">
        <v>1250</v>
      </c>
      <c r="B23" t="s">
        <v>963</v>
      </c>
      <c r="C23" t="s">
        <v>149</v>
      </c>
      <c r="D23" t="s">
        <v>30</v>
      </c>
      <c r="E23" t="s">
        <v>1247</v>
      </c>
      <c r="F23">
        <v>9.7200000000000006</v>
      </c>
      <c r="G23">
        <v>0.98</v>
      </c>
      <c r="H23">
        <v>5</v>
      </c>
      <c r="I23" t="s">
        <v>1245</v>
      </c>
    </row>
    <row r="24" spans="1:9">
      <c r="A24" t="s">
        <v>1250</v>
      </c>
      <c r="B24" t="s">
        <v>963</v>
      </c>
      <c r="C24" t="s">
        <v>149</v>
      </c>
      <c r="D24" t="s">
        <v>30</v>
      </c>
      <c r="E24" t="s">
        <v>1528</v>
      </c>
      <c r="F24">
        <v>11.3</v>
      </c>
      <c r="G24">
        <v>1.1100000000000001</v>
      </c>
      <c r="H24">
        <v>5</v>
      </c>
      <c r="I24" t="s">
        <v>1245</v>
      </c>
    </row>
    <row r="25" spans="1:9">
      <c r="A25" t="s">
        <v>1250</v>
      </c>
      <c r="B25" t="s">
        <v>963</v>
      </c>
      <c r="C25" t="s">
        <v>149</v>
      </c>
      <c r="D25" t="s">
        <v>30</v>
      </c>
      <c r="E25" t="s">
        <v>1529</v>
      </c>
      <c r="F25">
        <v>12.59</v>
      </c>
      <c r="G25">
        <v>0.69</v>
      </c>
      <c r="H25">
        <v>5</v>
      </c>
      <c r="I25" t="s">
        <v>1245</v>
      </c>
    </row>
    <row r="26" spans="1:9">
      <c r="A26" t="s">
        <v>1250</v>
      </c>
      <c r="B26" t="s">
        <v>963</v>
      </c>
      <c r="C26" t="s">
        <v>149</v>
      </c>
      <c r="D26" t="s">
        <v>337</v>
      </c>
      <c r="E26" t="s">
        <v>1247</v>
      </c>
      <c r="F26">
        <v>2.7</v>
      </c>
      <c r="G26">
        <v>0.15</v>
      </c>
      <c r="H26">
        <v>5</v>
      </c>
      <c r="I26" t="s">
        <v>1245</v>
      </c>
    </row>
    <row r="27" spans="1:9">
      <c r="A27" t="s">
        <v>1250</v>
      </c>
      <c r="B27" t="s">
        <v>963</v>
      </c>
      <c r="C27" t="s">
        <v>149</v>
      </c>
      <c r="D27" t="s">
        <v>337</v>
      </c>
      <c r="E27" t="s">
        <v>1528</v>
      </c>
      <c r="F27">
        <v>2.9</v>
      </c>
      <c r="G27">
        <v>0.15</v>
      </c>
      <c r="H27">
        <v>5</v>
      </c>
      <c r="I27" t="s">
        <v>1245</v>
      </c>
    </row>
    <row r="28" spans="1:9">
      <c r="A28" t="s">
        <v>1250</v>
      </c>
      <c r="B28" t="s">
        <v>963</v>
      </c>
      <c r="C28" t="s">
        <v>149</v>
      </c>
      <c r="D28" t="s">
        <v>337</v>
      </c>
      <c r="E28" t="s">
        <v>1529</v>
      </c>
      <c r="F28">
        <v>3.12</v>
      </c>
      <c r="G28">
        <v>0.09</v>
      </c>
      <c r="H28">
        <v>5</v>
      </c>
      <c r="I28" t="s">
        <v>1245</v>
      </c>
    </row>
    <row r="29" spans="1:9">
      <c r="A29" t="s">
        <v>1250</v>
      </c>
      <c r="B29" t="s">
        <v>963</v>
      </c>
      <c r="C29" t="s">
        <v>29</v>
      </c>
      <c r="D29" t="s">
        <v>40</v>
      </c>
      <c r="E29" t="s">
        <v>1247</v>
      </c>
      <c r="F29">
        <v>13.8</v>
      </c>
      <c r="G29">
        <v>0.73</v>
      </c>
      <c r="H29">
        <v>5</v>
      </c>
      <c r="I29" t="s">
        <v>1245</v>
      </c>
    </row>
    <row r="30" spans="1:9">
      <c r="A30" t="s">
        <v>1250</v>
      </c>
      <c r="B30" t="s">
        <v>963</v>
      </c>
      <c r="C30" t="s">
        <v>29</v>
      </c>
      <c r="D30" t="s">
        <v>40</v>
      </c>
      <c r="E30" t="s">
        <v>1528</v>
      </c>
      <c r="F30">
        <v>15.35</v>
      </c>
      <c r="G30">
        <v>0.51</v>
      </c>
      <c r="H30">
        <v>5</v>
      </c>
      <c r="I30" t="s">
        <v>1245</v>
      </c>
    </row>
    <row r="31" spans="1:9">
      <c r="A31" t="s">
        <v>1250</v>
      </c>
      <c r="B31" t="s">
        <v>963</v>
      </c>
      <c r="C31" t="s">
        <v>29</v>
      </c>
      <c r="D31" t="s">
        <v>40</v>
      </c>
      <c r="E31" t="s">
        <v>1529</v>
      </c>
      <c r="F31">
        <v>15.5</v>
      </c>
      <c r="G31">
        <v>0.56000000000000005</v>
      </c>
      <c r="H31">
        <v>5</v>
      </c>
      <c r="I31" t="s">
        <v>1245</v>
      </c>
    </row>
    <row r="32" spans="1:9">
      <c r="A32" t="s">
        <v>1250</v>
      </c>
      <c r="B32" t="s">
        <v>963</v>
      </c>
      <c r="C32" t="s">
        <v>29</v>
      </c>
      <c r="D32" t="s">
        <v>30</v>
      </c>
      <c r="E32" t="s">
        <v>1247</v>
      </c>
      <c r="F32">
        <v>11.36</v>
      </c>
      <c r="G32">
        <v>0.84</v>
      </c>
      <c r="H32">
        <v>5</v>
      </c>
      <c r="I32" t="s">
        <v>1245</v>
      </c>
    </row>
    <row r="33" spans="1:9">
      <c r="A33" t="s">
        <v>1250</v>
      </c>
      <c r="B33" t="s">
        <v>963</v>
      </c>
      <c r="C33" t="s">
        <v>29</v>
      </c>
      <c r="D33" t="s">
        <v>30</v>
      </c>
      <c r="E33" t="s">
        <v>1528</v>
      </c>
      <c r="F33">
        <v>12.63</v>
      </c>
      <c r="G33">
        <v>0.85</v>
      </c>
      <c r="H33">
        <v>5</v>
      </c>
      <c r="I33" t="s">
        <v>1245</v>
      </c>
    </row>
    <row r="34" spans="1:9">
      <c r="A34" t="s">
        <v>1250</v>
      </c>
      <c r="B34" t="s">
        <v>963</v>
      </c>
      <c r="C34" t="s">
        <v>29</v>
      </c>
      <c r="D34" t="s">
        <v>30</v>
      </c>
      <c r="E34" t="s">
        <v>1529</v>
      </c>
      <c r="F34">
        <v>14.72</v>
      </c>
      <c r="G34">
        <v>0.37</v>
      </c>
      <c r="H34">
        <v>5</v>
      </c>
      <c r="I34" t="s">
        <v>1245</v>
      </c>
    </row>
    <row r="35" spans="1:9">
      <c r="A35" t="s">
        <v>1250</v>
      </c>
      <c r="B35" t="s">
        <v>963</v>
      </c>
      <c r="C35" t="s">
        <v>29</v>
      </c>
      <c r="D35" t="s">
        <v>337</v>
      </c>
      <c r="E35" t="s">
        <v>1247</v>
      </c>
      <c r="F35">
        <v>2.4700000000000002</v>
      </c>
      <c r="G35">
        <v>0.06</v>
      </c>
      <c r="H35">
        <v>5</v>
      </c>
      <c r="I35" t="s">
        <v>1245</v>
      </c>
    </row>
    <row r="36" spans="1:9">
      <c r="A36" t="s">
        <v>1250</v>
      </c>
      <c r="B36" t="s">
        <v>963</v>
      </c>
      <c r="C36" t="s">
        <v>29</v>
      </c>
      <c r="D36" t="s">
        <v>337</v>
      </c>
      <c r="E36" t="s">
        <v>1528</v>
      </c>
      <c r="F36">
        <v>2.8</v>
      </c>
      <c r="G36">
        <v>0.16</v>
      </c>
      <c r="H36">
        <v>5</v>
      </c>
      <c r="I36" t="s">
        <v>1245</v>
      </c>
    </row>
    <row r="37" spans="1:9">
      <c r="A37" t="s">
        <v>1250</v>
      </c>
      <c r="B37" t="s">
        <v>963</v>
      </c>
      <c r="C37" t="s">
        <v>29</v>
      </c>
      <c r="D37" t="s">
        <v>337</v>
      </c>
      <c r="E37" t="s">
        <v>1529</v>
      </c>
      <c r="F37">
        <v>2.69</v>
      </c>
      <c r="G37">
        <v>0.18</v>
      </c>
      <c r="H37">
        <v>5</v>
      </c>
      <c r="I37" t="s">
        <v>1245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1"/>
  <sheetViews>
    <sheetView workbookViewId="0"/>
  </sheetViews>
  <sheetFormatPr baseColWidth="10" defaultColWidth="9" defaultRowHeight="13.5"/>
  <cols>
    <col min="1" max="1" width="7" customWidth="1"/>
    <col min="2" max="2" width="7.125" customWidth="1"/>
    <col min="3" max="3" width="8.5" customWidth="1"/>
    <col min="4" max="4" width="7.5" customWidth="1"/>
    <col min="5" max="5" width="3.75" customWidth="1"/>
    <col min="6" max="6" width="1.5" customWidth="1"/>
    <col min="7" max="7" width="8.75" customWidth="1"/>
  </cols>
  <sheetData>
    <row r="1" spans="1:7" ht="27.75">
      <c r="A1" s="36" t="s">
        <v>24</v>
      </c>
      <c r="B1" s="36" t="s">
        <v>1530</v>
      </c>
      <c r="C1" s="36" t="s">
        <v>25</v>
      </c>
      <c r="D1" s="36" t="s">
        <v>1233</v>
      </c>
      <c r="E1" s="36" t="s">
        <v>1214</v>
      </c>
      <c r="F1" s="36" t="s">
        <v>1209</v>
      </c>
      <c r="G1" s="36" t="s">
        <v>1234</v>
      </c>
    </row>
    <row r="2" spans="1:7">
      <c r="A2" t="s">
        <v>42</v>
      </c>
      <c r="B2">
        <v>0</v>
      </c>
      <c r="C2" t="s">
        <v>1489</v>
      </c>
      <c r="D2">
        <v>11.1</v>
      </c>
      <c r="E2">
        <v>0.55000000000000004</v>
      </c>
      <c r="F2">
        <v>3</v>
      </c>
      <c r="G2" t="s">
        <v>1214</v>
      </c>
    </row>
    <row r="3" spans="1:7">
      <c r="A3" t="s">
        <v>42</v>
      </c>
      <c r="B3">
        <v>0.5</v>
      </c>
      <c r="C3" t="s">
        <v>1531</v>
      </c>
      <c r="D3">
        <v>13.167929999999998</v>
      </c>
      <c r="E3">
        <v>0.55000000000000004</v>
      </c>
      <c r="F3">
        <v>3</v>
      </c>
      <c r="G3" t="s">
        <v>1214</v>
      </c>
    </row>
    <row r="4" spans="1:7">
      <c r="A4" t="s">
        <v>42</v>
      </c>
      <c r="B4">
        <v>1</v>
      </c>
      <c r="C4" t="s">
        <v>1531</v>
      </c>
      <c r="D4">
        <v>15.36462</v>
      </c>
      <c r="E4">
        <v>0.6</v>
      </c>
      <c r="F4">
        <v>3</v>
      </c>
      <c r="G4" t="s">
        <v>1214</v>
      </c>
    </row>
    <row r="5" spans="1:7">
      <c r="A5" t="s">
        <v>42</v>
      </c>
      <c r="B5">
        <v>2</v>
      </c>
      <c r="C5" t="s">
        <v>1531</v>
      </c>
      <c r="D5">
        <v>16.654439999999997</v>
      </c>
      <c r="E5">
        <v>0.65</v>
      </c>
      <c r="F5">
        <v>3</v>
      </c>
      <c r="G5" t="s">
        <v>1214</v>
      </c>
    </row>
    <row r="6" spans="1:7">
      <c r="A6" t="s">
        <v>42</v>
      </c>
      <c r="B6">
        <v>5</v>
      </c>
      <c r="C6" t="s">
        <v>1531</v>
      </c>
      <c r="D6">
        <v>15.561089999999998</v>
      </c>
      <c r="E6">
        <v>0.6</v>
      </c>
      <c r="F6">
        <v>3</v>
      </c>
      <c r="G6" t="s">
        <v>1214</v>
      </c>
    </row>
    <row r="7" spans="1:7">
      <c r="A7" t="s">
        <v>40</v>
      </c>
      <c r="B7">
        <v>0</v>
      </c>
      <c r="C7" t="s">
        <v>1489</v>
      </c>
      <c r="D7">
        <v>9.6999999999999993</v>
      </c>
      <c r="E7">
        <v>0.45</v>
      </c>
      <c r="F7">
        <v>3</v>
      </c>
      <c r="G7" t="s">
        <v>1214</v>
      </c>
    </row>
    <row r="8" spans="1:7">
      <c r="A8" t="s">
        <v>40</v>
      </c>
      <c r="B8">
        <v>0.5</v>
      </c>
      <c r="C8" t="s">
        <v>1531</v>
      </c>
      <c r="D8">
        <v>11.154999999999998</v>
      </c>
      <c r="E8">
        <v>0.5</v>
      </c>
      <c r="F8">
        <v>3</v>
      </c>
      <c r="G8" t="s">
        <v>1214</v>
      </c>
    </row>
    <row r="9" spans="1:7">
      <c r="A9" t="s">
        <v>40</v>
      </c>
      <c r="B9">
        <v>1</v>
      </c>
      <c r="C9" t="s">
        <v>1531</v>
      </c>
      <c r="D9">
        <v>13.6091</v>
      </c>
      <c r="E9">
        <v>0.55000000000000004</v>
      </c>
      <c r="F9">
        <v>3</v>
      </c>
      <c r="G9" t="s">
        <v>1214</v>
      </c>
    </row>
    <row r="10" spans="1:7">
      <c r="A10" t="s">
        <v>40</v>
      </c>
      <c r="B10">
        <v>2</v>
      </c>
      <c r="C10" t="s">
        <v>1531</v>
      </c>
      <c r="D10">
        <v>13.676999999999998</v>
      </c>
      <c r="E10">
        <v>0.55000000000000004</v>
      </c>
      <c r="F10">
        <v>3</v>
      </c>
      <c r="G10" t="s">
        <v>1214</v>
      </c>
    </row>
    <row r="11" spans="1:7">
      <c r="A11" t="s">
        <v>40</v>
      </c>
      <c r="B11">
        <v>5</v>
      </c>
      <c r="C11" t="s">
        <v>1531</v>
      </c>
      <c r="D11">
        <v>11.901899999999998</v>
      </c>
      <c r="E11">
        <v>0.5</v>
      </c>
      <c r="F11">
        <v>3</v>
      </c>
      <c r="G11" t="s">
        <v>1214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9"/>
  <sheetViews>
    <sheetView workbookViewId="0"/>
  </sheetViews>
  <sheetFormatPr baseColWidth="10" defaultColWidth="9" defaultRowHeight="13.5"/>
  <cols>
    <col min="1" max="1" width="10.75" customWidth="1"/>
    <col min="2" max="2" width="7" customWidth="1"/>
    <col min="3" max="3" width="8.75" customWidth="1"/>
    <col min="4" max="4" width="5" customWidth="1"/>
    <col min="5" max="5" width="3.75" customWidth="1"/>
    <col min="6" max="6" width="1.5" customWidth="1"/>
    <col min="7" max="7" width="8.75" customWidth="1"/>
  </cols>
  <sheetData>
    <row r="1" spans="1:7" ht="27.75">
      <c r="A1" s="37" t="s">
        <v>1532</v>
      </c>
      <c r="B1" s="37" t="s">
        <v>24</v>
      </c>
      <c r="C1" s="37" t="s">
        <v>25</v>
      </c>
      <c r="D1" s="37" t="s">
        <v>1233</v>
      </c>
      <c r="E1" s="37" t="s">
        <v>1214</v>
      </c>
      <c r="F1" s="37" t="s">
        <v>1209</v>
      </c>
      <c r="G1" s="37" t="s">
        <v>1234</v>
      </c>
    </row>
    <row r="2" spans="1:7">
      <c r="A2">
        <v>75</v>
      </c>
      <c r="B2" t="s">
        <v>40</v>
      </c>
      <c r="C2" t="s">
        <v>1533</v>
      </c>
      <c r="D2">
        <v>22.5</v>
      </c>
      <c r="E2">
        <v>1.8</v>
      </c>
      <c r="F2">
        <v>3</v>
      </c>
      <c r="G2" t="s">
        <v>1214</v>
      </c>
    </row>
    <row r="3" spans="1:7">
      <c r="A3">
        <v>75</v>
      </c>
      <c r="B3" t="s">
        <v>40</v>
      </c>
      <c r="C3" t="s">
        <v>1534</v>
      </c>
      <c r="D3">
        <v>26.99</v>
      </c>
      <c r="E3">
        <v>1.5</v>
      </c>
      <c r="F3">
        <v>3</v>
      </c>
      <c r="G3" t="s">
        <v>1214</v>
      </c>
    </row>
    <row r="4" spans="1:7">
      <c r="A4">
        <v>75</v>
      </c>
      <c r="B4" t="s">
        <v>30</v>
      </c>
      <c r="C4" t="s">
        <v>1533</v>
      </c>
      <c r="D4">
        <v>8.02</v>
      </c>
      <c r="E4">
        <v>0.7</v>
      </c>
      <c r="F4">
        <v>3</v>
      </c>
      <c r="G4" t="s">
        <v>1214</v>
      </c>
    </row>
    <row r="5" spans="1:7">
      <c r="A5">
        <v>75</v>
      </c>
      <c r="B5" t="s">
        <v>30</v>
      </c>
      <c r="C5" t="s">
        <v>1534</v>
      </c>
      <c r="D5">
        <v>9.7100000000000009</v>
      </c>
      <c r="E5">
        <v>0.6</v>
      </c>
      <c r="F5">
        <v>3</v>
      </c>
      <c r="G5" t="s">
        <v>1214</v>
      </c>
    </row>
    <row r="6" spans="1:7">
      <c r="A6">
        <v>75</v>
      </c>
      <c r="B6" t="s">
        <v>337</v>
      </c>
      <c r="C6" t="s">
        <v>1533</v>
      </c>
      <c r="D6">
        <v>4.33</v>
      </c>
      <c r="E6">
        <v>0.25</v>
      </c>
      <c r="F6">
        <v>3</v>
      </c>
      <c r="G6" t="s">
        <v>1214</v>
      </c>
    </row>
    <row r="7" spans="1:7">
      <c r="A7">
        <v>75</v>
      </c>
      <c r="B7" t="s">
        <v>337</v>
      </c>
      <c r="C7" t="s">
        <v>1534</v>
      </c>
      <c r="D7">
        <v>4.74</v>
      </c>
      <c r="E7">
        <v>0.25</v>
      </c>
      <c r="F7">
        <v>3</v>
      </c>
      <c r="G7" t="s">
        <v>1214</v>
      </c>
    </row>
    <row r="8" spans="1:7">
      <c r="A8">
        <v>50</v>
      </c>
      <c r="B8" t="s">
        <v>40</v>
      </c>
      <c r="C8" t="s">
        <v>1533</v>
      </c>
      <c r="D8">
        <v>19.84</v>
      </c>
      <c r="E8">
        <v>1.5</v>
      </c>
      <c r="F8">
        <v>3</v>
      </c>
      <c r="G8" t="s">
        <v>1214</v>
      </c>
    </row>
    <row r="9" spans="1:7">
      <c r="A9">
        <v>50</v>
      </c>
      <c r="B9" t="s">
        <v>40</v>
      </c>
      <c r="C9" t="s">
        <v>1534</v>
      </c>
      <c r="D9">
        <v>24.46</v>
      </c>
      <c r="E9">
        <v>1.45</v>
      </c>
      <c r="F9">
        <v>3</v>
      </c>
      <c r="G9" t="s">
        <v>1214</v>
      </c>
    </row>
    <row r="10" spans="1:7">
      <c r="A10">
        <v>50</v>
      </c>
      <c r="B10" t="s">
        <v>30</v>
      </c>
      <c r="C10" t="s">
        <v>1533</v>
      </c>
      <c r="D10">
        <v>5.96</v>
      </c>
      <c r="E10">
        <v>0.65</v>
      </c>
      <c r="F10">
        <v>3</v>
      </c>
      <c r="G10" t="s">
        <v>1214</v>
      </c>
    </row>
    <row r="11" spans="1:7">
      <c r="A11">
        <v>50</v>
      </c>
      <c r="B11" t="s">
        <v>30</v>
      </c>
      <c r="C11" t="s">
        <v>1534</v>
      </c>
      <c r="D11">
        <v>8.49</v>
      </c>
      <c r="E11">
        <v>0.65</v>
      </c>
      <c r="F11">
        <v>3</v>
      </c>
      <c r="G11" t="s">
        <v>1214</v>
      </c>
    </row>
    <row r="12" spans="1:7">
      <c r="A12">
        <v>50</v>
      </c>
      <c r="B12" t="s">
        <v>337</v>
      </c>
      <c r="C12" t="s">
        <v>1533</v>
      </c>
      <c r="D12">
        <v>3.73</v>
      </c>
      <c r="E12">
        <v>0.25</v>
      </c>
      <c r="F12">
        <v>3</v>
      </c>
      <c r="G12" t="s">
        <v>1214</v>
      </c>
    </row>
    <row r="13" spans="1:7">
      <c r="A13">
        <v>50</v>
      </c>
      <c r="B13" t="s">
        <v>337</v>
      </c>
      <c r="C13" t="s">
        <v>1534</v>
      </c>
      <c r="D13">
        <v>4.43</v>
      </c>
      <c r="E13">
        <v>0.25</v>
      </c>
      <c r="F13">
        <v>3</v>
      </c>
      <c r="G13" t="s">
        <v>1214</v>
      </c>
    </row>
    <row r="14" spans="1:7">
      <c r="A14">
        <v>25</v>
      </c>
      <c r="B14" t="s">
        <v>40</v>
      </c>
      <c r="C14" t="s">
        <v>1533</v>
      </c>
      <c r="D14">
        <v>17.149999999999999</v>
      </c>
      <c r="E14">
        <v>1.1000000000000001</v>
      </c>
      <c r="F14">
        <v>3</v>
      </c>
      <c r="G14" t="s">
        <v>1214</v>
      </c>
    </row>
    <row r="15" spans="1:7">
      <c r="A15">
        <v>25</v>
      </c>
      <c r="B15" t="s">
        <v>40</v>
      </c>
      <c r="C15" t="s">
        <v>1534</v>
      </c>
      <c r="D15">
        <v>20.67</v>
      </c>
      <c r="E15">
        <v>1.45</v>
      </c>
      <c r="F15">
        <v>3</v>
      </c>
      <c r="G15" t="s">
        <v>1214</v>
      </c>
    </row>
    <row r="16" spans="1:7">
      <c r="A16">
        <v>25</v>
      </c>
      <c r="B16" t="s">
        <v>30</v>
      </c>
      <c r="C16" t="s">
        <v>1533</v>
      </c>
      <c r="D16">
        <v>4.96</v>
      </c>
      <c r="E16">
        <v>0.6</v>
      </c>
      <c r="F16">
        <v>3</v>
      </c>
      <c r="G16" t="s">
        <v>1214</v>
      </c>
    </row>
    <row r="17" spans="1:7">
      <c r="A17">
        <v>25</v>
      </c>
      <c r="B17" t="s">
        <v>30</v>
      </c>
      <c r="C17" t="s">
        <v>1534</v>
      </c>
      <c r="D17">
        <v>6.99</v>
      </c>
      <c r="E17">
        <v>0.55000000000000004</v>
      </c>
      <c r="F17">
        <v>3</v>
      </c>
      <c r="G17" t="s">
        <v>1214</v>
      </c>
    </row>
    <row r="18" spans="1:7">
      <c r="A18">
        <v>25</v>
      </c>
      <c r="B18" t="s">
        <v>337</v>
      </c>
      <c r="C18" t="s">
        <v>1533</v>
      </c>
      <c r="D18">
        <v>3.1</v>
      </c>
      <c r="E18">
        <v>0.2</v>
      </c>
      <c r="F18">
        <v>3</v>
      </c>
      <c r="G18" t="s">
        <v>1214</v>
      </c>
    </row>
    <row r="19" spans="1:7">
      <c r="A19">
        <v>25</v>
      </c>
      <c r="B19" t="s">
        <v>337</v>
      </c>
      <c r="C19" t="s">
        <v>1534</v>
      </c>
      <c r="D19">
        <v>4.03</v>
      </c>
      <c r="E19">
        <v>0.2</v>
      </c>
      <c r="F19">
        <v>3</v>
      </c>
      <c r="G19" t="s">
        <v>1214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3"/>
  <sheetViews>
    <sheetView workbookViewId="0"/>
  </sheetViews>
  <sheetFormatPr baseColWidth="10" defaultColWidth="9" defaultRowHeight="13.5"/>
  <cols>
    <col min="1" max="2" width="8.125" customWidth="1"/>
    <col min="3" max="3" width="10" customWidth="1"/>
    <col min="4" max="4" width="6.875" customWidth="1"/>
    <col min="5" max="5" width="5.625" customWidth="1"/>
    <col min="6" max="6" width="1.5" customWidth="1"/>
    <col min="7" max="7" width="8.75" customWidth="1"/>
    <col min="8" max="8" width="5.875" customWidth="1"/>
  </cols>
  <sheetData>
    <row r="1" spans="1:8" ht="27.75">
      <c r="A1" s="39" t="s">
        <v>1469</v>
      </c>
      <c r="B1" s="39" t="s">
        <v>1501</v>
      </c>
      <c r="C1" s="39" t="s">
        <v>1535</v>
      </c>
      <c r="D1" s="39" t="s">
        <v>1522</v>
      </c>
      <c r="E1" s="39" t="s">
        <v>1214</v>
      </c>
      <c r="F1" s="39" t="s">
        <v>1209</v>
      </c>
      <c r="G1" s="39" t="s">
        <v>1234</v>
      </c>
      <c r="H1" s="39" t="s">
        <v>74</v>
      </c>
    </row>
    <row r="2" spans="1:8">
      <c r="A2" t="s">
        <v>1024</v>
      </c>
      <c r="B2">
        <v>60</v>
      </c>
      <c r="C2">
        <v>0</v>
      </c>
      <c r="D2">
        <v>1.4330000000000001</v>
      </c>
      <c r="E2">
        <v>4.0099999999999997E-2</v>
      </c>
      <c r="F2">
        <v>3</v>
      </c>
      <c r="G2" t="s">
        <v>1214</v>
      </c>
      <c r="H2" t="s">
        <v>379</v>
      </c>
    </row>
    <row r="3" spans="1:8">
      <c r="A3" t="s">
        <v>1024</v>
      </c>
      <c r="B3">
        <v>60</v>
      </c>
      <c r="C3">
        <v>50</v>
      </c>
      <c r="D3">
        <v>1.5367</v>
      </c>
      <c r="E3">
        <v>4.0099999999999997E-2</v>
      </c>
      <c r="F3">
        <v>3</v>
      </c>
      <c r="G3" t="s">
        <v>1214</v>
      </c>
      <c r="H3" t="s">
        <v>379</v>
      </c>
    </row>
    <row r="4" spans="1:8">
      <c r="A4" t="s">
        <v>1024</v>
      </c>
      <c r="B4">
        <v>60</v>
      </c>
      <c r="C4">
        <v>100</v>
      </c>
      <c r="D4">
        <v>1.76</v>
      </c>
      <c r="E4">
        <v>4.0099999999999997E-2</v>
      </c>
      <c r="F4">
        <v>3</v>
      </c>
      <c r="G4" t="s">
        <v>1214</v>
      </c>
      <c r="H4" t="s">
        <v>379</v>
      </c>
    </row>
    <row r="5" spans="1:8">
      <c r="A5" t="s">
        <v>1024</v>
      </c>
      <c r="B5">
        <v>120</v>
      </c>
      <c r="C5">
        <v>0</v>
      </c>
      <c r="D5">
        <v>0.99329999999999996</v>
      </c>
      <c r="E5">
        <v>4.0099999999999997E-2</v>
      </c>
      <c r="F5">
        <v>3</v>
      </c>
      <c r="G5" t="s">
        <v>1214</v>
      </c>
      <c r="H5" t="s">
        <v>379</v>
      </c>
    </row>
    <row r="6" spans="1:8">
      <c r="A6" t="s">
        <v>1024</v>
      </c>
      <c r="B6">
        <v>120</v>
      </c>
      <c r="C6">
        <v>50</v>
      </c>
      <c r="D6">
        <v>1.0266999999999999</v>
      </c>
      <c r="E6">
        <v>4.0099999999999997E-2</v>
      </c>
      <c r="F6">
        <v>3</v>
      </c>
      <c r="G6" t="s">
        <v>1214</v>
      </c>
      <c r="H6" t="s">
        <v>379</v>
      </c>
    </row>
    <row r="7" spans="1:8">
      <c r="A7" t="s">
        <v>1024</v>
      </c>
      <c r="B7">
        <v>120</v>
      </c>
      <c r="C7">
        <v>100</v>
      </c>
      <c r="D7">
        <v>1.37</v>
      </c>
      <c r="E7">
        <v>4.0099999999999997E-2</v>
      </c>
      <c r="F7">
        <v>3</v>
      </c>
      <c r="G7" t="s">
        <v>1214</v>
      </c>
      <c r="H7" t="s">
        <v>379</v>
      </c>
    </row>
    <row r="8" spans="1:8">
      <c r="A8" t="s">
        <v>1033</v>
      </c>
      <c r="B8">
        <v>60</v>
      </c>
      <c r="C8">
        <v>0</v>
      </c>
      <c r="D8">
        <v>1.6667000000000001</v>
      </c>
      <c r="E8">
        <v>4.0099999999999997E-2</v>
      </c>
      <c r="F8">
        <v>3</v>
      </c>
      <c r="G8" t="s">
        <v>1214</v>
      </c>
      <c r="H8" t="s">
        <v>379</v>
      </c>
    </row>
    <row r="9" spans="1:8">
      <c r="A9" t="s">
        <v>1033</v>
      </c>
      <c r="B9">
        <v>60</v>
      </c>
      <c r="C9">
        <v>50</v>
      </c>
      <c r="D9">
        <v>1.7932999999999999</v>
      </c>
      <c r="E9">
        <v>4.0099999999999997E-2</v>
      </c>
      <c r="F9">
        <v>3</v>
      </c>
      <c r="G9" t="s">
        <v>1214</v>
      </c>
      <c r="H9" t="s">
        <v>379</v>
      </c>
    </row>
    <row r="10" spans="1:8">
      <c r="A10" t="s">
        <v>1033</v>
      </c>
      <c r="B10">
        <v>60</v>
      </c>
      <c r="C10">
        <v>100</v>
      </c>
      <c r="D10">
        <v>1.9167000000000001</v>
      </c>
      <c r="E10">
        <v>4.0099999999999997E-2</v>
      </c>
      <c r="F10">
        <v>3</v>
      </c>
      <c r="G10" t="s">
        <v>1214</v>
      </c>
      <c r="H10" t="s">
        <v>379</v>
      </c>
    </row>
    <row r="11" spans="1:8">
      <c r="A11" t="s">
        <v>1033</v>
      </c>
      <c r="B11">
        <v>120</v>
      </c>
      <c r="C11">
        <v>0</v>
      </c>
      <c r="D11">
        <v>1.2666999999999999</v>
      </c>
      <c r="E11">
        <v>4.0099999999999997E-2</v>
      </c>
      <c r="F11">
        <v>3</v>
      </c>
      <c r="G11" t="s">
        <v>1214</v>
      </c>
      <c r="H11" t="s">
        <v>379</v>
      </c>
    </row>
    <row r="12" spans="1:8">
      <c r="A12" t="s">
        <v>1033</v>
      </c>
      <c r="B12">
        <v>120</v>
      </c>
      <c r="C12">
        <v>50</v>
      </c>
      <c r="D12">
        <v>1.46</v>
      </c>
      <c r="E12">
        <v>4.0099999999999997E-2</v>
      </c>
      <c r="F12">
        <v>3</v>
      </c>
      <c r="G12" t="s">
        <v>1214</v>
      </c>
      <c r="H12" t="s">
        <v>379</v>
      </c>
    </row>
    <row r="13" spans="1:8">
      <c r="A13" t="s">
        <v>1033</v>
      </c>
      <c r="B13">
        <v>120</v>
      </c>
      <c r="C13">
        <v>100</v>
      </c>
      <c r="D13">
        <v>1.31</v>
      </c>
      <c r="E13">
        <v>4.0099999999999997E-2</v>
      </c>
      <c r="F13">
        <v>3</v>
      </c>
      <c r="G13" t="s">
        <v>1214</v>
      </c>
      <c r="H13" t="s">
        <v>379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5"/>
  <sheetViews>
    <sheetView workbookViewId="0"/>
  </sheetViews>
  <sheetFormatPr baseColWidth="10" defaultColWidth="9" defaultRowHeight="13.5"/>
  <cols>
    <col min="1" max="1" width="9.625" customWidth="1"/>
    <col min="2" max="2" width="17.25" customWidth="1"/>
    <col min="3" max="3" width="5.125" customWidth="1"/>
    <col min="4" max="4" width="7" customWidth="1"/>
    <col min="5" max="5" width="8.5" customWidth="1"/>
    <col min="6" max="6" width="5" customWidth="1"/>
    <col min="7" max="7" width="3.75" customWidth="1"/>
    <col min="8" max="8" width="1.5" customWidth="1"/>
    <col min="9" max="9" width="8.75" customWidth="1"/>
  </cols>
  <sheetData>
    <row r="1" spans="1:9" ht="27.75">
      <c r="A1" s="40" t="s">
        <v>1244</v>
      </c>
      <c r="B1" s="40" t="s">
        <v>62</v>
      </c>
      <c r="C1" s="40" t="s">
        <v>23</v>
      </c>
      <c r="D1" s="40" t="s">
        <v>24</v>
      </c>
      <c r="E1" s="40" t="s">
        <v>25</v>
      </c>
      <c r="F1" s="40" t="s">
        <v>1233</v>
      </c>
      <c r="G1" s="40" t="s">
        <v>1245</v>
      </c>
      <c r="H1" s="40" t="s">
        <v>1209</v>
      </c>
      <c r="I1" s="40" t="s">
        <v>1234</v>
      </c>
    </row>
    <row r="2" spans="1:9">
      <c r="A2" t="s">
        <v>1536</v>
      </c>
      <c r="B2" t="s">
        <v>944</v>
      </c>
      <c r="C2" t="s">
        <v>149</v>
      </c>
      <c r="D2" t="s">
        <v>40</v>
      </c>
      <c r="E2" t="s">
        <v>1247</v>
      </c>
      <c r="F2">
        <v>28.14</v>
      </c>
      <c r="G2">
        <v>0.55000000000000004</v>
      </c>
      <c r="H2">
        <v>3</v>
      </c>
      <c r="I2" t="s">
        <v>1245</v>
      </c>
    </row>
    <row r="3" spans="1:9">
      <c r="A3" t="s">
        <v>1536</v>
      </c>
      <c r="B3" t="s">
        <v>944</v>
      </c>
      <c r="C3" t="s">
        <v>149</v>
      </c>
      <c r="D3" t="s">
        <v>40</v>
      </c>
      <c r="E3" t="s">
        <v>1537</v>
      </c>
      <c r="F3">
        <v>33.78</v>
      </c>
      <c r="G3">
        <v>0.41</v>
      </c>
      <c r="H3">
        <v>3</v>
      </c>
      <c r="I3" t="s">
        <v>1245</v>
      </c>
    </row>
    <row r="4" spans="1:9">
      <c r="A4" t="s">
        <v>1536</v>
      </c>
      <c r="B4" t="s">
        <v>944</v>
      </c>
      <c r="C4" t="s">
        <v>149</v>
      </c>
      <c r="D4" t="s">
        <v>30</v>
      </c>
      <c r="E4" t="s">
        <v>1247</v>
      </c>
      <c r="F4">
        <v>10.78</v>
      </c>
      <c r="G4">
        <v>0.3</v>
      </c>
      <c r="H4">
        <v>3</v>
      </c>
      <c r="I4" t="s">
        <v>1245</v>
      </c>
    </row>
    <row r="5" spans="1:9">
      <c r="A5" t="s">
        <v>1536</v>
      </c>
      <c r="B5" t="s">
        <v>944</v>
      </c>
      <c r="C5" t="s">
        <v>149</v>
      </c>
      <c r="D5" t="s">
        <v>30</v>
      </c>
      <c r="E5" t="s">
        <v>1537</v>
      </c>
      <c r="F5">
        <v>11.09</v>
      </c>
      <c r="G5">
        <v>0.13</v>
      </c>
      <c r="H5">
        <v>3</v>
      </c>
      <c r="I5" t="s">
        <v>1245</v>
      </c>
    </row>
    <row r="6" spans="1:9">
      <c r="A6" t="s">
        <v>1536</v>
      </c>
      <c r="B6" t="s">
        <v>944</v>
      </c>
      <c r="C6" t="s">
        <v>149</v>
      </c>
      <c r="D6" t="s">
        <v>337</v>
      </c>
      <c r="E6" t="s">
        <v>1247</v>
      </c>
      <c r="F6">
        <v>6.69</v>
      </c>
      <c r="G6">
        <v>0.18</v>
      </c>
      <c r="H6">
        <v>3</v>
      </c>
      <c r="I6" t="s">
        <v>1245</v>
      </c>
    </row>
    <row r="7" spans="1:9">
      <c r="A7" t="s">
        <v>1536</v>
      </c>
      <c r="B7" t="s">
        <v>944</v>
      </c>
      <c r="C7" t="s">
        <v>149</v>
      </c>
      <c r="D7" t="s">
        <v>337</v>
      </c>
      <c r="E7" t="s">
        <v>1537</v>
      </c>
      <c r="F7">
        <v>6.26</v>
      </c>
      <c r="G7">
        <v>0.2</v>
      </c>
      <c r="H7">
        <v>3</v>
      </c>
      <c r="I7" t="s">
        <v>1245</v>
      </c>
    </row>
    <row r="8" spans="1:9">
      <c r="A8" t="s">
        <v>1536</v>
      </c>
      <c r="B8" t="s">
        <v>944</v>
      </c>
      <c r="C8" t="s">
        <v>29</v>
      </c>
      <c r="D8" t="s">
        <v>40</v>
      </c>
      <c r="E8" t="s">
        <v>1247</v>
      </c>
      <c r="F8">
        <v>23.03</v>
      </c>
      <c r="G8">
        <v>0.61</v>
      </c>
      <c r="H8">
        <v>3</v>
      </c>
      <c r="I8" t="s">
        <v>1245</v>
      </c>
    </row>
    <row r="9" spans="1:9">
      <c r="A9" t="s">
        <v>1536</v>
      </c>
      <c r="B9" t="s">
        <v>944</v>
      </c>
      <c r="C9" t="s">
        <v>29</v>
      </c>
      <c r="D9" t="s">
        <v>40</v>
      </c>
      <c r="E9" t="s">
        <v>1537</v>
      </c>
      <c r="F9">
        <v>26.51</v>
      </c>
      <c r="G9">
        <v>0.61</v>
      </c>
      <c r="H9">
        <v>3</v>
      </c>
      <c r="I9" t="s">
        <v>1245</v>
      </c>
    </row>
    <row r="10" spans="1:9">
      <c r="A10" t="s">
        <v>1536</v>
      </c>
      <c r="B10" t="s">
        <v>944</v>
      </c>
      <c r="C10" t="s">
        <v>29</v>
      </c>
      <c r="D10" t="s">
        <v>30</v>
      </c>
      <c r="E10" t="s">
        <v>1247</v>
      </c>
      <c r="F10">
        <v>8.1</v>
      </c>
      <c r="G10">
        <v>0.1</v>
      </c>
      <c r="H10">
        <v>3</v>
      </c>
      <c r="I10" t="s">
        <v>1245</v>
      </c>
    </row>
    <row r="11" spans="1:9">
      <c r="A11" t="s">
        <v>1536</v>
      </c>
      <c r="B11" t="s">
        <v>944</v>
      </c>
      <c r="C11" t="s">
        <v>29</v>
      </c>
      <c r="D11" t="s">
        <v>30</v>
      </c>
      <c r="E11" t="s">
        <v>1537</v>
      </c>
      <c r="F11">
        <v>10.130000000000001</v>
      </c>
      <c r="G11">
        <v>0.43</v>
      </c>
      <c r="H11">
        <v>3</v>
      </c>
      <c r="I11" t="s">
        <v>1245</v>
      </c>
    </row>
    <row r="12" spans="1:9">
      <c r="A12" t="s">
        <v>1536</v>
      </c>
      <c r="B12" t="s">
        <v>944</v>
      </c>
      <c r="C12" t="s">
        <v>29</v>
      </c>
      <c r="D12" t="s">
        <v>337</v>
      </c>
      <c r="E12" t="s">
        <v>1247</v>
      </c>
      <c r="F12">
        <v>5.29</v>
      </c>
      <c r="G12">
        <v>0.19</v>
      </c>
      <c r="H12">
        <v>3</v>
      </c>
      <c r="I12" t="s">
        <v>1245</v>
      </c>
    </row>
    <row r="13" spans="1:9">
      <c r="A13" t="s">
        <v>1536</v>
      </c>
      <c r="B13" t="s">
        <v>944</v>
      </c>
      <c r="C13" t="s">
        <v>29</v>
      </c>
      <c r="D13" t="s">
        <v>337</v>
      </c>
      <c r="E13" t="s">
        <v>1537</v>
      </c>
      <c r="F13">
        <v>5.6</v>
      </c>
      <c r="G13">
        <v>0.2</v>
      </c>
      <c r="H13">
        <v>3</v>
      </c>
      <c r="I13" t="s">
        <v>1245</v>
      </c>
    </row>
    <row r="14" spans="1:9">
      <c r="A14" t="s">
        <v>1538</v>
      </c>
      <c r="B14" t="s">
        <v>963</v>
      </c>
      <c r="C14" t="s">
        <v>149</v>
      </c>
      <c r="D14" t="s">
        <v>40</v>
      </c>
      <c r="E14" t="s">
        <v>1247</v>
      </c>
      <c r="F14">
        <v>22.65</v>
      </c>
      <c r="G14">
        <v>0.36</v>
      </c>
      <c r="H14">
        <v>3</v>
      </c>
      <c r="I14" t="s">
        <v>1245</v>
      </c>
    </row>
    <row r="15" spans="1:9">
      <c r="A15" t="s">
        <v>1538</v>
      </c>
      <c r="B15" t="s">
        <v>963</v>
      </c>
      <c r="C15" t="s">
        <v>149</v>
      </c>
      <c r="D15" t="s">
        <v>40</v>
      </c>
      <c r="E15" t="s">
        <v>1537</v>
      </c>
      <c r="F15">
        <v>26.55</v>
      </c>
      <c r="G15">
        <v>0.51</v>
      </c>
      <c r="H15">
        <v>3</v>
      </c>
      <c r="I15" t="s">
        <v>1245</v>
      </c>
    </row>
    <row r="16" spans="1:9">
      <c r="A16" t="s">
        <v>1538</v>
      </c>
      <c r="B16" t="s">
        <v>963</v>
      </c>
      <c r="C16" t="s">
        <v>149</v>
      </c>
      <c r="D16" t="s">
        <v>30</v>
      </c>
      <c r="E16" t="s">
        <v>1247</v>
      </c>
      <c r="F16">
        <v>8.5399999999999991</v>
      </c>
      <c r="G16">
        <v>0.25</v>
      </c>
      <c r="H16">
        <v>3</v>
      </c>
      <c r="I16" t="s">
        <v>1245</v>
      </c>
    </row>
    <row r="17" spans="1:9">
      <c r="A17" t="s">
        <v>1538</v>
      </c>
      <c r="B17" t="s">
        <v>963</v>
      </c>
      <c r="C17" t="s">
        <v>149</v>
      </c>
      <c r="D17" t="s">
        <v>30</v>
      </c>
      <c r="E17" t="s">
        <v>1537</v>
      </c>
      <c r="F17">
        <v>10.16</v>
      </c>
      <c r="G17">
        <v>0.21</v>
      </c>
      <c r="H17">
        <v>3</v>
      </c>
      <c r="I17" t="s">
        <v>1245</v>
      </c>
    </row>
    <row r="18" spans="1:9">
      <c r="A18" t="s">
        <v>1538</v>
      </c>
      <c r="B18" t="s">
        <v>963</v>
      </c>
      <c r="C18" t="s">
        <v>149</v>
      </c>
      <c r="D18" t="s">
        <v>337</v>
      </c>
      <c r="E18" t="s">
        <v>1247</v>
      </c>
      <c r="F18">
        <v>5.94</v>
      </c>
      <c r="G18">
        <v>0.18</v>
      </c>
      <c r="H18">
        <v>3</v>
      </c>
      <c r="I18" t="s">
        <v>1245</v>
      </c>
    </row>
    <row r="19" spans="1:9">
      <c r="A19" t="s">
        <v>1538</v>
      </c>
      <c r="B19" t="s">
        <v>963</v>
      </c>
      <c r="C19" t="s">
        <v>149</v>
      </c>
      <c r="D19" t="s">
        <v>337</v>
      </c>
      <c r="E19" t="s">
        <v>1537</v>
      </c>
      <c r="F19">
        <v>6.85</v>
      </c>
      <c r="G19">
        <v>0.2</v>
      </c>
      <c r="H19">
        <v>3</v>
      </c>
      <c r="I19" t="s">
        <v>1245</v>
      </c>
    </row>
    <row r="20" spans="1:9">
      <c r="A20" t="s">
        <v>1538</v>
      </c>
      <c r="B20" t="s">
        <v>963</v>
      </c>
      <c r="C20" t="s">
        <v>29</v>
      </c>
      <c r="D20" t="s">
        <v>40</v>
      </c>
      <c r="E20" t="s">
        <v>1247</v>
      </c>
      <c r="F20">
        <v>20.66</v>
      </c>
      <c r="G20">
        <v>0.59</v>
      </c>
      <c r="H20">
        <v>3</v>
      </c>
      <c r="I20" t="s">
        <v>1245</v>
      </c>
    </row>
    <row r="21" spans="1:9">
      <c r="A21" t="s">
        <v>1538</v>
      </c>
      <c r="B21" t="s">
        <v>963</v>
      </c>
      <c r="C21" t="s">
        <v>29</v>
      </c>
      <c r="D21" t="s">
        <v>40</v>
      </c>
      <c r="E21" t="s">
        <v>1537</v>
      </c>
      <c r="F21">
        <v>22.78</v>
      </c>
      <c r="G21">
        <v>0.41</v>
      </c>
      <c r="H21">
        <v>3</v>
      </c>
      <c r="I21" t="s">
        <v>1245</v>
      </c>
    </row>
    <row r="22" spans="1:9">
      <c r="A22" t="s">
        <v>1538</v>
      </c>
      <c r="B22" t="s">
        <v>963</v>
      </c>
      <c r="C22" t="s">
        <v>29</v>
      </c>
      <c r="D22" t="s">
        <v>30</v>
      </c>
      <c r="E22" t="s">
        <v>1247</v>
      </c>
      <c r="F22">
        <v>6.79</v>
      </c>
      <c r="G22">
        <v>0.14000000000000001</v>
      </c>
      <c r="H22">
        <v>3</v>
      </c>
      <c r="I22" t="s">
        <v>1245</v>
      </c>
    </row>
    <row r="23" spans="1:9">
      <c r="A23" t="s">
        <v>1538</v>
      </c>
      <c r="B23" t="s">
        <v>963</v>
      </c>
      <c r="C23" t="s">
        <v>29</v>
      </c>
      <c r="D23" t="s">
        <v>30</v>
      </c>
      <c r="E23" t="s">
        <v>1537</v>
      </c>
      <c r="F23">
        <v>7.58</v>
      </c>
      <c r="G23">
        <v>0.05</v>
      </c>
      <c r="H23">
        <v>3</v>
      </c>
      <c r="I23" t="s">
        <v>1245</v>
      </c>
    </row>
    <row r="24" spans="1:9">
      <c r="A24" t="s">
        <v>1538</v>
      </c>
      <c r="B24" t="s">
        <v>963</v>
      </c>
      <c r="C24" t="s">
        <v>29</v>
      </c>
      <c r="D24" t="s">
        <v>337</v>
      </c>
      <c r="E24" t="s">
        <v>1247</v>
      </c>
      <c r="F24">
        <v>4.16</v>
      </c>
      <c r="G24">
        <v>0.16</v>
      </c>
      <c r="H24">
        <v>3</v>
      </c>
      <c r="I24" t="s">
        <v>1245</v>
      </c>
    </row>
    <row r="25" spans="1:9">
      <c r="A25" t="s">
        <v>1538</v>
      </c>
      <c r="B25" t="s">
        <v>963</v>
      </c>
      <c r="C25" t="s">
        <v>29</v>
      </c>
      <c r="D25" t="s">
        <v>337</v>
      </c>
      <c r="E25" t="s">
        <v>1537</v>
      </c>
      <c r="F25">
        <v>4.88</v>
      </c>
      <c r="G25">
        <v>0.11</v>
      </c>
      <c r="H25">
        <v>3</v>
      </c>
      <c r="I25" t="s">
        <v>1245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5"/>
  <sheetViews>
    <sheetView workbookViewId="0"/>
  </sheetViews>
  <sheetFormatPr baseColWidth="10" defaultColWidth="9" defaultRowHeight="13.5"/>
  <cols>
    <col min="1" max="1" width="5.125" customWidth="1"/>
    <col min="2" max="2" width="7" customWidth="1"/>
    <col min="3" max="3" width="10" customWidth="1"/>
    <col min="4" max="4" width="5.25" customWidth="1"/>
    <col min="5" max="5" width="3.375" customWidth="1"/>
    <col min="6" max="6" width="1.5" customWidth="1"/>
    <col min="7" max="7" width="8.75" customWidth="1"/>
    <col min="8" max="8" width="6.5" customWidth="1"/>
  </cols>
  <sheetData>
    <row r="1" spans="1:8" ht="27.75">
      <c r="A1" s="41" t="s">
        <v>23</v>
      </c>
      <c r="B1" s="41" t="s">
        <v>24</v>
      </c>
      <c r="C1" s="41" t="s">
        <v>1535</v>
      </c>
      <c r="D1" s="41" t="s">
        <v>1233</v>
      </c>
      <c r="E1" s="41" t="s">
        <v>1214</v>
      </c>
      <c r="F1" s="41" t="s">
        <v>1209</v>
      </c>
      <c r="G1" s="41" t="s">
        <v>1234</v>
      </c>
      <c r="H1" s="41" t="s">
        <v>74</v>
      </c>
    </row>
    <row r="2" spans="1:8">
      <c r="A2" t="s">
        <v>29</v>
      </c>
      <c r="B2" t="s">
        <v>40</v>
      </c>
      <c r="C2">
        <v>0</v>
      </c>
      <c r="D2">
        <v>3500</v>
      </c>
      <c r="E2">
        <v>180</v>
      </c>
      <c r="F2">
        <v>4</v>
      </c>
      <c r="G2" t="s">
        <v>1214</v>
      </c>
      <c r="H2" t="s">
        <v>550</v>
      </c>
    </row>
    <row r="3" spans="1:8">
      <c r="A3" t="s">
        <v>29</v>
      </c>
      <c r="B3" t="s">
        <v>40</v>
      </c>
      <c r="C3">
        <v>1</v>
      </c>
      <c r="D3">
        <v>3600</v>
      </c>
      <c r="E3">
        <v>180</v>
      </c>
      <c r="F3">
        <v>4</v>
      </c>
      <c r="G3" t="s">
        <v>1214</v>
      </c>
      <c r="H3" t="s">
        <v>550</v>
      </c>
    </row>
    <row r="4" spans="1:8">
      <c r="A4" t="s">
        <v>29</v>
      </c>
      <c r="B4" t="s">
        <v>40</v>
      </c>
      <c r="C4">
        <v>10</v>
      </c>
      <c r="D4">
        <v>3500</v>
      </c>
      <c r="E4">
        <v>180</v>
      </c>
      <c r="F4">
        <v>4</v>
      </c>
      <c r="G4" t="s">
        <v>1214</v>
      </c>
      <c r="H4" t="s">
        <v>550</v>
      </c>
    </row>
    <row r="5" spans="1:8">
      <c r="A5" t="s">
        <v>29</v>
      </c>
      <c r="B5" t="s">
        <v>40</v>
      </c>
      <c r="C5">
        <v>20</v>
      </c>
      <c r="D5">
        <v>3200</v>
      </c>
      <c r="E5">
        <v>180</v>
      </c>
      <c r="F5">
        <v>4</v>
      </c>
      <c r="G5" t="s">
        <v>1214</v>
      </c>
      <c r="H5" t="s">
        <v>550</v>
      </c>
    </row>
    <row r="6" spans="1:8">
      <c r="A6" t="s">
        <v>41</v>
      </c>
      <c r="B6" t="s">
        <v>40</v>
      </c>
      <c r="C6">
        <v>0</v>
      </c>
      <c r="D6">
        <v>15000</v>
      </c>
      <c r="E6">
        <v>700</v>
      </c>
      <c r="F6">
        <v>4</v>
      </c>
      <c r="G6" t="s">
        <v>1214</v>
      </c>
      <c r="H6" t="s">
        <v>550</v>
      </c>
    </row>
    <row r="7" spans="1:8">
      <c r="A7" t="s">
        <v>41</v>
      </c>
      <c r="B7" t="s">
        <v>40</v>
      </c>
      <c r="C7">
        <v>1</v>
      </c>
      <c r="D7">
        <v>12500</v>
      </c>
      <c r="E7">
        <v>600</v>
      </c>
      <c r="F7">
        <v>4</v>
      </c>
      <c r="G7" t="s">
        <v>1214</v>
      </c>
      <c r="H7" t="s">
        <v>550</v>
      </c>
    </row>
    <row r="8" spans="1:8">
      <c r="A8" t="s">
        <v>41</v>
      </c>
      <c r="B8" t="s">
        <v>40</v>
      </c>
      <c r="C8">
        <v>10</v>
      </c>
      <c r="D8">
        <v>2500</v>
      </c>
      <c r="E8">
        <v>250</v>
      </c>
      <c r="F8">
        <v>4</v>
      </c>
      <c r="G8" t="s">
        <v>1214</v>
      </c>
      <c r="H8" t="s">
        <v>550</v>
      </c>
    </row>
    <row r="9" spans="1:8">
      <c r="A9" t="s">
        <v>41</v>
      </c>
      <c r="B9" t="s">
        <v>40</v>
      </c>
      <c r="C9">
        <v>20</v>
      </c>
      <c r="D9">
        <v>11000</v>
      </c>
      <c r="E9">
        <v>600</v>
      </c>
      <c r="F9">
        <v>4</v>
      </c>
      <c r="G9" t="s">
        <v>1214</v>
      </c>
      <c r="H9" t="s">
        <v>550</v>
      </c>
    </row>
    <row r="10" spans="1:8">
      <c r="A10" t="s">
        <v>29</v>
      </c>
      <c r="B10" t="s">
        <v>30</v>
      </c>
      <c r="C10">
        <v>0</v>
      </c>
      <c r="D10">
        <v>2050</v>
      </c>
      <c r="E10">
        <v>100</v>
      </c>
      <c r="F10">
        <v>4</v>
      </c>
      <c r="G10" t="s">
        <v>1214</v>
      </c>
      <c r="H10" t="s">
        <v>550</v>
      </c>
    </row>
    <row r="11" spans="1:8">
      <c r="A11" t="s">
        <v>29</v>
      </c>
      <c r="B11" t="s">
        <v>30</v>
      </c>
      <c r="C11">
        <v>1</v>
      </c>
      <c r="D11">
        <v>1850</v>
      </c>
      <c r="E11">
        <v>90</v>
      </c>
      <c r="F11">
        <v>4</v>
      </c>
      <c r="G11" t="s">
        <v>1214</v>
      </c>
      <c r="H11" t="s">
        <v>550</v>
      </c>
    </row>
    <row r="12" spans="1:8">
      <c r="A12" t="s">
        <v>29</v>
      </c>
      <c r="B12" t="s">
        <v>30</v>
      </c>
      <c r="C12">
        <v>10</v>
      </c>
      <c r="D12">
        <v>1950</v>
      </c>
      <c r="E12">
        <v>100</v>
      </c>
      <c r="F12">
        <v>4</v>
      </c>
      <c r="G12" t="s">
        <v>1214</v>
      </c>
      <c r="H12" t="s">
        <v>550</v>
      </c>
    </row>
    <row r="13" spans="1:8">
      <c r="A13" t="s">
        <v>29</v>
      </c>
      <c r="B13" t="s">
        <v>30</v>
      </c>
      <c r="C13">
        <v>20</v>
      </c>
      <c r="D13">
        <v>1950</v>
      </c>
      <c r="E13">
        <v>100</v>
      </c>
      <c r="F13">
        <v>4</v>
      </c>
      <c r="G13" t="s">
        <v>1214</v>
      </c>
      <c r="H13" t="s">
        <v>550</v>
      </c>
    </row>
    <row r="14" spans="1:8">
      <c r="A14" t="s">
        <v>41</v>
      </c>
      <c r="B14" t="s">
        <v>30</v>
      </c>
      <c r="C14">
        <v>0</v>
      </c>
      <c r="D14">
        <v>1750</v>
      </c>
      <c r="E14">
        <v>90</v>
      </c>
      <c r="F14">
        <v>4</v>
      </c>
      <c r="G14" t="s">
        <v>1214</v>
      </c>
      <c r="H14" t="s">
        <v>550</v>
      </c>
    </row>
    <row r="15" spans="1:8">
      <c r="A15" t="s">
        <v>41</v>
      </c>
      <c r="B15" t="s">
        <v>30</v>
      </c>
      <c r="C15">
        <v>1</v>
      </c>
      <c r="D15">
        <v>1750</v>
      </c>
      <c r="E15">
        <v>90</v>
      </c>
      <c r="F15">
        <v>4</v>
      </c>
      <c r="G15" t="s">
        <v>1214</v>
      </c>
      <c r="H15" t="s">
        <v>550</v>
      </c>
    </row>
    <row r="16" spans="1:8">
      <c r="A16" t="s">
        <v>41</v>
      </c>
      <c r="B16" t="s">
        <v>30</v>
      </c>
      <c r="C16">
        <v>10</v>
      </c>
      <c r="D16">
        <v>1800</v>
      </c>
      <c r="E16">
        <v>90</v>
      </c>
      <c r="F16">
        <v>4</v>
      </c>
      <c r="G16" t="s">
        <v>1214</v>
      </c>
      <c r="H16" t="s">
        <v>550</v>
      </c>
    </row>
    <row r="17" spans="1:8">
      <c r="A17" t="s">
        <v>41</v>
      </c>
      <c r="B17" t="s">
        <v>30</v>
      </c>
      <c r="C17">
        <v>20</v>
      </c>
      <c r="D17">
        <v>1750</v>
      </c>
      <c r="E17">
        <v>90</v>
      </c>
      <c r="F17">
        <v>4</v>
      </c>
      <c r="G17" t="s">
        <v>1214</v>
      </c>
      <c r="H17" t="s">
        <v>550</v>
      </c>
    </row>
    <row r="18" spans="1:8">
      <c r="A18" t="s">
        <v>29</v>
      </c>
      <c r="B18" t="s">
        <v>337</v>
      </c>
      <c r="C18">
        <v>0</v>
      </c>
      <c r="D18">
        <v>1850</v>
      </c>
      <c r="E18">
        <v>100</v>
      </c>
      <c r="F18">
        <v>4</v>
      </c>
      <c r="G18" t="s">
        <v>1214</v>
      </c>
      <c r="H18" t="s">
        <v>550</v>
      </c>
    </row>
    <row r="19" spans="1:8">
      <c r="A19" t="s">
        <v>29</v>
      </c>
      <c r="B19" t="s">
        <v>337</v>
      </c>
      <c r="C19">
        <v>1</v>
      </c>
      <c r="D19">
        <v>1950</v>
      </c>
      <c r="E19">
        <v>100</v>
      </c>
      <c r="F19">
        <v>4</v>
      </c>
      <c r="G19" t="s">
        <v>1214</v>
      </c>
      <c r="H19" t="s">
        <v>550</v>
      </c>
    </row>
    <row r="20" spans="1:8">
      <c r="A20" t="s">
        <v>29</v>
      </c>
      <c r="B20" t="s">
        <v>337</v>
      </c>
      <c r="C20">
        <v>10</v>
      </c>
      <c r="D20">
        <v>2050</v>
      </c>
      <c r="E20">
        <v>110</v>
      </c>
      <c r="F20">
        <v>4</v>
      </c>
      <c r="G20" t="s">
        <v>1214</v>
      </c>
      <c r="H20" t="s">
        <v>550</v>
      </c>
    </row>
    <row r="21" spans="1:8">
      <c r="A21" t="s">
        <v>29</v>
      </c>
      <c r="B21" t="s">
        <v>337</v>
      </c>
      <c r="C21">
        <v>20</v>
      </c>
      <c r="D21">
        <v>2050</v>
      </c>
      <c r="E21">
        <v>100</v>
      </c>
      <c r="F21">
        <v>4</v>
      </c>
      <c r="G21" t="s">
        <v>1214</v>
      </c>
      <c r="H21" t="s">
        <v>550</v>
      </c>
    </row>
    <row r="22" spans="1:8">
      <c r="A22" t="s">
        <v>41</v>
      </c>
      <c r="B22" t="s">
        <v>337</v>
      </c>
      <c r="C22">
        <v>0</v>
      </c>
      <c r="D22">
        <v>2250</v>
      </c>
      <c r="E22">
        <v>120</v>
      </c>
      <c r="F22">
        <v>4</v>
      </c>
      <c r="G22" t="s">
        <v>1214</v>
      </c>
      <c r="H22" t="s">
        <v>550</v>
      </c>
    </row>
    <row r="23" spans="1:8">
      <c r="A23" t="s">
        <v>41</v>
      </c>
      <c r="B23" t="s">
        <v>337</v>
      </c>
      <c r="C23">
        <v>1</v>
      </c>
      <c r="D23">
        <v>2250</v>
      </c>
      <c r="E23">
        <v>120</v>
      </c>
      <c r="F23">
        <v>4</v>
      </c>
      <c r="G23" t="s">
        <v>1214</v>
      </c>
      <c r="H23" t="s">
        <v>550</v>
      </c>
    </row>
    <row r="24" spans="1:8">
      <c r="A24" t="s">
        <v>41</v>
      </c>
      <c r="B24" t="s">
        <v>337</v>
      </c>
      <c r="C24">
        <v>10</v>
      </c>
      <c r="D24">
        <v>2200</v>
      </c>
      <c r="E24">
        <v>120</v>
      </c>
      <c r="F24">
        <v>4</v>
      </c>
      <c r="G24" t="s">
        <v>1214</v>
      </c>
      <c r="H24" t="s">
        <v>550</v>
      </c>
    </row>
    <row r="25" spans="1:8">
      <c r="A25" t="s">
        <v>41</v>
      </c>
      <c r="B25" t="s">
        <v>337</v>
      </c>
      <c r="C25">
        <v>20</v>
      </c>
      <c r="D25">
        <v>2000</v>
      </c>
      <c r="E25">
        <v>110</v>
      </c>
      <c r="F25">
        <v>4</v>
      </c>
      <c r="G25" t="s">
        <v>1214</v>
      </c>
      <c r="H25" t="s">
        <v>550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9"/>
  <sheetViews>
    <sheetView workbookViewId="0"/>
  </sheetViews>
  <sheetFormatPr baseColWidth="10" defaultColWidth="9" defaultRowHeight="13.5"/>
  <cols>
    <col min="1" max="1" width="11.875" customWidth="1"/>
    <col min="2" max="2" width="13.5" customWidth="1"/>
    <col min="3" max="3" width="14" customWidth="1"/>
    <col min="4" max="4" width="6.875" customWidth="1"/>
    <col min="5" max="5" width="8.75" customWidth="1"/>
    <col min="6" max="6" width="1.5" customWidth="1"/>
    <col min="7" max="7" width="27.375" customWidth="1"/>
    <col min="8" max="8" width="5.875" customWidth="1"/>
  </cols>
  <sheetData>
    <row r="1" spans="1:8" ht="27.75">
      <c r="A1" s="42" t="s">
        <v>1539</v>
      </c>
      <c r="B1" s="42" t="s">
        <v>1540</v>
      </c>
      <c r="C1" s="42" t="s">
        <v>1541</v>
      </c>
      <c r="D1" s="42" t="s">
        <v>1522</v>
      </c>
      <c r="E1" s="42" t="s">
        <v>1470</v>
      </c>
      <c r="F1" s="42" t="s">
        <v>1209</v>
      </c>
      <c r="G1" s="42" t="s">
        <v>1496</v>
      </c>
      <c r="H1" s="42" t="s">
        <v>74</v>
      </c>
    </row>
    <row r="2" spans="1:8">
      <c r="A2">
        <v>55</v>
      </c>
      <c r="B2">
        <v>0</v>
      </c>
      <c r="C2">
        <v>0</v>
      </c>
      <c r="D2">
        <v>1.2529999999999999</v>
      </c>
      <c r="E2">
        <v>0.1</v>
      </c>
      <c r="F2">
        <v>3</v>
      </c>
      <c r="G2" t="s">
        <v>1542</v>
      </c>
      <c r="H2" t="s">
        <v>1543</v>
      </c>
    </row>
    <row r="3" spans="1:8">
      <c r="A3">
        <v>55</v>
      </c>
      <c r="B3">
        <v>0</v>
      </c>
      <c r="C3">
        <v>150</v>
      </c>
      <c r="D3">
        <v>0.52500000000000002</v>
      </c>
      <c r="E3">
        <v>0.1</v>
      </c>
      <c r="F3">
        <v>3</v>
      </c>
      <c r="G3" t="s">
        <v>1542</v>
      </c>
      <c r="H3" t="s">
        <v>1543</v>
      </c>
    </row>
    <row r="4" spans="1:8">
      <c r="A4">
        <v>55</v>
      </c>
      <c r="B4">
        <v>0</v>
      </c>
      <c r="C4">
        <v>300</v>
      </c>
      <c r="D4">
        <v>1.1379999999999999</v>
      </c>
      <c r="E4">
        <v>0.1</v>
      </c>
      <c r="F4">
        <v>3</v>
      </c>
      <c r="G4" t="s">
        <v>1542</v>
      </c>
      <c r="H4" t="s">
        <v>1543</v>
      </c>
    </row>
    <row r="5" spans="1:8">
      <c r="A5">
        <v>55</v>
      </c>
      <c r="B5">
        <v>150</v>
      </c>
      <c r="C5">
        <v>0</v>
      </c>
      <c r="D5">
        <v>1.288</v>
      </c>
      <c r="E5">
        <v>0.1</v>
      </c>
      <c r="F5">
        <v>3</v>
      </c>
      <c r="G5" t="s">
        <v>1542</v>
      </c>
      <c r="H5" t="s">
        <v>1543</v>
      </c>
    </row>
    <row r="6" spans="1:8">
      <c r="A6">
        <v>55</v>
      </c>
      <c r="B6">
        <v>150</v>
      </c>
      <c r="C6">
        <v>150</v>
      </c>
      <c r="D6">
        <v>0.995</v>
      </c>
      <c r="E6">
        <v>0.1</v>
      </c>
      <c r="F6">
        <v>3</v>
      </c>
      <c r="G6" t="s">
        <v>1542</v>
      </c>
      <c r="H6" t="s">
        <v>1543</v>
      </c>
    </row>
    <row r="7" spans="1:8">
      <c r="A7">
        <v>55</v>
      </c>
      <c r="B7">
        <v>150</v>
      </c>
      <c r="C7">
        <v>300</v>
      </c>
      <c r="D7">
        <v>1.373</v>
      </c>
      <c r="E7">
        <v>0.1</v>
      </c>
      <c r="F7">
        <v>3</v>
      </c>
      <c r="G7" t="s">
        <v>1542</v>
      </c>
      <c r="H7" t="s">
        <v>1543</v>
      </c>
    </row>
    <row r="8" spans="1:8">
      <c r="A8">
        <v>55</v>
      </c>
      <c r="B8">
        <v>300</v>
      </c>
      <c r="C8">
        <v>0</v>
      </c>
      <c r="D8">
        <v>1.093</v>
      </c>
      <c r="E8">
        <v>0.1</v>
      </c>
      <c r="F8">
        <v>3</v>
      </c>
      <c r="G8" t="s">
        <v>1542</v>
      </c>
      <c r="H8" t="s">
        <v>1543</v>
      </c>
    </row>
    <row r="9" spans="1:8">
      <c r="A9">
        <v>55</v>
      </c>
      <c r="B9">
        <v>300</v>
      </c>
      <c r="C9">
        <v>150</v>
      </c>
      <c r="D9">
        <v>1.198</v>
      </c>
      <c r="E9">
        <v>0.1</v>
      </c>
      <c r="F9">
        <v>3</v>
      </c>
      <c r="G9" t="s">
        <v>1542</v>
      </c>
      <c r="H9" t="s">
        <v>1543</v>
      </c>
    </row>
    <row r="10" spans="1:8">
      <c r="A10">
        <v>55</v>
      </c>
      <c r="B10">
        <v>300</v>
      </c>
      <c r="C10">
        <v>300</v>
      </c>
      <c r="D10">
        <v>1.07</v>
      </c>
      <c r="E10">
        <v>0.1</v>
      </c>
      <c r="F10">
        <v>3</v>
      </c>
      <c r="G10" t="s">
        <v>1542</v>
      </c>
      <c r="H10" t="s">
        <v>1543</v>
      </c>
    </row>
    <row r="11" spans="1:8">
      <c r="A11">
        <v>75</v>
      </c>
      <c r="B11">
        <v>0</v>
      </c>
      <c r="C11">
        <v>0</v>
      </c>
      <c r="D11">
        <v>0.88300000000000001</v>
      </c>
      <c r="E11">
        <v>0.1</v>
      </c>
      <c r="F11">
        <v>3</v>
      </c>
      <c r="G11" t="s">
        <v>1542</v>
      </c>
      <c r="H11" t="s">
        <v>1543</v>
      </c>
    </row>
    <row r="12" spans="1:8">
      <c r="A12">
        <v>75</v>
      </c>
      <c r="B12">
        <v>0</v>
      </c>
      <c r="C12">
        <v>150</v>
      </c>
      <c r="D12">
        <v>0.36499999999999999</v>
      </c>
      <c r="E12">
        <v>0.1</v>
      </c>
      <c r="F12">
        <v>3</v>
      </c>
      <c r="G12" t="s">
        <v>1542</v>
      </c>
      <c r="H12" t="s">
        <v>1543</v>
      </c>
    </row>
    <row r="13" spans="1:8">
      <c r="A13">
        <v>75</v>
      </c>
      <c r="B13">
        <v>0</v>
      </c>
      <c r="C13">
        <v>300</v>
      </c>
      <c r="D13">
        <v>0.51</v>
      </c>
      <c r="E13">
        <v>0.1</v>
      </c>
      <c r="F13">
        <v>3</v>
      </c>
      <c r="G13" t="s">
        <v>1542</v>
      </c>
      <c r="H13" t="s">
        <v>1543</v>
      </c>
    </row>
    <row r="14" spans="1:8">
      <c r="A14">
        <v>75</v>
      </c>
      <c r="B14">
        <v>150</v>
      </c>
      <c r="C14">
        <v>0</v>
      </c>
      <c r="D14">
        <v>0.48299999999999998</v>
      </c>
      <c r="E14">
        <v>0.1</v>
      </c>
      <c r="F14">
        <v>3</v>
      </c>
      <c r="G14" t="s">
        <v>1542</v>
      </c>
      <c r="H14" t="s">
        <v>1543</v>
      </c>
    </row>
    <row r="15" spans="1:8">
      <c r="A15">
        <v>75</v>
      </c>
      <c r="B15">
        <v>150</v>
      </c>
      <c r="C15">
        <v>150</v>
      </c>
      <c r="D15">
        <v>0.48299999999999998</v>
      </c>
      <c r="E15">
        <v>0.1</v>
      </c>
      <c r="F15">
        <v>3</v>
      </c>
      <c r="G15" t="s">
        <v>1542</v>
      </c>
      <c r="H15" t="s">
        <v>1543</v>
      </c>
    </row>
    <row r="16" spans="1:8">
      <c r="A16">
        <v>75</v>
      </c>
      <c r="B16">
        <v>150</v>
      </c>
      <c r="C16">
        <v>300</v>
      </c>
      <c r="D16">
        <v>0.46</v>
      </c>
      <c r="E16">
        <v>0.1</v>
      </c>
      <c r="F16">
        <v>3</v>
      </c>
      <c r="G16" t="s">
        <v>1542</v>
      </c>
      <c r="H16" t="s">
        <v>1543</v>
      </c>
    </row>
    <row r="17" spans="1:8">
      <c r="A17">
        <v>75</v>
      </c>
      <c r="B17">
        <v>300</v>
      </c>
      <c r="C17">
        <v>0</v>
      </c>
      <c r="D17">
        <v>0.66500000000000004</v>
      </c>
      <c r="E17">
        <v>0.1</v>
      </c>
      <c r="F17">
        <v>3</v>
      </c>
      <c r="G17" t="s">
        <v>1542</v>
      </c>
      <c r="H17" t="s">
        <v>1543</v>
      </c>
    </row>
    <row r="18" spans="1:8">
      <c r="A18">
        <v>75</v>
      </c>
      <c r="B18">
        <v>300</v>
      </c>
      <c r="C18">
        <v>150</v>
      </c>
      <c r="D18">
        <v>0.56799999999999995</v>
      </c>
      <c r="E18">
        <v>0.1</v>
      </c>
      <c r="F18">
        <v>3</v>
      </c>
      <c r="G18" t="s">
        <v>1542</v>
      </c>
      <c r="H18" t="s">
        <v>1543</v>
      </c>
    </row>
    <row r="19" spans="1:8">
      <c r="A19">
        <v>75</v>
      </c>
      <c r="B19">
        <v>300</v>
      </c>
      <c r="C19">
        <v>300</v>
      </c>
      <c r="D19">
        <v>0.86799999999999999</v>
      </c>
      <c r="E19">
        <v>0.1</v>
      </c>
      <c r="F19">
        <v>3</v>
      </c>
      <c r="G19" t="s">
        <v>1542</v>
      </c>
      <c r="H19" t="s">
        <v>1543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45"/>
  <sheetViews>
    <sheetView workbookViewId="0"/>
  </sheetViews>
  <sheetFormatPr baseColWidth="10" defaultColWidth="9" defaultRowHeight="13.5"/>
  <cols>
    <col min="1" max="1" width="8.375" customWidth="1"/>
    <col min="2" max="2" width="7" customWidth="1"/>
    <col min="3" max="3" width="9.125" customWidth="1"/>
    <col min="4" max="4" width="5.25" customWidth="1"/>
    <col min="5" max="5" width="4.25" customWidth="1"/>
    <col min="6" max="6" width="1.5" customWidth="1"/>
    <col min="7" max="7" width="8.75" customWidth="1"/>
  </cols>
  <sheetData>
    <row r="1" spans="1:7" ht="27.75">
      <c r="A1" s="43" t="s">
        <v>1469</v>
      </c>
      <c r="B1" s="43" t="s">
        <v>24</v>
      </c>
      <c r="C1" s="43" t="s">
        <v>25</v>
      </c>
      <c r="D1" s="43" t="s">
        <v>1233</v>
      </c>
      <c r="E1" s="43" t="s">
        <v>1214</v>
      </c>
      <c r="F1" s="43" t="s">
        <v>1209</v>
      </c>
      <c r="G1" s="43" t="s">
        <v>1234</v>
      </c>
    </row>
    <row r="2" spans="1:7">
      <c r="A2" t="s">
        <v>1544</v>
      </c>
      <c r="B2" t="s">
        <v>42</v>
      </c>
      <c r="C2" t="s">
        <v>1545</v>
      </c>
      <c r="D2">
        <v>14500</v>
      </c>
      <c r="E2">
        <v>1200</v>
      </c>
      <c r="F2">
        <v>3</v>
      </c>
      <c r="G2" t="s">
        <v>1214</v>
      </c>
    </row>
    <row r="3" spans="1:7">
      <c r="A3" t="s">
        <v>1544</v>
      </c>
      <c r="B3" t="s">
        <v>42</v>
      </c>
      <c r="C3" t="s">
        <v>1546</v>
      </c>
      <c r="D3">
        <v>20500</v>
      </c>
      <c r="E3">
        <v>1200</v>
      </c>
      <c r="F3">
        <v>3</v>
      </c>
      <c r="G3" t="s">
        <v>1214</v>
      </c>
    </row>
    <row r="4" spans="1:7">
      <c r="A4" t="s">
        <v>1544</v>
      </c>
      <c r="B4" t="s">
        <v>53</v>
      </c>
      <c r="C4" t="s">
        <v>1545</v>
      </c>
      <c r="D4">
        <v>2800</v>
      </c>
      <c r="E4">
        <v>220</v>
      </c>
      <c r="F4">
        <v>3</v>
      </c>
      <c r="G4" t="s">
        <v>1214</v>
      </c>
    </row>
    <row r="5" spans="1:7">
      <c r="A5" t="s">
        <v>1544</v>
      </c>
      <c r="B5" t="s">
        <v>53</v>
      </c>
      <c r="C5" t="s">
        <v>1546</v>
      </c>
      <c r="D5">
        <v>2850</v>
      </c>
      <c r="E5">
        <v>220</v>
      </c>
      <c r="F5">
        <v>3</v>
      </c>
      <c r="G5" t="s">
        <v>1214</v>
      </c>
    </row>
    <row r="6" spans="1:7">
      <c r="A6" t="s">
        <v>1544</v>
      </c>
      <c r="B6" t="s">
        <v>40</v>
      </c>
      <c r="C6" t="s">
        <v>1545</v>
      </c>
      <c r="D6">
        <v>40000</v>
      </c>
      <c r="E6">
        <v>2500</v>
      </c>
      <c r="F6">
        <v>3</v>
      </c>
      <c r="G6" t="s">
        <v>1214</v>
      </c>
    </row>
    <row r="7" spans="1:7">
      <c r="A7" t="s">
        <v>1544</v>
      </c>
      <c r="B7" t="s">
        <v>40</v>
      </c>
      <c r="C7" t="s">
        <v>1546</v>
      </c>
      <c r="D7">
        <v>55000</v>
      </c>
      <c r="E7">
        <v>2500</v>
      </c>
      <c r="F7">
        <v>3</v>
      </c>
      <c r="G7" t="s">
        <v>1214</v>
      </c>
    </row>
    <row r="8" spans="1:7">
      <c r="A8" t="s">
        <v>1544</v>
      </c>
      <c r="B8" t="s">
        <v>30</v>
      </c>
      <c r="C8" t="s">
        <v>1545</v>
      </c>
      <c r="D8">
        <v>19500</v>
      </c>
      <c r="E8">
        <v>1000</v>
      </c>
      <c r="F8">
        <v>3</v>
      </c>
      <c r="G8" t="s">
        <v>1214</v>
      </c>
    </row>
    <row r="9" spans="1:7">
      <c r="A9" t="s">
        <v>1544</v>
      </c>
      <c r="B9" t="s">
        <v>30</v>
      </c>
      <c r="C9" t="s">
        <v>1546</v>
      </c>
      <c r="D9">
        <v>25000</v>
      </c>
      <c r="E9">
        <v>1200</v>
      </c>
      <c r="F9">
        <v>3</v>
      </c>
      <c r="G9" t="s">
        <v>1214</v>
      </c>
    </row>
    <row r="10" spans="1:7">
      <c r="A10" t="s">
        <v>1544</v>
      </c>
      <c r="B10" t="s">
        <v>337</v>
      </c>
      <c r="C10" t="s">
        <v>1545</v>
      </c>
      <c r="D10">
        <v>8200</v>
      </c>
      <c r="E10">
        <v>700</v>
      </c>
      <c r="F10">
        <v>3</v>
      </c>
      <c r="G10" t="s">
        <v>1214</v>
      </c>
    </row>
    <row r="11" spans="1:7">
      <c r="A11" t="s">
        <v>1544</v>
      </c>
      <c r="B11" t="s">
        <v>337</v>
      </c>
      <c r="C11" t="s">
        <v>1546</v>
      </c>
      <c r="D11">
        <v>16500</v>
      </c>
      <c r="E11">
        <v>1400</v>
      </c>
      <c r="F11">
        <v>3</v>
      </c>
      <c r="G11" t="s">
        <v>1214</v>
      </c>
    </row>
    <row r="12" spans="1:7">
      <c r="A12" t="s">
        <v>1544</v>
      </c>
      <c r="B12" t="s">
        <v>34</v>
      </c>
      <c r="C12" t="s">
        <v>1545</v>
      </c>
      <c r="D12">
        <v>4300</v>
      </c>
      <c r="E12">
        <v>350</v>
      </c>
      <c r="F12">
        <v>3</v>
      </c>
      <c r="G12" t="s">
        <v>1214</v>
      </c>
    </row>
    <row r="13" spans="1:7">
      <c r="A13" t="s">
        <v>1544</v>
      </c>
      <c r="B13" t="s">
        <v>34</v>
      </c>
      <c r="C13" t="s">
        <v>1546</v>
      </c>
      <c r="D13">
        <v>5200</v>
      </c>
      <c r="E13">
        <v>400</v>
      </c>
      <c r="F13">
        <v>3</v>
      </c>
      <c r="G13" t="s">
        <v>1214</v>
      </c>
    </row>
    <row r="14" spans="1:7">
      <c r="A14" t="s">
        <v>1544</v>
      </c>
      <c r="B14" t="s">
        <v>1145</v>
      </c>
      <c r="C14" t="s">
        <v>1545</v>
      </c>
      <c r="D14">
        <v>125</v>
      </c>
      <c r="E14">
        <v>7</v>
      </c>
      <c r="F14">
        <v>3</v>
      </c>
      <c r="G14" t="s">
        <v>1214</v>
      </c>
    </row>
    <row r="15" spans="1:7">
      <c r="A15" t="s">
        <v>1544</v>
      </c>
      <c r="B15" t="s">
        <v>1145</v>
      </c>
      <c r="C15" t="s">
        <v>1546</v>
      </c>
      <c r="D15">
        <v>140</v>
      </c>
      <c r="E15">
        <v>7</v>
      </c>
      <c r="F15">
        <v>3</v>
      </c>
      <c r="G15" t="s">
        <v>1214</v>
      </c>
    </row>
    <row r="16" spans="1:7">
      <c r="A16" t="s">
        <v>1544</v>
      </c>
      <c r="B16" t="s">
        <v>481</v>
      </c>
      <c r="C16" t="s">
        <v>1545</v>
      </c>
      <c r="D16">
        <v>43</v>
      </c>
      <c r="E16">
        <v>4</v>
      </c>
      <c r="F16">
        <v>3</v>
      </c>
      <c r="G16" t="s">
        <v>1214</v>
      </c>
    </row>
    <row r="17" spans="1:7">
      <c r="A17" t="s">
        <v>1544</v>
      </c>
      <c r="B17" t="s">
        <v>481</v>
      </c>
      <c r="C17" t="s">
        <v>1546</v>
      </c>
      <c r="D17">
        <v>38</v>
      </c>
      <c r="E17">
        <v>3</v>
      </c>
      <c r="F17">
        <v>3</v>
      </c>
      <c r="G17" t="s">
        <v>1214</v>
      </c>
    </row>
    <row r="18" spans="1:7">
      <c r="A18" t="s">
        <v>1544</v>
      </c>
      <c r="B18" t="s">
        <v>489</v>
      </c>
      <c r="C18" t="s">
        <v>1545</v>
      </c>
      <c r="D18">
        <v>92</v>
      </c>
      <c r="E18">
        <v>7</v>
      </c>
      <c r="F18">
        <v>3</v>
      </c>
      <c r="G18" t="s">
        <v>1214</v>
      </c>
    </row>
    <row r="19" spans="1:7">
      <c r="A19" t="s">
        <v>1544</v>
      </c>
      <c r="B19" t="s">
        <v>489</v>
      </c>
      <c r="C19" t="s">
        <v>1546</v>
      </c>
      <c r="D19">
        <v>122</v>
      </c>
      <c r="E19">
        <v>8</v>
      </c>
      <c r="F19">
        <v>3</v>
      </c>
      <c r="G19" t="s">
        <v>1214</v>
      </c>
    </row>
    <row r="20" spans="1:7">
      <c r="A20" t="s">
        <v>1544</v>
      </c>
      <c r="B20" t="s">
        <v>496</v>
      </c>
      <c r="C20" t="s">
        <v>1545</v>
      </c>
      <c r="D20">
        <v>23</v>
      </c>
      <c r="E20">
        <v>2</v>
      </c>
      <c r="F20">
        <v>3</v>
      </c>
      <c r="G20" t="s">
        <v>1214</v>
      </c>
    </row>
    <row r="21" spans="1:7">
      <c r="A21" t="s">
        <v>1544</v>
      </c>
      <c r="B21" t="s">
        <v>496</v>
      </c>
      <c r="C21" t="s">
        <v>1546</v>
      </c>
      <c r="D21">
        <v>45</v>
      </c>
      <c r="E21">
        <v>4</v>
      </c>
      <c r="F21">
        <v>3</v>
      </c>
      <c r="G21" t="s">
        <v>1214</v>
      </c>
    </row>
    <row r="22" spans="1:7">
      <c r="A22" t="s">
        <v>1544</v>
      </c>
      <c r="B22" t="s">
        <v>503</v>
      </c>
      <c r="C22" t="s">
        <v>1545</v>
      </c>
      <c r="D22">
        <v>62</v>
      </c>
      <c r="E22">
        <v>5</v>
      </c>
      <c r="F22">
        <v>3</v>
      </c>
      <c r="G22" t="s">
        <v>1214</v>
      </c>
    </row>
    <row r="23" spans="1:7">
      <c r="A23" t="s">
        <v>1544</v>
      </c>
      <c r="B23" t="s">
        <v>503</v>
      </c>
      <c r="C23" t="s">
        <v>1546</v>
      </c>
      <c r="D23">
        <v>32</v>
      </c>
      <c r="E23">
        <v>4</v>
      </c>
      <c r="F23">
        <v>3</v>
      </c>
      <c r="G23" t="s">
        <v>1214</v>
      </c>
    </row>
    <row r="24" spans="1:7">
      <c r="A24" t="s">
        <v>1547</v>
      </c>
      <c r="B24" t="s">
        <v>42</v>
      </c>
      <c r="C24" t="s">
        <v>1545</v>
      </c>
      <c r="D24">
        <v>15000</v>
      </c>
      <c r="E24">
        <v>1200</v>
      </c>
      <c r="F24">
        <v>3</v>
      </c>
      <c r="G24" t="s">
        <v>1214</v>
      </c>
    </row>
    <row r="25" spans="1:7">
      <c r="A25" t="s">
        <v>1547</v>
      </c>
      <c r="B25" t="s">
        <v>42</v>
      </c>
      <c r="C25" t="s">
        <v>1546</v>
      </c>
      <c r="D25">
        <v>19000</v>
      </c>
      <c r="E25">
        <v>900</v>
      </c>
      <c r="F25">
        <v>3</v>
      </c>
      <c r="G25" t="s">
        <v>1214</v>
      </c>
    </row>
    <row r="26" spans="1:7">
      <c r="A26" t="s">
        <v>1547</v>
      </c>
      <c r="B26" t="s">
        <v>53</v>
      </c>
      <c r="C26" t="s">
        <v>1545</v>
      </c>
      <c r="D26">
        <v>2700</v>
      </c>
      <c r="E26">
        <v>220</v>
      </c>
      <c r="F26">
        <v>3</v>
      </c>
      <c r="G26" t="s">
        <v>1214</v>
      </c>
    </row>
    <row r="27" spans="1:7">
      <c r="A27" t="s">
        <v>1547</v>
      </c>
      <c r="B27" t="s">
        <v>53</v>
      </c>
      <c r="C27" t="s">
        <v>1546</v>
      </c>
      <c r="D27">
        <v>2800</v>
      </c>
      <c r="E27">
        <v>220</v>
      </c>
      <c r="F27">
        <v>3</v>
      </c>
      <c r="G27" t="s">
        <v>1214</v>
      </c>
    </row>
    <row r="28" spans="1:7">
      <c r="A28" t="s">
        <v>1547</v>
      </c>
      <c r="B28" t="s">
        <v>40</v>
      </c>
      <c r="C28" t="s">
        <v>1545</v>
      </c>
      <c r="D28">
        <v>27000</v>
      </c>
      <c r="E28">
        <v>1700</v>
      </c>
      <c r="F28">
        <v>3</v>
      </c>
      <c r="G28" t="s">
        <v>1214</v>
      </c>
    </row>
    <row r="29" spans="1:7">
      <c r="A29" t="s">
        <v>1547</v>
      </c>
      <c r="B29" t="s">
        <v>40</v>
      </c>
      <c r="C29" t="s">
        <v>1546</v>
      </c>
      <c r="D29">
        <v>39000</v>
      </c>
      <c r="E29">
        <v>2200</v>
      </c>
      <c r="F29">
        <v>3</v>
      </c>
      <c r="G29" t="s">
        <v>1214</v>
      </c>
    </row>
    <row r="30" spans="1:7">
      <c r="A30" t="s">
        <v>1547</v>
      </c>
      <c r="B30" t="s">
        <v>30</v>
      </c>
      <c r="C30" t="s">
        <v>1545</v>
      </c>
      <c r="D30">
        <v>20000</v>
      </c>
      <c r="E30">
        <v>900</v>
      </c>
      <c r="F30">
        <v>3</v>
      </c>
      <c r="G30" t="s">
        <v>1214</v>
      </c>
    </row>
    <row r="31" spans="1:7">
      <c r="A31" t="s">
        <v>1547</v>
      </c>
      <c r="B31" t="s">
        <v>30</v>
      </c>
      <c r="C31" t="s">
        <v>1546</v>
      </c>
      <c r="D31">
        <v>23500</v>
      </c>
      <c r="E31">
        <v>1100</v>
      </c>
      <c r="F31">
        <v>3</v>
      </c>
      <c r="G31" t="s">
        <v>1214</v>
      </c>
    </row>
    <row r="32" spans="1:7">
      <c r="A32" t="s">
        <v>1547</v>
      </c>
      <c r="B32" t="s">
        <v>337</v>
      </c>
      <c r="C32" t="s">
        <v>1545</v>
      </c>
      <c r="D32">
        <v>9500</v>
      </c>
      <c r="E32">
        <v>800</v>
      </c>
      <c r="F32">
        <v>3</v>
      </c>
      <c r="G32" t="s">
        <v>1214</v>
      </c>
    </row>
    <row r="33" spans="1:7">
      <c r="A33" t="s">
        <v>1547</v>
      </c>
      <c r="B33" t="s">
        <v>337</v>
      </c>
      <c r="C33" t="s">
        <v>1546</v>
      </c>
      <c r="D33">
        <v>10800</v>
      </c>
      <c r="E33">
        <v>900</v>
      </c>
      <c r="F33">
        <v>3</v>
      </c>
      <c r="G33" t="s">
        <v>1214</v>
      </c>
    </row>
    <row r="34" spans="1:7">
      <c r="A34" t="s">
        <v>1547</v>
      </c>
      <c r="B34" t="s">
        <v>34</v>
      </c>
      <c r="C34" t="s">
        <v>1545</v>
      </c>
      <c r="D34">
        <v>4500</v>
      </c>
      <c r="E34">
        <v>350</v>
      </c>
      <c r="F34">
        <v>3</v>
      </c>
      <c r="G34" t="s">
        <v>1214</v>
      </c>
    </row>
    <row r="35" spans="1:7">
      <c r="A35" t="s">
        <v>1547</v>
      </c>
      <c r="B35" t="s">
        <v>34</v>
      </c>
      <c r="C35" t="s">
        <v>1546</v>
      </c>
      <c r="D35">
        <v>4700</v>
      </c>
      <c r="E35">
        <v>350</v>
      </c>
      <c r="F35">
        <v>3</v>
      </c>
      <c r="G35" t="s">
        <v>1214</v>
      </c>
    </row>
    <row r="36" spans="1:7">
      <c r="A36" t="s">
        <v>1547</v>
      </c>
      <c r="B36" t="s">
        <v>1145</v>
      </c>
      <c r="C36" t="s">
        <v>1545</v>
      </c>
      <c r="D36">
        <v>115</v>
      </c>
      <c r="E36">
        <v>7</v>
      </c>
      <c r="F36">
        <v>3</v>
      </c>
      <c r="G36" t="s">
        <v>1214</v>
      </c>
    </row>
    <row r="37" spans="1:7">
      <c r="A37" t="s">
        <v>1547</v>
      </c>
      <c r="B37" t="s">
        <v>1145</v>
      </c>
      <c r="C37" t="s">
        <v>1546</v>
      </c>
      <c r="D37">
        <v>140</v>
      </c>
      <c r="E37">
        <v>7</v>
      </c>
      <c r="F37">
        <v>3</v>
      </c>
      <c r="G37" t="s">
        <v>1214</v>
      </c>
    </row>
    <row r="38" spans="1:7">
      <c r="A38" t="s">
        <v>1547</v>
      </c>
      <c r="B38" t="s">
        <v>481</v>
      </c>
      <c r="C38" t="s">
        <v>1545</v>
      </c>
      <c r="D38">
        <v>55</v>
      </c>
      <c r="E38">
        <v>4</v>
      </c>
      <c r="F38">
        <v>3</v>
      </c>
      <c r="G38" t="s">
        <v>1214</v>
      </c>
    </row>
    <row r="39" spans="1:7">
      <c r="A39" t="s">
        <v>1547</v>
      </c>
      <c r="B39" t="s">
        <v>481</v>
      </c>
      <c r="C39" t="s">
        <v>1546</v>
      </c>
      <c r="D39">
        <v>78</v>
      </c>
      <c r="E39">
        <v>5</v>
      </c>
      <c r="F39">
        <v>3</v>
      </c>
      <c r="G39" t="s">
        <v>1214</v>
      </c>
    </row>
    <row r="40" spans="1:7">
      <c r="A40" t="s">
        <v>1547</v>
      </c>
      <c r="B40" t="s">
        <v>489</v>
      </c>
      <c r="C40" t="s">
        <v>1545</v>
      </c>
      <c r="D40">
        <v>28</v>
      </c>
      <c r="E40">
        <v>3</v>
      </c>
      <c r="F40">
        <v>3</v>
      </c>
      <c r="G40" t="s">
        <v>1214</v>
      </c>
    </row>
    <row r="41" spans="1:7">
      <c r="A41" t="s">
        <v>1547</v>
      </c>
      <c r="B41" t="s">
        <v>489</v>
      </c>
      <c r="C41" t="s">
        <v>1546</v>
      </c>
      <c r="D41">
        <v>73</v>
      </c>
      <c r="E41">
        <v>6</v>
      </c>
      <c r="F41">
        <v>3</v>
      </c>
      <c r="G41" t="s">
        <v>1214</v>
      </c>
    </row>
    <row r="42" spans="1:7">
      <c r="A42" t="s">
        <v>1547</v>
      </c>
      <c r="B42" t="s">
        <v>496</v>
      </c>
      <c r="C42" t="s">
        <v>1545</v>
      </c>
      <c r="D42">
        <v>30</v>
      </c>
      <c r="E42">
        <v>3</v>
      </c>
      <c r="F42">
        <v>3</v>
      </c>
      <c r="G42" t="s">
        <v>1214</v>
      </c>
    </row>
    <row r="43" spans="1:7">
      <c r="A43" t="s">
        <v>1547</v>
      </c>
      <c r="B43" t="s">
        <v>496</v>
      </c>
      <c r="C43" t="s">
        <v>1546</v>
      </c>
      <c r="D43">
        <v>65</v>
      </c>
      <c r="E43">
        <v>4</v>
      </c>
      <c r="F43">
        <v>3</v>
      </c>
      <c r="G43" t="s">
        <v>1214</v>
      </c>
    </row>
    <row r="44" spans="1:7">
      <c r="A44" t="s">
        <v>1547</v>
      </c>
      <c r="B44" t="s">
        <v>503</v>
      </c>
      <c r="C44" t="s">
        <v>1545</v>
      </c>
      <c r="D44">
        <v>37</v>
      </c>
      <c r="E44">
        <v>4</v>
      </c>
      <c r="F44">
        <v>3</v>
      </c>
      <c r="G44" t="s">
        <v>1214</v>
      </c>
    </row>
    <row r="45" spans="1:7">
      <c r="A45" t="s">
        <v>1547</v>
      </c>
      <c r="B45" t="s">
        <v>503</v>
      </c>
      <c r="C45" t="s">
        <v>1546</v>
      </c>
      <c r="D45">
        <v>80</v>
      </c>
      <c r="E45">
        <v>6</v>
      </c>
      <c r="F45">
        <v>3</v>
      </c>
      <c r="G45" t="s">
        <v>1214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3"/>
  <sheetViews>
    <sheetView workbookViewId="0"/>
  </sheetViews>
  <sheetFormatPr baseColWidth="10" defaultColWidth="9" defaultRowHeight="13.5"/>
  <cols>
    <col min="1" max="1" width="30" customWidth="1"/>
    <col min="2" max="2" width="8.125" customWidth="1"/>
    <col min="4" max="4" width="16" customWidth="1"/>
    <col min="5" max="5" width="28" customWidth="1"/>
    <col min="6" max="6" width="40" customWidth="1"/>
    <col min="7" max="7" width="42" customWidth="1"/>
    <col min="8" max="8" width="14" customWidth="1"/>
  </cols>
  <sheetData>
    <row r="1" spans="1:8" ht="17.649999999999999">
      <c r="A1" s="60" t="s">
        <v>1548</v>
      </c>
      <c r="B1" s="60"/>
      <c r="C1" s="60"/>
      <c r="D1" s="60"/>
      <c r="E1" s="60"/>
      <c r="F1" s="60"/>
      <c r="G1" s="60"/>
      <c r="H1" s="60"/>
    </row>
    <row r="3" spans="1:8" ht="13.9">
      <c r="A3" s="45" t="s">
        <v>1435</v>
      </c>
      <c r="B3" s="45" t="s">
        <v>1549</v>
      </c>
      <c r="D3" s="46" t="s">
        <v>1550</v>
      </c>
      <c r="E3" s="46" t="s">
        <v>1551</v>
      </c>
      <c r="F3" s="46" t="s">
        <v>1552</v>
      </c>
      <c r="G3" s="46" t="s">
        <v>1553</v>
      </c>
      <c r="H3" s="46" t="s">
        <v>1554</v>
      </c>
    </row>
    <row r="4" spans="1:8">
      <c r="A4" t="s">
        <v>1555</v>
      </c>
      <c r="B4">
        <v>575</v>
      </c>
      <c r="D4" t="s">
        <v>1556</v>
      </c>
      <c r="E4" t="s">
        <v>1557</v>
      </c>
      <c r="F4" t="s">
        <v>1558</v>
      </c>
      <c r="G4" t="s">
        <v>1559</v>
      </c>
      <c r="H4" t="s">
        <v>1560</v>
      </c>
    </row>
    <row r="5" spans="1:8">
      <c r="A5" t="s">
        <v>1561</v>
      </c>
      <c r="B5">
        <v>29</v>
      </c>
      <c r="D5" t="s">
        <v>1556</v>
      </c>
      <c r="E5" t="s">
        <v>1562</v>
      </c>
      <c r="F5" t="s">
        <v>1563</v>
      </c>
      <c r="G5" t="s">
        <v>1564</v>
      </c>
      <c r="H5" t="s">
        <v>1560</v>
      </c>
    </row>
    <row r="6" spans="1:8">
      <c r="A6" t="s">
        <v>1565</v>
      </c>
      <c r="B6">
        <v>569</v>
      </c>
      <c r="D6" t="s">
        <v>1566</v>
      </c>
      <c r="E6" t="s">
        <v>1567</v>
      </c>
      <c r="F6" t="s">
        <v>1568</v>
      </c>
      <c r="G6" t="s">
        <v>1569</v>
      </c>
      <c r="H6" t="s">
        <v>1570</v>
      </c>
    </row>
    <row r="7" spans="1:8">
      <c r="A7" t="s">
        <v>1571</v>
      </c>
      <c r="B7">
        <v>6</v>
      </c>
      <c r="D7" t="s">
        <v>1566</v>
      </c>
      <c r="E7" t="s">
        <v>1572</v>
      </c>
      <c r="F7" t="s">
        <v>1573</v>
      </c>
      <c r="G7" t="s">
        <v>1574</v>
      </c>
      <c r="H7" t="s">
        <v>1570</v>
      </c>
    </row>
    <row r="8" spans="1:8">
      <c r="A8" t="s">
        <v>1575</v>
      </c>
      <c r="B8">
        <v>295</v>
      </c>
      <c r="D8" t="s">
        <v>1566</v>
      </c>
      <c r="E8" t="s">
        <v>1576</v>
      </c>
      <c r="F8" t="s">
        <v>1577</v>
      </c>
      <c r="G8" t="s">
        <v>1578</v>
      </c>
      <c r="H8" t="s">
        <v>1560</v>
      </c>
    </row>
    <row r="9" spans="1:8">
      <c r="A9" t="s">
        <v>1579</v>
      </c>
      <c r="B9">
        <v>185</v>
      </c>
      <c r="D9" t="s">
        <v>1566</v>
      </c>
      <c r="E9" t="s">
        <v>1580</v>
      </c>
      <c r="F9" t="s">
        <v>1581</v>
      </c>
      <c r="G9" t="s">
        <v>1582</v>
      </c>
      <c r="H9" t="s">
        <v>1583</v>
      </c>
    </row>
    <row r="10" spans="1:8">
      <c r="A10" t="s">
        <v>1584</v>
      </c>
      <c r="B10">
        <v>8</v>
      </c>
      <c r="D10" t="s">
        <v>1585</v>
      </c>
      <c r="E10" t="s">
        <v>1586</v>
      </c>
      <c r="F10" t="s">
        <v>1587</v>
      </c>
      <c r="G10" t="s">
        <v>1588</v>
      </c>
      <c r="H10" t="s">
        <v>1589</v>
      </c>
    </row>
    <row r="11" spans="1:8">
      <c r="A11" t="s">
        <v>1590</v>
      </c>
      <c r="B11">
        <v>82</v>
      </c>
      <c r="D11" t="s">
        <v>1585</v>
      </c>
      <c r="E11" t="s">
        <v>1369</v>
      </c>
      <c r="F11" t="s">
        <v>1591</v>
      </c>
      <c r="G11" t="s">
        <v>1592</v>
      </c>
      <c r="H11" t="s">
        <v>1589</v>
      </c>
    </row>
    <row r="12" spans="1:8">
      <c r="A12" t="s">
        <v>1593</v>
      </c>
      <c r="B12">
        <v>444</v>
      </c>
      <c r="D12" t="s">
        <v>1585</v>
      </c>
      <c r="E12" t="s">
        <v>1594</v>
      </c>
      <c r="F12" t="s">
        <v>1595</v>
      </c>
      <c r="G12" t="s">
        <v>1596</v>
      </c>
      <c r="H12" t="s">
        <v>1560</v>
      </c>
    </row>
    <row r="13" spans="1:8">
      <c r="A13" t="s">
        <v>1597</v>
      </c>
      <c r="B13">
        <v>24</v>
      </c>
      <c r="D13" t="s">
        <v>1585</v>
      </c>
      <c r="E13" t="s">
        <v>1598</v>
      </c>
      <c r="F13" t="s">
        <v>1599</v>
      </c>
      <c r="G13" t="s">
        <v>1600</v>
      </c>
      <c r="H13" t="s">
        <v>1560</v>
      </c>
    </row>
  </sheetData>
  <mergeCells count="1"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30"/>
  <sheetViews>
    <sheetView workbookViewId="0"/>
  </sheetViews>
  <sheetFormatPr baseColWidth="10" defaultColWidth="9" defaultRowHeight="13.5"/>
  <cols>
    <col min="1" max="1" width="18.875" customWidth="1"/>
    <col min="2" max="2" width="10" customWidth="1"/>
    <col min="3" max="3" width="4.5" customWidth="1"/>
    <col min="4" max="4" width="8.375" customWidth="1"/>
    <col min="5" max="5" width="9.875" customWidth="1"/>
    <col min="6" max="6" width="12.875" customWidth="1"/>
    <col min="7" max="7" width="18.75" customWidth="1"/>
    <col min="8" max="8" width="12.875" customWidth="1"/>
    <col min="9" max="9" width="11.875" customWidth="1"/>
    <col min="10" max="10" width="10.375" customWidth="1"/>
    <col min="11" max="11" width="36" customWidth="1"/>
  </cols>
  <sheetData>
    <row r="1" spans="1:11" ht="13.9">
      <c r="A1" s="47" t="s">
        <v>54</v>
      </c>
      <c r="B1" s="47" t="s">
        <v>1601</v>
      </c>
      <c r="C1" s="47" t="s">
        <v>92</v>
      </c>
      <c r="D1" s="47" t="s">
        <v>1602</v>
      </c>
      <c r="E1" s="47" t="s">
        <v>1603</v>
      </c>
      <c r="F1" s="47" t="s">
        <v>1604</v>
      </c>
      <c r="G1" s="47" t="s">
        <v>1605</v>
      </c>
      <c r="H1" s="47" t="s">
        <v>1606</v>
      </c>
      <c r="I1" s="48" t="s">
        <v>1607</v>
      </c>
      <c r="J1" s="48" t="s">
        <v>1608</v>
      </c>
      <c r="K1" s="47" t="s">
        <v>1609</v>
      </c>
    </row>
    <row r="2" spans="1:11">
      <c r="A2" t="s">
        <v>925</v>
      </c>
      <c r="B2">
        <v>4</v>
      </c>
      <c r="C2">
        <v>4</v>
      </c>
      <c r="D2">
        <v>0</v>
      </c>
      <c r="E2">
        <v>0</v>
      </c>
      <c r="F2">
        <v>4</v>
      </c>
      <c r="G2">
        <v>0</v>
      </c>
      <c r="H2">
        <v>1</v>
      </c>
      <c r="I2">
        <v>0.2114648265855672</v>
      </c>
      <c r="J2">
        <v>1.2354865085854456</v>
      </c>
      <c r="K2" t="s">
        <v>933</v>
      </c>
    </row>
    <row r="3" spans="1:11">
      <c r="A3" t="s">
        <v>144</v>
      </c>
      <c r="B3">
        <v>18</v>
      </c>
      <c r="C3">
        <v>12</v>
      </c>
      <c r="D3">
        <v>6</v>
      </c>
      <c r="E3">
        <v>0</v>
      </c>
      <c r="F3">
        <v>18</v>
      </c>
      <c r="G3">
        <v>0</v>
      </c>
      <c r="H3">
        <v>9</v>
      </c>
      <c r="I3">
        <v>0.70126721122390101</v>
      </c>
      <c r="J3">
        <v>2.016306175053233</v>
      </c>
      <c r="K3" t="s">
        <v>90</v>
      </c>
    </row>
    <row r="4" spans="1:11">
      <c r="A4" t="s">
        <v>418</v>
      </c>
      <c r="B4">
        <v>12</v>
      </c>
      <c r="C4">
        <v>12</v>
      </c>
      <c r="D4">
        <v>0</v>
      </c>
      <c r="E4">
        <v>12</v>
      </c>
      <c r="F4">
        <v>0</v>
      </c>
      <c r="G4">
        <v>0</v>
      </c>
      <c r="H4">
        <v>6</v>
      </c>
      <c r="I4">
        <v>0.69314718055994529</v>
      </c>
      <c r="J4">
        <v>2</v>
      </c>
      <c r="K4" t="s">
        <v>381</v>
      </c>
    </row>
    <row r="5" spans="1:11">
      <c r="A5" t="s">
        <v>540</v>
      </c>
      <c r="B5">
        <v>16</v>
      </c>
      <c r="C5">
        <v>16</v>
      </c>
      <c r="D5">
        <v>0</v>
      </c>
      <c r="E5">
        <v>0</v>
      </c>
      <c r="F5">
        <v>16</v>
      </c>
      <c r="G5">
        <v>0</v>
      </c>
      <c r="H5">
        <v>2</v>
      </c>
      <c r="I5">
        <v>0.37037378829689427</v>
      </c>
      <c r="J5">
        <v>1.4482758620689655</v>
      </c>
      <c r="K5" t="s">
        <v>515</v>
      </c>
    </row>
    <row r="6" spans="1:11">
      <c r="A6" t="s">
        <v>181</v>
      </c>
      <c r="B6">
        <v>120</v>
      </c>
      <c r="C6">
        <v>120</v>
      </c>
      <c r="D6">
        <v>0</v>
      </c>
      <c r="E6">
        <v>0</v>
      </c>
      <c r="F6">
        <v>120</v>
      </c>
      <c r="G6">
        <v>0</v>
      </c>
      <c r="H6">
        <v>60</v>
      </c>
      <c r="I6">
        <v>0.53814680205731025</v>
      </c>
      <c r="J6">
        <v>1.712829706656547</v>
      </c>
      <c r="K6" t="s">
        <v>191</v>
      </c>
    </row>
    <row r="7" spans="1:11">
      <c r="A7" t="s">
        <v>981</v>
      </c>
      <c r="B7">
        <v>8</v>
      </c>
      <c r="C7">
        <v>8</v>
      </c>
      <c r="D7">
        <v>0</v>
      </c>
      <c r="E7">
        <v>0</v>
      </c>
      <c r="F7">
        <v>8</v>
      </c>
      <c r="G7">
        <v>0</v>
      </c>
      <c r="H7">
        <v>2</v>
      </c>
      <c r="I7">
        <v>0.40573173922559502</v>
      </c>
      <c r="J7">
        <v>1.5003999999999997</v>
      </c>
      <c r="K7" t="s">
        <v>515</v>
      </c>
    </row>
    <row r="8" spans="1:11">
      <c r="A8" t="s">
        <v>875</v>
      </c>
      <c r="B8">
        <v>6</v>
      </c>
      <c r="C8">
        <v>6</v>
      </c>
      <c r="D8">
        <v>0</v>
      </c>
      <c r="E8">
        <v>0</v>
      </c>
      <c r="F8">
        <v>6</v>
      </c>
      <c r="G8">
        <v>0</v>
      </c>
      <c r="H8">
        <v>6</v>
      </c>
      <c r="I8">
        <v>0.38077249551779285</v>
      </c>
      <c r="J8">
        <v>1.4634146341463414</v>
      </c>
      <c r="K8" t="s">
        <v>515</v>
      </c>
    </row>
    <row r="9" spans="1:11">
      <c r="A9" t="s">
        <v>900</v>
      </c>
      <c r="B9">
        <v>16</v>
      </c>
      <c r="C9">
        <v>16</v>
      </c>
      <c r="D9">
        <v>0</v>
      </c>
      <c r="E9">
        <v>0</v>
      </c>
      <c r="F9">
        <v>16</v>
      </c>
      <c r="G9">
        <v>0</v>
      </c>
      <c r="H9">
        <v>4</v>
      </c>
      <c r="I9">
        <v>0.47692407209030935</v>
      </c>
      <c r="J9">
        <v>1.6111111111111112</v>
      </c>
      <c r="K9" t="s">
        <v>515</v>
      </c>
    </row>
    <row r="10" spans="1:11">
      <c r="A10" t="s">
        <v>1127</v>
      </c>
      <c r="B10">
        <v>22</v>
      </c>
      <c r="C10">
        <v>22</v>
      </c>
      <c r="D10">
        <v>0</v>
      </c>
      <c r="E10">
        <v>0</v>
      </c>
      <c r="F10">
        <v>22</v>
      </c>
      <c r="G10">
        <v>0</v>
      </c>
      <c r="H10">
        <v>22</v>
      </c>
      <c r="I10">
        <v>0.95825493097318726</v>
      </c>
      <c r="J10">
        <v>2.6071428571428572</v>
      </c>
      <c r="K10" t="s">
        <v>515</v>
      </c>
    </row>
    <row r="11" spans="1:11">
      <c r="A11" t="s">
        <v>996</v>
      </c>
      <c r="B11">
        <v>9</v>
      </c>
      <c r="C11">
        <v>9</v>
      </c>
      <c r="D11">
        <v>0</v>
      </c>
      <c r="E11">
        <v>0</v>
      </c>
      <c r="F11">
        <v>9</v>
      </c>
      <c r="G11">
        <v>0</v>
      </c>
      <c r="H11">
        <v>9</v>
      </c>
      <c r="I11">
        <v>0.35381851924599755</v>
      </c>
      <c r="J11">
        <v>1.424496644295302</v>
      </c>
      <c r="K11" t="s">
        <v>90</v>
      </c>
    </row>
    <row r="12" spans="1:11">
      <c r="A12" t="s">
        <v>701</v>
      </c>
      <c r="B12">
        <v>3</v>
      </c>
      <c r="C12">
        <v>3</v>
      </c>
      <c r="D12">
        <v>0</v>
      </c>
      <c r="E12">
        <v>3</v>
      </c>
      <c r="F12">
        <v>0</v>
      </c>
      <c r="G12">
        <v>0</v>
      </c>
      <c r="H12">
        <v>3</v>
      </c>
      <c r="I12">
        <v>0.53701982485681443</v>
      </c>
      <c r="J12">
        <v>1.7109004739336493</v>
      </c>
      <c r="K12" t="s">
        <v>381</v>
      </c>
    </row>
    <row r="13" spans="1:11">
      <c r="A13" t="s">
        <v>443</v>
      </c>
      <c r="B13">
        <v>27</v>
      </c>
      <c r="C13">
        <v>27</v>
      </c>
      <c r="D13">
        <v>0</v>
      </c>
      <c r="E13">
        <v>0</v>
      </c>
      <c r="F13">
        <v>27</v>
      </c>
      <c r="G13">
        <v>0</v>
      </c>
      <c r="H13">
        <v>27</v>
      </c>
      <c r="I13">
        <v>0.98082925301172619</v>
      </c>
      <c r="J13">
        <v>2.6666666666666665</v>
      </c>
      <c r="K13" t="s">
        <v>449</v>
      </c>
    </row>
    <row r="14" spans="1:11">
      <c r="A14" t="s">
        <v>1066</v>
      </c>
      <c r="B14">
        <v>18</v>
      </c>
      <c r="C14">
        <v>18</v>
      </c>
      <c r="D14">
        <v>0</v>
      </c>
      <c r="E14">
        <v>0</v>
      </c>
      <c r="F14">
        <v>18</v>
      </c>
      <c r="G14">
        <v>0</v>
      </c>
      <c r="H14">
        <v>6</v>
      </c>
      <c r="I14">
        <v>1.791759469228055</v>
      </c>
      <c r="J14">
        <v>6</v>
      </c>
      <c r="K14" t="s">
        <v>515</v>
      </c>
    </row>
    <row r="15" spans="1:11">
      <c r="A15" t="s">
        <v>713</v>
      </c>
      <c r="B15">
        <v>24</v>
      </c>
      <c r="C15">
        <v>24</v>
      </c>
      <c r="D15">
        <v>0</v>
      </c>
      <c r="E15">
        <v>0</v>
      </c>
      <c r="F15">
        <v>24</v>
      </c>
      <c r="G15">
        <v>0</v>
      </c>
      <c r="H15">
        <v>6</v>
      </c>
      <c r="I15">
        <v>0.51775806054163553</v>
      </c>
      <c r="J15">
        <v>1.6782608695652175</v>
      </c>
      <c r="K15" t="s">
        <v>515</v>
      </c>
    </row>
    <row r="16" spans="1:11">
      <c r="A16" t="s">
        <v>373</v>
      </c>
      <c r="B16">
        <v>24</v>
      </c>
      <c r="C16">
        <v>24</v>
      </c>
      <c r="D16">
        <v>0</v>
      </c>
      <c r="E16">
        <v>24</v>
      </c>
      <c r="F16">
        <v>0</v>
      </c>
      <c r="G16">
        <v>0</v>
      </c>
      <c r="H16">
        <v>12</v>
      </c>
      <c r="I16">
        <v>0.47762755435639487</v>
      </c>
      <c r="J16">
        <v>1.6122448979591837</v>
      </c>
      <c r="K16" t="s">
        <v>381</v>
      </c>
    </row>
    <row r="17" spans="1:11">
      <c r="A17" t="s">
        <v>894</v>
      </c>
      <c r="B17">
        <v>1</v>
      </c>
      <c r="C17">
        <v>1</v>
      </c>
      <c r="D17">
        <v>0</v>
      </c>
      <c r="E17">
        <v>0</v>
      </c>
      <c r="F17">
        <v>1</v>
      </c>
      <c r="G17">
        <v>0</v>
      </c>
      <c r="H17">
        <v>1</v>
      </c>
      <c r="I17">
        <v>3.0305349495328843E-2</v>
      </c>
      <c r="J17">
        <v>1.0307692307692307</v>
      </c>
      <c r="K17" t="s">
        <v>696</v>
      </c>
    </row>
    <row r="18" spans="1:11">
      <c r="A18" t="s">
        <v>1094</v>
      </c>
      <c r="B18">
        <v>16</v>
      </c>
      <c r="C18">
        <v>16</v>
      </c>
      <c r="D18">
        <v>0</v>
      </c>
      <c r="E18">
        <v>0</v>
      </c>
      <c r="F18">
        <v>0</v>
      </c>
      <c r="G18">
        <v>16</v>
      </c>
      <c r="H18">
        <v>2</v>
      </c>
      <c r="I18">
        <v>0.88342784702146848</v>
      </c>
      <c r="J18">
        <v>2.4191780821917805</v>
      </c>
      <c r="K18" t="s">
        <v>1101</v>
      </c>
    </row>
    <row r="19" spans="1:11">
      <c r="A19" t="s">
        <v>1022</v>
      </c>
      <c r="B19">
        <v>8</v>
      </c>
      <c r="C19">
        <v>8</v>
      </c>
      <c r="D19">
        <v>0</v>
      </c>
      <c r="E19">
        <v>8</v>
      </c>
      <c r="F19">
        <v>0</v>
      </c>
      <c r="G19">
        <v>0</v>
      </c>
      <c r="H19">
        <v>4</v>
      </c>
      <c r="I19">
        <v>0.32153328560086036</v>
      </c>
      <c r="J19">
        <v>1.3792409141246351</v>
      </c>
      <c r="K19" t="s">
        <v>381</v>
      </c>
    </row>
    <row r="20" spans="1:11">
      <c r="A20" t="s">
        <v>653</v>
      </c>
      <c r="B20">
        <v>6</v>
      </c>
      <c r="C20">
        <v>6</v>
      </c>
      <c r="D20">
        <v>0</v>
      </c>
      <c r="E20">
        <v>6</v>
      </c>
      <c r="F20">
        <v>0</v>
      </c>
      <c r="G20">
        <v>0</v>
      </c>
      <c r="H20">
        <v>6</v>
      </c>
      <c r="I20">
        <v>0.47000362924573563</v>
      </c>
      <c r="J20">
        <v>1.6</v>
      </c>
      <c r="K20" t="s">
        <v>381</v>
      </c>
    </row>
    <row r="21" spans="1:11">
      <c r="A21" t="s">
        <v>831</v>
      </c>
      <c r="B21">
        <v>18</v>
      </c>
      <c r="C21">
        <v>18</v>
      </c>
      <c r="D21">
        <v>0</v>
      </c>
      <c r="E21">
        <v>0</v>
      </c>
      <c r="F21">
        <v>0</v>
      </c>
      <c r="G21">
        <v>18</v>
      </c>
      <c r="H21">
        <v>18</v>
      </c>
      <c r="I21">
        <v>0.55338523818478669</v>
      </c>
      <c r="J21">
        <v>1.7391304347826089</v>
      </c>
      <c r="K21" t="s">
        <v>837</v>
      </c>
    </row>
    <row r="22" spans="1:11">
      <c r="A22" t="s">
        <v>79</v>
      </c>
      <c r="B22">
        <v>40</v>
      </c>
      <c r="C22">
        <v>40</v>
      </c>
      <c r="D22">
        <v>0</v>
      </c>
      <c r="E22">
        <v>0</v>
      </c>
      <c r="F22">
        <v>40</v>
      </c>
      <c r="G22">
        <v>0</v>
      </c>
      <c r="H22">
        <v>8</v>
      </c>
      <c r="I22">
        <v>0.95475278506036221</v>
      </c>
      <c r="J22">
        <v>2.5980282321308539</v>
      </c>
      <c r="K22" t="s">
        <v>90</v>
      </c>
    </row>
    <row r="23" spans="1:11">
      <c r="A23" t="s">
        <v>813</v>
      </c>
      <c r="B23">
        <v>8</v>
      </c>
      <c r="C23">
        <v>8</v>
      </c>
      <c r="D23">
        <v>0</v>
      </c>
      <c r="E23">
        <v>8</v>
      </c>
      <c r="F23">
        <v>0</v>
      </c>
      <c r="G23">
        <v>0</v>
      </c>
      <c r="H23">
        <v>4</v>
      </c>
      <c r="I23">
        <v>0.95374684613632155</v>
      </c>
      <c r="J23">
        <v>2.5954160884551682</v>
      </c>
      <c r="K23" t="s">
        <v>381</v>
      </c>
    </row>
    <row r="24" spans="1:11">
      <c r="A24" t="s">
        <v>509</v>
      </c>
      <c r="B24">
        <v>16</v>
      </c>
      <c r="C24">
        <v>16</v>
      </c>
      <c r="D24">
        <v>0</v>
      </c>
      <c r="E24">
        <v>0</v>
      </c>
      <c r="F24">
        <v>16</v>
      </c>
      <c r="G24">
        <v>0</v>
      </c>
      <c r="H24">
        <v>8</v>
      </c>
      <c r="I24">
        <v>0.48550781578170082</v>
      </c>
      <c r="J24">
        <v>1.625</v>
      </c>
      <c r="K24" t="s">
        <v>515</v>
      </c>
    </row>
    <row r="25" spans="1:11">
      <c r="A25" t="s">
        <v>572</v>
      </c>
      <c r="B25">
        <v>48</v>
      </c>
      <c r="C25">
        <v>48</v>
      </c>
      <c r="D25">
        <v>0</v>
      </c>
      <c r="E25">
        <v>0</v>
      </c>
      <c r="F25">
        <v>48</v>
      </c>
      <c r="G25">
        <v>48</v>
      </c>
      <c r="H25">
        <v>24</v>
      </c>
      <c r="I25">
        <v>0.65924562888426397</v>
      </c>
      <c r="J25">
        <v>1.9333333333333333</v>
      </c>
      <c r="K25" t="s">
        <v>578</v>
      </c>
    </row>
    <row r="26" spans="1:11">
      <c r="A26" t="s">
        <v>686</v>
      </c>
      <c r="B26">
        <v>2</v>
      </c>
      <c r="C26">
        <v>2</v>
      </c>
      <c r="D26">
        <v>0</v>
      </c>
      <c r="E26">
        <v>0</v>
      </c>
      <c r="F26">
        <v>2</v>
      </c>
      <c r="G26">
        <v>0</v>
      </c>
      <c r="H26">
        <v>2</v>
      </c>
      <c r="I26">
        <v>0.30399564794330469</v>
      </c>
      <c r="J26">
        <v>1.3552631578947369</v>
      </c>
      <c r="K26" t="s">
        <v>696</v>
      </c>
    </row>
    <row r="27" spans="1:11">
      <c r="A27" t="s">
        <v>747</v>
      </c>
      <c r="B27">
        <v>45</v>
      </c>
      <c r="C27">
        <v>45</v>
      </c>
      <c r="D27">
        <v>0</v>
      </c>
      <c r="E27">
        <v>0</v>
      </c>
      <c r="F27">
        <v>45</v>
      </c>
      <c r="G27">
        <v>0</v>
      </c>
      <c r="H27">
        <v>15</v>
      </c>
      <c r="I27">
        <v>2.6438079323738566</v>
      </c>
      <c r="J27">
        <v>14.066666666666668</v>
      </c>
      <c r="K27" t="s">
        <v>515</v>
      </c>
    </row>
    <row r="28" spans="1:11">
      <c r="A28" t="s">
        <v>671</v>
      </c>
      <c r="B28">
        <v>4</v>
      </c>
      <c r="C28">
        <v>4</v>
      </c>
      <c r="D28">
        <v>0</v>
      </c>
      <c r="E28">
        <v>0</v>
      </c>
      <c r="F28">
        <v>4</v>
      </c>
      <c r="G28">
        <v>0</v>
      </c>
      <c r="H28">
        <v>4</v>
      </c>
      <c r="I28">
        <v>0.21825356602001797</v>
      </c>
      <c r="J28">
        <v>1.2439024390243902</v>
      </c>
      <c r="K28" t="s">
        <v>515</v>
      </c>
    </row>
    <row r="29" spans="1:11">
      <c r="A29" t="s">
        <v>940</v>
      </c>
      <c r="B29">
        <v>24</v>
      </c>
      <c r="C29">
        <v>24</v>
      </c>
      <c r="D29">
        <v>0</v>
      </c>
      <c r="E29">
        <v>24</v>
      </c>
      <c r="F29">
        <v>0</v>
      </c>
      <c r="G29">
        <v>0</v>
      </c>
      <c r="H29">
        <v>12</v>
      </c>
      <c r="I29">
        <v>0.28913450553209596</v>
      </c>
      <c r="J29">
        <v>1.3352713178294575</v>
      </c>
      <c r="K29" t="s">
        <v>381</v>
      </c>
    </row>
    <row r="30" spans="1:11">
      <c r="A30" t="s">
        <v>1039</v>
      </c>
      <c r="B30">
        <v>12</v>
      </c>
      <c r="C30">
        <v>12</v>
      </c>
      <c r="D30">
        <v>0</v>
      </c>
      <c r="E30">
        <v>12</v>
      </c>
      <c r="F30">
        <v>0</v>
      </c>
      <c r="G30">
        <v>0</v>
      </c>
      <c r="H30">
        <v>12</v>
      </c>
      <c r="I30">
        <v>0.22363725658219896</v>
      </c>
      <c r="J30">
        <v>1.2506172839506173</v>
      </c>
      <c r="K30" t="s">
        <v>381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26"/>
  <sheetViews>
    <sheetView workbookViewId="0"/>
  </sheetViews>
  <sheetFormatPr baseColWidth="10" defaultColWidth="9" defaultRowHeight="13.5"/>
  <cols>
    <col min="1" max="1" width="15.125" customWidth="1"/>
    <col min="2" max="2" width="38" customWidth="1"/>
    <col min="3" max="3" width="7" customWidth="1"/>
    <col min="4" max="4" width="5.75" customWidth="1"/>
    <col min="5" max="5" width="20.25" customWidth="1"/>
    <col min="6" max="6" width="4.375" customWidth="1"/>
    <col min="7" max="7" width="8.375" customWidth="1"/>
    <col min="8" max="8" width="10.875" customWidth="1"/>
    <col min="9" max="10" width="10.25" customWidth="1"/>
    <col min="11" max="12" width="28" customWidth="1"/>
    <col min="13" max="13" width="10.5" customWidth="1"/>
  </cols>
  <sheetData>
    <row r="1" spans="1:13" ht="13.9">
      <c r="A1" s="49" t="s">
        <v>54</v>
      </c>
      <c r="B1" s="49" t="s">
        <v>55</v>
      </c>
      <c r="C1" s="49" t="s">
        <v>24</v>
      </c>
      <c r="D1" s="49" t="s">
        <v>23</v>
      </c>
      <c r="E1" s="49" t="s">
        <v>57</v>
      </c>
      <c r="F1" s="49" t="s">
        <v>58</v>
      </c>
      <c r="G1" s="49" t="s">
        <v>59</v>
      </c>
      <c r="H1" s="50" t="s">
        <v>72</v>
      </c>
      <c r="I1" s="50" t="s">
        <v>1610</v>
      </c>
      <c r="J1" s="50" t="s">
        <v>73</v>
      </c>
      <c r="K1" s="49" t="s">
        <v>76</v>
      </c>
      <c r="L1" s="49" t="s">
        <v>74</v>
      </c>
      <c r="M1" s="49" t="s">
        <v>78</v>
      </c>
    </row>
    <row r="2" spans="1:13">
      <c r="A2" t="s">
        <v>747</v>
      </c>
      <c r="B2" t="s">
        <v>768</v>
      </c>
      <c r="C2" t="s">
        <v>30</v>
      </c>
      <c r="D2" t="s">
        <v>149</v>
      </c>
      <c r="E2" t="s">
        <v>560</v>
      </c>
      <c r="F2">
        <v>3.6</v>
      </c>
      <c r="G2" t="s">
        <v>185</v>
      </c>
      <c r="H2">
        <v>2.6438079323738566</v>
      </c>
      <c r="I2">
        <v>14.066666666666668</v>
      </c>
      <c r="J2">
        <v>4.0202151793535645E-2</v>
      </c>
      <c r="K2" t="s">
        <v>515</v>
      </c>
      <c r="L2" t="s">
        <v>752</v>
      </c>
      <c r="M2" t="s">
        <v>92</v>
      </c>
    </row>
    <row r="3" spans="1:13">
      <c r="A3" t="s">
        <v>747</v>
      </c>
      <c r="B3" t="s">
        <v>776</v>
      </c>
      <c r="C3" t="s">
        <v>30</v>
      </c>
      <c r="D3" t="s">
        <v>29</v>
      </c>
      <c r="E3" t="s">
        <v>560</v>
      </c>
      <c r="F3">
        <v>3.6</v>
      </c>
      <c r="G3" t="s">
        <v>185</v>
      </c>
      <c r="H3">
        <v>2.6224364483792182</v>
      </c>
      <c r="I3">
        <v>13.769230769230768</v>
      </c>
      <c r="J3">
        <v>5.3535327979369628E-2</v>
      </c>
      <c r="K3" t="s">
        <v>515</v>
      </c>
      <c r="L3" t="s">
        <v>752</v>
      </c>
      <c r="M3" t="s">
        <v>92</v>
      </c>
    </row>
    <row r="4" spans="1:13">
      <c r="A4" t="s">
        <v>747</v>
      </c>
      <c r="B4" t="s">
        <v>764</v>
      </c>
      <c r="C4" t="s">
        <v>337</v>
      </c>
      <c r="D4" t="s">
        <v>29</v>
      </c>
      <c r="E4" t="s">
        <v>560</v>
      </c>
      <c r="F4">
        <v>3.6</v>
      </c>
      <c r="G4" t="s">
        <v>185</v>
      </c>
      <c r="H4">
        <v>2.592051287239328</v>
      </c>
      <c r="I4">
        <v>13.357142857142858</v>
      </c>
      <c r="J4">
        <v>8.2090201175268357E-2</v>
      </c>
      <c r="K4" t="s">
        <v>515</v>
      </c>
      <c r="L4" t="s">
        <v>752</v>
      </c>
      <c r="M4" t="s">
        <v>92</v>
      </c>
    </row>
    <row r="5" spans="1:13">
      <c r="A5" t="s">
        <v>747</v>
      </c>
      <c r="B5" t="s">
        <v>792</v>
      </c>
      <c r="C5" t="s">
        <v>53</v>
      </c>
      <c r="D5" t="s">
        <v>149</v>
      </c>
      <c r="E5" t="s">
        <v>560</v>
      </c>
      <c r="F5">
        <v>3.6</v>
      </c>
      <c r="G5" t="s">
        <v>185</v>
      </c>
      <c r="H5">
        <v>2.474435349920705</v>
      </c>
      <c r="I5">
        <v>11.875000000000002</v>
      </c>
      <c r="J5">
        <v>6.2943213296398889E-2</v>
      </c>
      <c r="K5" t="s">
        <v>515</v>
      </c>
      <c r="L5" t="s">
        <v>752</v>
      </c>
      <c r="M5" t="s">
        <v>92</v>
      </c>
    </row>
    <row r="6" spans="1:13">
      <c r="A6" t="s">
        <v>747</v>
      </c>
      <c r="B6" t="s">
        <v>760</v>
      </c>
      <c r="C6" t="s">
        <v>337</v>
      </c>
      <c r="D6" t="s">
        <v>452</v>
      </c>
      <c r="E6" t="s">
        <v>560</v>
      </c>
      <c r="F6">
        <v>3.6</v>
      </c>
      <c r="G6" t="s">
        <v>185</v>
      </c>
      <c r="H6">
        <v>2.469158292819861</v>
      </c>
      <c r="I6">
        <v>11.812499999999998</v>
      </c>
      <c r="J6">
        <v>6.2947915791831122E-2</v>
      </c>
      <c r="K6" t="s">
        <v>515</v>
      </c>
      <c r="L6" t="s">
        <v>752</v>
      </c>
      <c r="M6" t="s">
        <v>92</v>
      </c>
    </row>
    <row r="7" spans="1:13">
      <c r="A7" t="s">
        <v>747</v>
      </c>
      <c r="B7" t="s">
        <v>772</v>
      </c>
      <c r="C7" t="s">
        <v>30</v>
      </c>
      <c r="D7" t="s">
        <v>452</v>
      </c>
      <c r="E7" t="s">
        <v>560</v>
      </c>
      <c r="F7">
        <v>3.6</v>
      </c>
      <c r="G7" t="s">
        <v>185</v>
      </c>
      <c r="H7">
        <v>2.4523304793533875</v>
      </c>
      <c r="I7">
        <v>11.615384615384615</v>
      </c>
      <c r="J7">
        <v>5.364915739966767E-2</v>
      </c>
      <c r="K7" t="s">
        <v>515</v>
      </c>
      <c r="L7" t="s">
        <v>752</v>
      </c>
      <c r="M7" t="s">
        <v>92</v>
      </c>
    </row>
    <row r="8" spans="1:13">
      <c r="A8" t="s">
        <v>747</v>
      </c>
      <c r="B8" t="s">
        <v>800</v>
      </c>
      <c r="C8" t="s">
        <v>53</v>
      </c>
      <c r="D8" t="s">
        <v>29</v>
      </c>
      <c r="E8" t="s">
        <v>560</v>
      </c>
      <c r="F8">
        <v>3.6</v>
      </c>
      <c r="G8" t="s">
        <v>185</v>
      </c>
      <c r="H8">
        <v>2.3921972516837329</v>
      </c>
      <c r="I8">
        <v>10.9375</v>
      </c>
      <c r="J8">
        <v>6.3022448979591833E-2</v>
      </c>
      <c r="K8" t="s">
        <v>515</v>
      </c>
      <c r="L8" t="s">
        <v>752</v>
      </c>
      <c r="M8" t="s">
        <v>92</v>
      </c>
    </row>
    <row r="9" spans="1:13">
      <c r="A9" t="s">
        <v>747</v>
      </c>
      <c r="B9" t="s">
        <v>756</v>
      </c>
      <c r="C9" t="s">
        <v>337</v>
      </c>
      <c r="D9" t="s">
        <v>149</v>
      </c>
      <c r="E9" t="s">
        <v>560</v>
      </c>
      <c r="F9">
        <v>3.6</v>
      </c>
      <c r="G9" t="s">
        <v>185</v>
      </c>
      <c r="H9">
        <v>2.1923819528604316</v>
      </c>
      <c r="I9">
        <v>8.9565217391304373</v>
      </c>
      <c r="J9">
        <v>3.0622785055524956E-2</v>
      </c>
      <c r="K9" t="s">
        <v>515</v>
      </c>
      <c r="L9" t="s">
        <v>752</v>
      </c>
      <c r="M9" t="s">
        <v>92</v>
      </c>
    </row>
    <row r="10" spans="1:13">
      <c r="A10" t="s">
        <v>747</v>
      </c>
      <c r="B10" t="s">
        <v>796</v>
      </c>
      <c r="C10" t="s">
        <v>53</v>
      </c>
      <c r="D10" t="s">
        <v>452</v>
      </c>
      <c r="E10" t="s">
        <v>560</v>
      </c>
      <c r="F10">
        <v>3.6</v>
      </c>
      <c r="G10" t="s">
        <v>185</v>
      </c>
      <c r="H10">
        <v>1.9230954712891419</v>
      </c>
      <c r="I10">
        <v>6.8421052631578947</v>
      </c>
      <c r="J10">
        <v>4.5268075202019364E-2</v>
      </c>
      <c r="K10" t="s">
        <v>515</v>
      </c>
      <c r="L10" t="s">
        <v>752</v>
      </c>
      <c r="M10" t="s">
        <v>92</v>
      </c>
    </row>
    <row r="11" spans="1:13">
      <c r="A11" t="s">
        <v>1066</v>
      </c>
      <c r="B11" t="s">
        <v>1076</v>
      </c>
      <c r="C11" t="s">
        <v>40</v>
      </c>
      <c r="D11" t="s">
        <v>41</v>
      </c>
      <c r="E11" t="s">
        <v>96</v>
      </c>
      <c r="F11">
        <v>10</v>
      </c>
      <c r="G11" t="s">
        <v>185</v>
      </c>
      <c r="H11">
        <v>-1.791759469228055</v>
      </c>
      <c r="I11">
        <v>0.16666666666666669</v>
      </c>
      <c r="J11">
        <v>1.2177777777777777E-2</v>
      </c>
      <c r="K11" t="s">
        <v>515</v>
      </c>
      <c r="L11" t="s">
        <v>550</v>
      </c>
      <c r="M11" t="s">
        <v>92</v>
      </c>
    </row>
    <row r="12" spans="1:13">
      <c r="A12" t="s">
        <v>443</v>
      </c>
      <c r="B12" t="s">
        <v>500</v>
      </c>
      <c r="C12" t="s">
        <v>496</v>
      </c>
      <c r="D12" t="s">
        <v>29</v>
      </c>
      <c r="E12" t="s">
        <v>96</v>
      </c>
      <c r="F12">
        <v>0.3</v>
      </c>
      <c r="G12" t="s">
        <v>185</v>
      </c>
      <c r="H12">
        <v>-0.98082925301172619</v>
      </c>
      <c r="I12">
        <v>0.375</v>
      </c>
      <c r="J12">
        <v>2.6566840277777778E-2</v>
      </c>
      <c r="K12" t="s">
        <v>449</v>
      </c>
      <c r="L12" t="s">
        <v>448</v>
      </c>
      <c r="M12" t="s">
        <v>92</v>
      </c>
    </row>
    <row r="13" spans="1:13">
      <c r="A13" t="s">
        <v>1127</v>
      </c>
      <c r="B13" t="s">
        <v>1172</v>
      </c>
      <c r="C13" t="s">
        <v>489</v>
      </c>
      <c r="D13" t="s">
        <v>149</v>
      </c>
      <c r="E13" t="s">
        <v>96</v>
      </c>
      <c r="F13">
        <v>10</v>
      </c>
      <c r="G13" t="s">
        <v>185</v>
      </c>
      <c r="H13">
        <v>0.95825493097318726</v>
      </c>
      <c r="I13">
        <v>2.6071428571428572</v>
      </c>
      <c r="J13">
        <v>1.823508067141287E-2</v>
      </c>
      <c r="K13" t="s">
        <v>515</v>
      </c>
      <c r="L13" t="s">
        <v>1132</v>
      </c>
      <c r="M13" t="s">
        <v>92</v>
      </c>
    </row>
    <row r="14" spans="1:13">
      <c r="A14" t="s">
        <v>79</v>
      </c>
      <c r="B14" t="s">
        <v>119</v>
      </c>
      <c r="C14" t="s">
        <v>40</v>
      </c>
      <c r="D14" t="s">
        <v>29</v>
      </c>
      <c r="E14" t="s">
        <v>100</v>
      </c>
      <c r="F14">
        <v>1000</v>
      </c>
      <c r="G14" t="s">
        <v>101</v>
      </c>
      <c r="H14">
        <v>0.95475278506036221</v>
      </c>
      <c r="I14">
        <v>2.5980282321308539</v>
      </c>
      <c r="J14">
        <v>1.4129115584957785E-2</v>
      </c>
      <c r="K14" t="s">
        <v>90</v>
      </c>
      <c r="L14" t="s">
        <v>88</v>
      </c>
      <c r="M14" t="s">
        <v>92</v>
      </c>
    </row>
    <row r="15" spans="1:13">
      <c r="A15" t="s">
        <v>813</v>
      </c>
      <c r="B15" t="s">
        <v>814</v>
      </c>
      <c r="C15" t="s">
        <v>489</v>
      </c>
      <c r="D15" t="s">
        <v>29</v>
      </c>
      <c r="E15" t="s">
        <v>96</v>
      </c>
      <c r="F15">
        <v>10</v>
      </c>
      <c r="G15" t="s">
        <v>185</v>
      </c>
      <c r="H15">
        <v>-0.95374684613632155</v>
      </c>
      <c r="I15">
        <v>0.38529467565842807</v>
      </c>
      <c r="J15">
        <v>8.6267171758536097E-5</v>
      </c>
      <c r="K15" t="s">
        <v>381</v>
      </c>
      <c r="L15" t="s">
        <v>819</v>
      </c>
      <c r="M15" t="s">
        <v>92</v>
      </c>
    </row>
    <row r="16" spans="1:13">
      <c r="A16" t="s">
        <v>443</v>
      </c>
      <c r="B16" t="s">
        <v>495</v>
      </c>
      <c r="C16" t="s">
        <v>496</v>
      </c>
      <c r="D16" t="s">
        <v>149</v>
      </c>
      <c r="E16" t="s">
        <v>96</v>
      </c>
      <c r="F16">
        <v>0.3</v>
      </c>
      <c r="G16" t="s">
        <v>185</v>
      </c>
      <c r="H16">
        <v>0.92953595862417571</v>
      </c>
      <c r="I16">
        <v>2.5333333333333332</v>
      </c>
      <c r="J16">
        <v>7.1726992920898725E-3</v>
      </c>
      <c r="K16" t="s">
        <v>449</v>
      </c>
      <c r="L16" t="s">
        <v>448</v>
      </c>
      <c r="M16" t="s">
        <v>92</v>
      </c>
    </row>
    <row r="17" spans="1:13">
      <c r="A17" t="s">
        <v>1094</v>
      </c>
      <c r="B17" t="s">
        <v>1117</v>
      </c>
      <c r="C17" t="s">
        <v>40</v>
      </c>
      <c r="D17" t="s">
        <v>149</v>
      </c>
      <c r="E17" t="s">
        <v>750</v>
      </c>
      <c r="F17">
        <v>150</v>
      </c>
      <c r="G17" t="s">
        <v>83</v>
      </c>
      <c r="H17">
        <v>-0.88342784702146848</v>
      </c>
      <c r="I17">
        <v>0.41336353340883353</v>
      </c>
      <c r="J17">
        <v>2.9295537893344246E-2</v>
      </c>
      <c r="K17" t="s">
        <v>1101</v>
      </c>
      <c r="L17" t="s">
        <v>1099</v>
      </c>
      <c r="M17" t="s">
        <v>92</v>
      </c>
    </row>
    <row r="18" spans="1:13">
      <c r="A18" t="s">
        <v>443</v>
      </c>
      <c r="B18" t="s">
        <v>493</v>
      </c>
      <c r="C18" t="s">
        <v>489</v>
      </c>
      <c r="D18" t="s">
        <v>29</v>
      </c>
      <c r="E18" t="s">
        <v>96</v>
      </c>
      <c r="F18">
        <v>0.3</v>
      </c>
      <c r="G18" t="s">
        <v>185</v>
      </c>
      <c r="H18">
        <v>0.88238918019847368</v>
      </c>
      <c r="I18">
        <v>2.4166666666666665</v>
      </c>
      <c r="J18">
        <v>2.1656231420927466E-3</v>
      </c>
      <c r="K18" t="s">
        <v>449</v>
      </c>
      <c r="L18" t="s">
        <v>448</v>
      </c>
      <c r="M18" t="s">
        <v>92</v>
      </c>
    </row>
    <row r="19" spans="1:13">
      <c r="A19" t="s">
        <v>1094</v>
      </c>
      <c r="B19" t="s">
        <v>1095</v>
      </c>
      <c r="C19" t="s">
        <v>40</v>
      </c>
      <c r="D19" t="s">
        <v>149</v>
      </c>
      <c r="E19" t="s">
        <v>750</v>
      </c>
      <c r="F19">
        <v>150</v>
      </c>
      <c r="G19" t="s">
        <v>83</v>
      </c>
      <c r="H19">
        <v>-0.86989769230444447</v>
      </c>
      <c r="I19">
        <v>0.41899441340782129</v>
      </c>
      <c r="J19">
        <v>1.421685645916208E-2</v>
      </c>
      <c r="K19" t="s">
        <v>1101</v>
      </c>
      <c r="L19" t="s">
        <v>1099</v>
      </c>
      <c r="M19" t="s">
        <v>92</v>
      </c>
    </row>
    <row r="20" spans="1:13">
      <c r="A20" t="s">
        <v>747</v>
      </c>
      <c r="B20" t="s">
        <v>769</v>
      </c>
      <c r="C20" t="s">
        <v>30</v>
      </c>
      <c r="D20" t="s">
        <v>452</v>
      </c>
      <c r="E20" t="s">
        <v>750</v>
      </c>
      <c r="F20">
        <v>2.4</v>
      </c>
      <c r="G20" t="s">
        <v>185</v>
      </c>
      <c r="H20">
        <v>0.86903784702360953</v>
      </c>
      <c r="I20">
        <v>2.3846153846153846</v>
      </c>
      <c r="J20">
        <v>6.2619682406763175E-2</v>
      </c>
      <c r="K20" t="s">
        <v>515</v>
      </c>
      <c r="L20" t="s">
        <v>752</v>
      </c>
      <c r="M20" t="s">
        <v>92</v>
      </c>
    </row>
    <row r="21" spans="1:13">
      <c r="A21" t="s">
        <v>79</v>
      </c>
      <c r="B21" t="s">
        <v>113</v>
      </c>
      <c r="C21" t="s">
        <v>40</v>
      </c>
      <c r="D21" t="s">
        <v>29</v>
      </c>
      <c r="E21" t="s">
        <v>100</v>
      </c>
      <c r="F21">
        <v>1000</v>
      </c>
      <c r="G21" t="s">
        <v>101</v>
      </c>
      <c r="H21">
        <v>0.86238994656568335</v>
      </c>
      <c r="I21">
        <v>2.3688152758729828</v>
      </c>
      <c r="J21">
        <v>2.422148741293048E-3</v>
      </c>
      <c r="K21" t="s">
        <v>90</v>
      </c>
      <c r="L21" t="s">
        <v>88</v>
      </c>
      <c r="M21" t="s">
        <v>92</v>
      </c>
    </row>
    <row r="22" spans="1:13">
      <c r="A22" t="s">
        <v>79</v>
      </c>
      <c r="B22" t="s">
        <v>116</v>
      </c>
      <c r="C22" t="s">
        <v>40</v>
      </c>
      <c r="D22" t="s">
        <v>29</v>
      </c>
      <c r="E22" t="s">
        <v>94</v>
      </c>
      <c r="F22">
        <v>250</v>
      </c>
      <c r="G22" t="s">
        <v>83</v>
      </c>
      <c r="H22">
        <v>0.82798709379843816</v>
      </c>
      <c r="I22">
        <v>2.2887071476585255</v>
      </c>
      <c r="J22">
        <v>1.3036790994957026E-2</v>
      </c>
      <c r="K22" t="s">
        <v>90</v>
      </c>
      <c r="L22" t="s">
        <v>88</v>
      </c>
      <c r="M22" t="s">
        <v>92</v>
      </c>
    </row>
    <row r="23" spans="1:13">
      <c r="A23" t="s">
        <v>747</v>
      </c>
      <c r="B23" t="s">
        <v>784</v>
      </c>
      <c r="C23" t="s">
        <v>40</v>
      </c>
      <c r="D23" t="s">
        <v>452</v>
      </c>
      <c r="E23" t="s">
        <v>560</v>
      </c>
      <c r="F23">
        <v>3.6</v>
      </c>
      <c r="G23" t="s">
        <v>185</v>
      </c>
      <c r="H23">
        <v>-0.82739670606990867</v>
      </c>
      <c r="I23">
        <v>0.43718592964824121</v>
      </c>
      <c r="J23">
        <v>3.9342434175003195E-3</v>
      </c>
      <c r="K23" t="s">
        <v>515</v>
      </c>
      <c r="L23" t="s">
        <v>752</v>
      </c>
      <c r="M23" t="s">
        <v>92</v>
      </c>
    </row>
    <row r="24" spans="1:13">
      <c r="A24" t="s">
        <v>79</v>
      </c>
      <c r="B24" t="s">
        <v>108</v>
      </c>
      <c r="C24" t="s">
        <v>40</v>
      </c>
      <c r="D24" t="s">
        <v>29</v>
      </c>
      <c r="E24" t="s">
        <v>82</v>
      </c>
      <c r="F24">
        <v>250</v>
      </c>
      <c r="G24" t="s">
        <v>83</v>
      </c>
      <c r="H24">
        <v>0.82481746905244091</v>
      </c>
      <c r="I24">
        <v>2.2814642894820132</v>
      </c>
      <c r="J24">
        <v>2.5178776545309862E-3</v>
      </c>
      <c r="K24" t="s">
        <v>90</v>
      </c>
      <c r="L24" t="s">
        <v>88</v>
      </c>
      <c r="M24" t="s">
        <v>92</v>
      </c>
    </row>
    <row r="25" spans="1:13">
      <c r="A25" t="s">
        <v>1127</v>
      </c>
      <c r="B25" t="s">
        <v>1174</v>
      </c>
      <c r="C25" t="s">
        <v>496</v>
      </c>
      <c r="D25" t="s">
        <v>149</v>
      </c>
      <c r="E25" t="s">
        <v>96</v>
      </c>
      <c r="F25">
        <v>10</v>
      </c>
      <c r="G25" t="s">
        <v>185</v>
      </c>
      <c r="H25">
        <v>0.77318988823348167</v>
      </c>
      <c r="I25">
        <v>2.1666666666666665</v>
      </c>
      <c r="J25">
        <v>1.3786982248520711E-2</v>
      </c>
      <c r="K25" t="s">
        <v>515</v>
      </c>
      <c r="L25" t="s">
        <v>1132</v>
      </c>
      <c r="M25" t="s">
        <v>92</v>
      </c>
    </row>
    <row r="26" spans="1:13">
      <c r="A26" t="s">
        <v>1127</v>
      </c>
      <c r="B26" t="s">
        <v>1176</v>
      </c>
      <c r="C26" t="s">
        <v>503</v>
      </c>
      <c r="D26" t="s">
        <v>149</v>
      </c>
      <c r="E26" t="s">
        <v>96</v>
      </c>
      <c r="F26">
        <v>10</v>
      </c>
      <c r="G26" t="s">
        <v>185</v>
      </c>
      <c r="H26">
        <v>0.77110872202965719</v>
      </c>
      <c r="I26">
        <v>2.1621621621621623</v>
      </c>
      <c r="J26">
        <v>1.731236303871439E-2</v>
      </c>
      <c r="K26" t="s">
        <v>515</v>
      </c>
      <c r="L26" t="s">
        <v>1132</v>
      </c>
      <c r="M26" t="s">
        <v>92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Y589"/>
  <sheetViews>
    <sheetView workbookViewId="0"/>
  </sheetViews>
  <sheetFormatPr baseColWidth="10" defaultColWidth="9" defaultRowHeight="13.5"/>
  <cols>
    <col min="1" max="1" width="18.875" customWidth="1"/>
    <col min="2" max="5" width="18" customWidth="1"/>
    <col min="6" max="6" width="20.875" customWidth="1"/>
    <col min="7" max="7" width="16.375" customWidth="1"/>
    <col min="8" max="13" width="18" customWidth="1"/>
    <col min="14" max="15" width="10.25" customWidth="1"/>
    <col min="16" max="16" width="3.375" customWidth="1"/>
    <col min="17" max="18" width="10.25" customWidth="1"/>
    <col min="19" max="19" width="3.375" customWidth="1"/>
    <col min="20" max="21" width="10.25" customWidth="1"/>
    <col min="22" max="22" width="10.875" customWidth="1"/>
    <col min="23" max="23" width="10.25" customWidth="1"/>
    <col min="24" max="28" width="18" customWidth="1"/>
    <col min="29" max="38" width="20" customWidth="1"/>
    <col min="39" max="39" width="34" customWidth="1"/>
    <col min="40" max="50" width="20" customWidth="1"/>
    <col min="51" max="51" width="48" customWidth="1"/>
  </cols>
  <sheetData>
    <row r="1" spans="1:51" ht="27.75">
      <c r="A1" s="51" t="s">
        <v>54</v>
      </c>
      <c r="B1" s="51" t="s">
        <v>55</v>
      </c>
      <c r="C1" s="51" t="s">
        <v>56</v>
      </c>
      <c r="D1" s="51" t="s">
        <v>26</v>
      </c>
      <c r="E1" s="51" t="s">
        <v>57</v>
      </c>
      <c r="F1" s="51" t="s">
        <v>58</v>
      </c>
      <c r="G1" s="51" t="s">
        <v>59</v>
      </c>
      <c r="H1" s="51" t="s">
        <v>60</v>
      </c>
      <c r="I1" s="51" t="s">
        <v>61</v>
      </c>
      <c r="J1" s="51" t="s">
        <v>62</v>
      </c>
      <c r="K1" s="51" t="s">
        <v>23</v>
      </c>
      <c r="L1" s="51" t="s">
        <v>24</v>
      </c>
      <c r="M1" s="51" t="s">
        <v>63</v>
      </c>
      <c r="N1" s="51" t="s">
        <v>64</v>
      </c>
      <c r="O1" s="51" t="s">
        <v>65</v>
      </c>
      <c r="P1" s="51" t="s">
        <v>66</v>
      </c>
      <c r="Q1" s="51" t="s">
        <v>67</v>
      </c>
      <c r="R1" s="51" t="s">
        <v>68</v>
      </c>
      <c r="S1" s="51" t="s">
        <v>69</v>
      </c>
      <c r="T1" s="51" t="s">
        <v>70</v>
      </c>
      <c r="U1" s="51" t="s">
        <v>71</v>
      </c>
      <c r="V1" s="51" t="s">
        <v>72</v>
      </c>
      <c r="W1" s="51" t="s">
        <v>73</v>
      </c>
      <c r="X1" s="51" t="s">
        <v>74</v>
      </c>
      <c r="Y1" s="51" t="s">
        <v>75</v>
      </c>
      <c r="Z1" s="51" t="s">
        <v>76</v>
      </c>
      <c r="AA1" s="51" t="s">
        <v>77</v>
      </c>
      <c r="AB1" s="51" t="s">
        <v>78</v>
      </c>
      <c r="AC1" s="51" t="s">
        <v>1611</v>
      </c>
      <c r="AD1" s="51" t="s">
        <v>1612</v>
      </c>
      <c r="AE1" s="51" t="s">
        <v>1613</v>
      </c>
      <c r="AF1" s="51" t="s">
        <v>1614</v>
      </c>
      <c r="AG1" s="51" t="s">
        <v>1615</v>
      </c>
      <c r="AH1" s="51" t="s">
        <v>1616</v>
      </c>
      <c r="AI1" s="51" t="s">
        <v>1617</v>
      </c>
      <c r="AJ1" s="51" t="s">
        <v>1618</v>
      </c>
      <c r="AK1" s="51" t="s">
        <v>1619</v>
      </c>
      <c r="AL1" s="51" t="s">
        <v>1620</v>
      </c>
      <c r="AM1" s="51" t="s">
        <v>1621</v>
      </c>
      <c r="AN1" s="51" t="s">
        <v>1622</v>
      </c>
      <c r="AO1" s="51" t="s">
        <v>1623</v>
      </c>
      <c r="AP1" s="51" t="s">
        <v>1624</v>
      </c>
      <c r="AQ1" s="51" t="s">
        <v>1625</v>
      </c>
      <c r="AR1" s="51" t="s">
        <v>1626</v>
      </c>
      <c r="AS1" s="51" t="s">
        <v>1627</v>
      </c>
      <c r="AT1" s="51" t="s">
        <v>1628</v>
      </c>
      <c r="AU1" s="51" t="s">
        <v>1629</v>
      </c>
      <c r="AV1" s="51" t="s">
        <v>1630</v>
      </c>
      <c r="AW1" s="51" t="s">
        <v>1631</v>
      </c>
      <c r="AX1" s="51" t="s">
        <v>1632</v>
      </c>
      <c r="AY1" s="51" t="s">
        <v>1633</v>
      </c>
    </row>
    <row r="2" spans="1:51">
      <c r="A2" t="s">
        <v>79</v>
      </c>
      <c r="B2" t="s">
        <v>80</v>
      </c>
      <c r="C2" t="s">
        <v>81</v>
      </c>
      <c r="D2" t="s">
        <v>32</v>
      </c>
      <c r="E2" t="s">
        <v>82</v>
      </c>
      <c r="F2">
        <v>250</v>
      </c>
      <c r="G2" t="s">
        <v>83</v>
      </c>
      <c r="H2" t="s">
        <v>84</v>
      </c>
      <c r="I2" t="s">
        <v>85</v>
      </c>
      <c r="J2" t="s">
        <v>86</v>
      </c>
      <c r="K2" t="s">
        <v>29</v>
      </c>
      <c r="L2" t="s">
        <v>30</v>
      </c>
      <c r="M2" t="s">
        <v>87</v>
      </c>
      <c r="N2" s="7">
        <v>7.0869999999999997</v>
      </c>
      <c r="O2" s="7">
        <v>0.217</v>
      </c>
      <c r="P2" s="7">
        <v>3</v>
      </c>
      <c r="Q2" s="7">
        <v>9.7829999999999995</v>
      </c>
      <c r="R2" s="7">
        <v>0.39100000000000001</v>
      </c>
      <c r="S2" s="7">
        <v>3</v>
      </c>
      <c r="T2" s="7">
        <v>0.37585502524244635</v>
      </c>
      <c r="U2" s="7">
        <v>0.67723186575943106</v>
      </c>
      <c r="V2" s="7">
        <v>0.32238406564717281</v>
      </c>
      <c r="W2" s="7">
        <v>2.5349346397972685E-3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 t="s">
        <v>79</v>
      </c>
      <c r="AD2" t="s">
        <v>79</v>
      </c>
      <c r="AE2" t="s">
        <v>1634</v>
      </c>
      <c r="AF2" t="s">
        <v>1635</v>
      </c>
      <c r="AG2" t="s">
        <v>1634</v>
      </c>
      <c r="AI2" t="s">
        <v>30</v>
      </c>
      <c r="AJ2" t="s">
        <v>1636</v>
      </c>
      <c r="AK2" t="s">
        <v>1637</v>
      </c>
      <c r="AL2" s="4">
        <v>250</v>
      </c>
      <c r="AM2" t="s">
        <v>83</v>
      </c>
      <c r="AN2">
        <v>1.6754909188392197</v>
      </c>
      <c r="AO2" t="s">
        <v>1638</v>
      </c>
      <c r="AP2" t="s">
        <v>1639</v>
      </c>
      <c r="AQ2" t="s">
        <v>1640</v>
      </c>
      <c r="AR2" t="s">
        <v>1641</v>
      </c>
      <c r="AS2">
        <v>1</v>
      </c>
      <c r="AT2">
        <v>0</v>
      </c>
      <c r="AU2">
        <v>0</v>
      </c>
      <c r="AV2">
        <v>1</v>
      </c>
      <c r="AW2">
        <v>0</v>
      </c>
      <c r="AX2">
        <v>0</v>
      </c>
      <c r="AY2" t="s">
        <v>1642</v>
      </c>
    </row>
    <row r="3" spans="1:51">
      <c r="A3" t="s">
        <v>79</v>
      </c>
      <c r="B3" t="s">
        <v>93</v>
      </c>
      <c r="C3" t="s">
        <v>81</v>
      </c>
      <c r="D3" t="s">
        <v>32</v>
      </c>
      <c r="E3" t="s">
        <v>94</v>
      </c>
      <c r="F3">
        <v>250</v>
      </c>
      <c r="G3" t="s">
        <v>83</v>
      </c>
      <c r="H3" t="s">
        <v>84</v>
      </c>
      <c r="I3" t="s">
        <v>85</v>
      </c>
      <c r="J3" t="s">
        <v>86</v>
      </c>
      <c r="K3" t="s">
        <v>29</v>
      </c>
      <c r="L3" t="s">
        <v>30</v>
      </c>
      <c r="M3" t="s">
        <v>87</v>
      </c>
      <c r="N3" s="7">
        <v>7.0869999999999997</v>
      </c>
      <c r="O3" s="7">
        <v>0.217</v>
      </c>
      <c r="P3" s="7">
        <v>3</v>
      </c>
      <c r="Q3" s="7">
        <v>10.609</v>
      </c>
      <c r="R3" s="7">
        <v>0.39100000000000001</v>
      </c>
      <c r="S3" s="7">
        <v>3</v>
      </c>
      <c r="T3" s="7">
        <v>0.37585502524244635</v>
      </c>
      <c r="U3" s="7">
        <v>0.67723186575943106</v>
      </c>
      <c r="V3" s="7">
        <v>0.40344057764901553</v>
      </c>
      <c r="W3" s="7">
        <v>2.2958782378075786E-3</v>
      </c>
      <c r="X3" t="s">
        <v>88</v>
      </c>
      <c r="Y3" t="s">
        <v>89</v>
      </c>
      <c r="Z3" t="s">
        <v>90</v>
      </c>
      <c r="AA3" t="s">
        <v>91</v>
      </c>
      <c r="AB3" t="s">
        <v>92</v>
      </c>
      <c r="AC3" t="s">
        <v>79</v>
      </c>
      <c r="AD3" t="s">
        <v>79</v>
      </c>
      <c r="AE3" t="s">
        <v>1634</v>
      </c>
      <c r="AF3" t="s">
        <v>1643</v>
      </c>
      <c r="AG3" t="s">
        <v>1634</v>
      </c>
      <c r="AI3" t="s">
        <v>30</v>
      </c>
      <c r="AJ3" t="s">
        <v>1636</v>
      </c>
      <c r="AK3" t="s">
        <v>1637</v>
      </c>
      <c r="AL3" s="4">
        <v>250</v>
      </c>
      <c r="AM3" t="s">
        <v>83</v>
      </c>
      <c r="AN3">
        <v>1.5134088019855925</v>
      </c>
      <c r="AO3" t="s">
        <v>1638</v>
      </c>
      <c r="AP3" t="s">
        <v>1639</v>
      </c>
      <c r="AQ3" t="s">
        <v>1640</v>
      </c>
      <c r="AR3" t="s">
        <v>1641</v>
      </c>
      <c r="AS3">
        <v>1</v>
      </c>
      <c r="AT3">
        <v>0</v>
      </c>
      <c r="AU3">
        <v>0</v>
      </c>
      <c r="AV3">
        <v>1</v>
      </c>
      <c r="AW3">
        <v>0</v>
      </c>
      <c r="AX3">
        <v>0</v>
      </c>
      <c r="AY3" t="s">
        <v>1642</v>
      </c>
    </row>
    <row r="4" spans="1:51">
      <c r="A4" t="s">
        <v>79</v>
      </c>
      <c r="B4" t="s">
        <v>95</v>
      </c>
      <c r="C4" t="s">
        <v>81</v>
      </c>
      <c r="D4" t="s">
        <v>32</v>
      </c>
      <c r="E4" t="s">
        <v>96</v>
      </c>
      <c r="F4">
        <v>250</v>
      </c>
      <c r="G4" t="s">
        <v>83</v>
      </c>
      <c r="H4" t="s">
        <v>84</v>
      </c>
      <c r="I4" t="s">
        <v>85</v>
      </c>
      <c r="J4" t="s">
        <v>86</v>
      </c>
      <c r="K4" t="s">
        <v>29</v>
      </c>
      <c r="L4" t="s">
        <v>30</v>
      </c>
      <c r="M4" t="s">
        <v>87</v>
      </c>
      <c r="N4" s="7">
        <v>7.0869999999999997</v>
      </c>
      <c r="O4" s="7">
        <v>0.217</v>
      </c>
      <c r="P4" s="7">
        <v>3</v>
      </c>
      <c r="Q4" s="7">
        <v>10.130000000000001</v>
      </c>
      <c r="R4" s="7">
        <v>0.47799999999999998</v>
      </c>
      <c r="S4" s="7">
        <v>3</v>
      </c>
      <c r="T4" s="7">
        <v>0.37585502524244635</v>
      </c>
      <c r="U4" s="7">
        <v>0.82792028601792322</v>
      </c>
      <c r="V4" s="7">
        <v>0.35723919843247326</v>
      </c>
      <c r="W4" s="7">
        <v>3.1641231700622477E-3</v>
      </c>
      <c r="X4" t="s">
        <v>88</v>
      </c>
      <c r="Y4" t="s">
        <v>89</v>
      </c>
      <c r="Z4" t="s">
        <v>90</v>
      </c>
      <c r="AA4" t="s">
        <v>91</v>
      </c>
      <c r="AB4" t="s">
        <v>92</v>
      </c>
      <c r="AC4" t="s">
        <v>79</v>
      </c>
      <c r="AD4" t="s">
        <v>79</v>
      </c>
      <c r="AE4" t="s">
        <v>1634</v>
      </c>
      <c r="AF4" t="s">
        <v>1644</v>
      </c>
      <c r="AG4" t="s">
        <v>1634</v>
      </c>
      <c r="AI4" t="s">
        <v>30</v>
      </c>
      <c r="AJ4" t="s">
        <v>1636</v>
      </c>
      <c r="AK4" t="s">
        <v>1637</v>
      </c>
      <c r="AL4" s="4">
        <v>250</v>
      </c>
      <c r="AM4" t="s">
        <v>83</v>
      </c>
      <c r="AN4">
        <v>2.1714583514288197</v>
      </c>
      <c r="AO4" t="s">
        <v>1638</v>
      </c>
      <c r="AP4" t="s">
        <v>1639</v>
      </c>
      <c r="AQ4" t="s">
        <v>1640</v>
      </c>
      <c r="AR4" t="s">
        <v>1641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 t="s">
        <v>1642</v>
      </c>
    </row>
    <row r="5" spans="1:51">
      <c r="A5" t="s">
        <v>79</v>
      </c>
      <c r="B5" t="s">
        <v>97</v>
      </c>
      <c r="C5" t="s">
        <v>81</v>
      </c>
      <c r="D5" t="s">
        <v>32</v>
      </c>
      <c r="E5" t="s">
        <v>98</v>
      </c>
      <c r="F5">
        <v>250</v>
      </c>
      <c r="G5" t="s">
        <v>83</v>
      </c>
      <c r="H5" t="s">
        <v>84</v>
      </c>
      <c r="I5" t="s">
        <v>85</v>
      </c>
      <c r="J5" t="s">
        <v>86</v>
      </c>
      <c r="K5" t="s">
        <v>29</v>
      </c>
      <c r="L5" t="s">
        <v>30</v>
      </c>
      <c r="M5" t="s">
        <v>87</v>
      </c>
      <c r="N5" s="7">
        <v>7.0869999999999997</v>
      </c>
      <c r="O5" s="7">
        <v>0.217</v>
      </c>
      <c r="P5" s="7">
        <v>3</v>
      </c>
      <c r="Q5" s="7">
        <v>9.9570000000000007</v>
      </c>
      <c r="R5" s="7">
        <v>0.30399999999999999</v>
      </c>
      <c r="S5" s="7">
        <v>3</v>
      </c>
      <c r="T5" s="7">
        <v>0.37585502524244635</v>
      </c>
      <c r="U5" s="7">
        <v>0.52654344550093868</v>
      </c>
      <c r="V5" s="7">
        <v>0.34001370157782845</v>
      </c>
      <c r="W5" s="7">
        <v>1.8697096887355029E-3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79</v>
      </c>
      <c r="AD5" t="s">
        <v>79</v>
      </c>
      <c r="AE5" t="s">
        <v>1634</v>
      </c>
      <c r="AF5" t="s">
        <v>1645</v>
      </c>
      <c r="AG5" t="s">
        <v>1634</v>
      </c>
      <c r="AI5" t="s">
        <v>30</v>
      </c>
      <c r="AJ5" t="s">
        <v>1636</v>
      </c>
      <c r="AK5" t="s">
        <v>1637</v>
      </c>
      <c r="AL5" s="4">
        <v>250</v>
      </c>
      <c r="AM5" t="s">
        <v>83</v>
      </c>
      <c r="AN5">
        <v>1.3797670953143109</v>
      </c>
      <c r="AO5" t="s">
        <v>1638</v>
      </c>
      <c r="AP5" t="s">
        <v>1639</v>
      </c>
      <c r="AQ5" t="s">
        <v>1640</v>
      </c>
      <c r="AR5" t="s">
        <v>1641</v>
      </c>
      <c r="AS5">
        <v>1</v>
      </c>
      <c r="AT5">
        <v>0</v>
      </c>
      <c r="AU5">
        <v>0</v>
      </c>
      <c r="AV5">
        <v>1</v>
      </c>
      <c r="AW5">
        <v>0</v>
      </c>
      <c r="AX5">
        <v>0</v>
      </c>
      <c r="AY5" t="s">
        <v>1642</v>
      </c>
    </row>
    <row r="6" spans="1:51">
      <c r="A6" t="s">
        <v>79</v>
      </c>
      <c r="B6" t="s">
        <v>99</v>
      </c>
      <c r="C6" t="s">
        <v>81</v>
      </c>
      <c r="D6" t="s">
        <v>32</v>
      </c>
      <c r="E6" t="s">
        <v>100</v>
      </c>
      <c r="F6">
        <v>1000</v>
      </c>
      <c r="G6" t="s">
        <v>101</v>
      </c>
      <c r="H6" t="s">
        <v>84</v>
      </c>
      <c r="I6" t="s">
        <v>85</v>
      </c>
      <c r="J6" t="s">
        <v>86</v>
      </c>
      <c r="K6" t="s">
        <v>29</v>
      </c>
      <c r="L6" t="s">
        <v>30</v>
      </c>
      <c r="M6" t="s">
        <v>87</v>
      </c>
      <c r="N6" s="7">
        <v>7.0869999999999997</v>
      </c>
      <c r="O6" s="7">
        <v>0.217</v>
      </c>
      <c r="P6" s="7">
        <v>3</v>
      </c>
      <c r="Q6" s="7">
        <v>10.609</v>
      </c>
      <c r="R6" s="7">
        <v>0.13</v>
      </c>
      <c r="S6" s="7">
        <v>3</v>
      </c>
      <c r="T6" s="7">
        <v>0.37585502524244635</v>
      </c>
      <c r="U6" s="7">
        <v>0.22516660498395405</v>
      </c>
      <c r="V6" s="7">
        <v>0.40344057764901553</v>
      </c>
      <c r="W6" s="7">
        <v>1.0877046651813459E-3</v>
      </c>
      <c r="X6" t="s">
        <v>88</v>
      </c>
      <c r="Y6" t="s">
        <v>89</v>
      </c>
      <c r="Z6" t="s">
        <v>90</v>
      </c>
      <c r="AA6" t="s">
        <v>91</v>
      </c>
      <c r="AB6" t="s">
        <v>92</v>
      </c>
      <c r="AC6" t="s">
        <v>79</v>
      </c>
      <c r="AD6" t="s">
        <v>79</v>
      </c>
      <c r="AE6" t="s">
        <v>1634</v>
      </c>
      <c r="AF6" t="s">
        <v>1646</v>
      </c>
      <c r="AG6" t="s">
        <v>1634</v>
      </c>
      <c r="AI6" t="s">
        <v>30</v>
      </c>
      <c r="AJ6" t="s">
        <v>1636</v>
      </c>
      <c r="AK6" t="s">
        <v>1637</v>
      </c>
      <c r="AL6" s="4">
        <v>1000</v>
      </c>
      <c r="AM6" t="s">
        <v>101</v>
      </c>
      <c r="AO6" t="s">
        <v>1647</v>
      </c>
      <c r="AP6" t="s">
        <v>1639</v>
      </c>
      <c r="AQ6" t="s">
        <v>1640</v>
      </c>
      <c r="AR6" t="s">
        <v>1641</v>
      </c>
      <c r="AS6">
        <v>1</v>
      </c>
      <c r="AT6">
        <v>0</v>
      </c>
      <c r="AU6">
        <v>0</v>
      </c>
      <c r="AV6">
        <v>1</v>
      </c>
      <c r="AW6">
        <v>0</v>
      </c>
      <c r="AX6">
        <v>0</v>
      </c>
      <c r="AY6" t="s">
        <v>1642</v>
      </c>
    </row>
    <row r="7" spans="1:51">
      <c r="A7" t="s">
        <v>79</v>
      </c>
      <c r="B7" t="s">
        <v>102</v>
      </c>
      <c r="C7" t="s">
        <v>81</v>
      </c>
      <c r="D7" t="s">
        <v>33</v>
      </c>
      <c r="E7" t="s">
        <v>82</v>
      </c>
      <c r="F7">
        <v>250</v>
      </c>
      <c r="G7" t="s">
        <v>83</v>
      </c>
      <c r="H7" t="s">
        <v>84</v>
      </c>
      <c r="I7" t="s">
        <v>85</v>
      </c>
      <c r="J7" t="s">
        <v>86</v>
      </c>
      <c r="K7" t="s">
        <v>29</v>
      </c>
      <c r="L7" t="s">
        <v>30</v>
      </c>
      <c r="M7" t="s">
        <v>87</v>
      </c>
      <c r="N7" s="7">
        <v>6.7389999999999999</v>
      </c>
      <c r="O7" s="7">
        <v>0.30399999999999999</v>
      </c>
      <c r="P7" s="7">
        <v>3</v>
      </c>
      <c r="Q7" s="7">
        <v>9.9570000000000007</v>
      </c>
      <c r="R7" s="7">
        <v>0.47799999999999998</v>
      </c>
      <c r="S7" s="7">
        <v>3</v>
      </c>
      <c r="T7" s="7">
        <v>0.52654344550093868</v>
      </c>
      <c r="U7" s="7">
        <v>0.82792028601792322</v>
      </c>
      <c r="V7" s="7">
        <v>0.39036427544186741</v>
      </c>
      <c r="W7" s="7">
        <v>4.3395788634734232E-3</v>
      </c>
      <c r="X7" t="s">
        <v>88</v>
      </c>
      <c r="Y7" t="s">
        <v>89</v>
      </c>
      <c r="Z7" t="s">
        <v>90</v>
      </c>
      <c r="AA7" t="s">
        <v>103</v>
      </c>
      <c r="AB7" t="s">
        <v>92</v>
      </c>
      <c r="AC7" t="s">
        <v>79</v>
      </c>
      <c r="AD7" t="s">
        <v>79</v>
      </c>
      <c r="AE7" t="s">
        <v>1648</v>
      </c>
      <c r="AF7" t="s">
        <v>1649</v>
      </c>
      <c r="AG7" t="s">
        <v>1648</v>
      </c>
      <c r="AI7" t="s">
        <v>30</v>
      </c>
      <c r="AJ7" t="s">
        <v>1636</v>
      </c>
      <c r="AK7" t="s">
        <v>1637</v>
      </c>
      <c r="AL7" s="4">
        <v>250</v>
      </c>
      <c r="AM7" t="s">
        <v>83</v>
      </c>
      <c r="AN7">
        <v>1.6754909188392197</v>
      </c>
      <c r="AO7" t="s">
        <v>1638</v>
      </c>
      <c r="AP7" t="s">
        <v>1639</v>
      </c>
      <c r="AQ7" t="s">
        <v>1640</v>
      </c>
      <c r="AR7" t="s">
        <v>1641</v>
      </c>
      <c r="AS7">
        <v>1</v>
      </c>
      <c r="AT7">
        <v>0</v>
      </c>
      <c r="AU7">
        <v>0</v>
      </c>
      <c r="AV7">
        <v>1</v>
      </c>
      <c r="AW7">
        <v>0</v>
      </c>
      <c r="AX7">
        <v>0</v>
      </c>
      <c r="AY7" t="s">
        <v>1642</v>
      </c>
    </row>
    <row r="8" spans="1:51">
      <c r="A8" t="s">
        <v>79</v>
      </c>
      <c r="B8" t="s">
        <v>104</v>
      </c>
      <c r="C8" t="s">
        <v>81</v>
      </c>
      <c r="D8" t="s">
        <v>33</v>
      </c>
      <c r="E8" t="s">
        <v>94</v>
      </c>
      <c r="F8">
        <v>250</v>
      </c>
      <c r="G8" t="s">
        <v>83</v>
      </c>
      <c r="H8" t="s">
        <v>84</v>
      </c>
      <c r="I8" t="s">
        <v>85</v>
      </c>
      <c r="J8" t="s">
        <v>86</v>
      </c>
      <c r="K8" t="s">
        <v>29</v>
      </c>
      <c r="L8" t="s">
        <v>30</v>
      </c>
      <c r="M8" t="s">
        <v>87</v>
      </c>
      <c r="N8" s="7">
        <v>6.7389999999999999</v>
      </c>
      <c r="O8" s="7">
        <v>0.30399999999999999</v>
      </c>
      <c r="P8" s="7">
        <v>3</v>
      </c>
      <c r="Q8" s="7">
        <v>10.522</v>
      </c>
      <c r="R8" s="7">
        <v>0.217</v>
      </c>
      <c r="S8" s="7">
        <v>3</v>
      </c>
      <c r="T8" s="7">
        <v>0.52654344550093868</v>
      </c>
      <c r="U8" s="7">
        <v>0.37585502524244635</v>
      </c>
      <c r="V8" s="7">
        <v>0.44555675734453559</v>
      </c>
      <c r="W8" s="7">
        <v>2.4602886904078062E-3</v>
      </c>
      <c r="X8" t="s">
        <v>88</v>
      </c>
      <c r="Y8" t="s">
        <v>89</v>
      </c>
      <c r="Z8" t="s">
        <v>90</v>
      </c>
      <c r="AA8" t="s">
        <v>103</v>
      </c>
      <c r="AB8" t="s">
        <v>92</v>
      </c>
      <c r="AC8" t="s">
        <v>79</v>
      </c>
      <c r="AD8" t="s">
        <v>79</v>
      </c>
      <c r="AE8" t="s">
        <v>1648</v>
      </c>
      <c r="AF8" t="s">
        <v>1650</v>
      </c>
      <c r="AG8" t="s">
        <v>1648</v>
      </c>
      <c r="AI8" t="s">
        <v>30</v>
      </c>
      <c r="AJ8" t="s">
        <v>1636</v>
      </c>
      <c r="AK8" t="s">
        <v>1637</v>
      </c>
      <c r="AL8" s="4">
        <v>250</v>
      </c>
      <c r="AM8" t="s">
        <v>83</v>
      </c>
      <c r="AN8">
        <v>1.5134088019855925</v>
      </c>
      <c r="AO8" t="s">
        <v>1638</v>
      </c>
      <c r="AP8" t="s">
        <v>1639</v>
      </c>
      <c r="AQ8" t="s">
        <v>1640</v>
      </c>
      <c r="AR8" t="s">
        <v>1641</v>
      </c>
      <c r="AS8">
        <v>1</v>
      </c>
      <c r="AT8">
        <v>0</v>
      </c>
      <c r="AU8">
        <v>0</v>
      </c>
      <c r="AV8">
        <v>1</v>
      </c>
      <c r="AW8">
        <v>0</v>
      </c>
      <c r="AX8">
        <v>0</v>
      </c>
      <c r="AY8" t="s">
        <v>1642</v>
      </c>
    </row>
    <row r="9" spans="1:51">
      <c r="A9" t="s">
        <v>79</v>
      </c>
      <c r="B9" t="s">
        <v>105</v>
      </c>
      <c r="C9" t="s">
        <v>81</v>
      </c>
      <c r="D9" t="s">
        <v>33</v>
      </c>
      <c r="E9" t="s">
        <v>96</v>
      </c>
      <c r="F9">
        <v>250</v>
      </c>
      <c r="G9" t="s">
        <v>83</v>
      </c>
      <c r="H9" t="s">
        <v>84</v>
      </c>
      <c r="I9" t="s">
        <v>85</v>
      </c>
      <c r="J9" t="s">
        <v>86</v>
      </c>
      <c r="K9" t="s">
        <v>29</v>
      </c>
      <c r="L9" t="s">
        <v>30</v>
      </c>
      <c r="M9" t="s">
        <v>87</v>
      </c>
      <c r="N9" s="7">
        <v>6.7389999999999999</v>
      </c>
      <c r="O9" s="7">
        <v>0.30399999999999999</v>
      </c>
      <c r="P9" s="7">
        <v>3</v>
      </c>
      <c r="Q9" s="7">
        <v>10.260999999999999</v>
      </c>
      <c r="R9" s="7">
        <v>0.47799999999999998</v>
      </c>
      <c r="S9" s="7">
        <v>3</v>
      </c>
      <c r="T9" s="7">
        <v>0.52654344550093868</v>
      </c>
      <c r="U9" s="7">
        <v>0.82792028601792322</v>
      </c>
      <c r="V9" s="7">
        <v>0.42043875491599209</v>
      </c>
      <c r="W9" s="7">
        <v>4.205045134644406E-3</v>
      </c>
      <c r="X9" t="s">
        <v>88</v>
      </c>
      <c r="Y9" t="s">
        <v>89</v>
      </c>
      <c r="Z9" t="s">
        <v>90</v>
      </c>
      <c r="AA9" t="s">
        <v>103</v>
      </c>
      <c r="AB9" t="s">
        <v>92</v>
      </c>
      <c r="AC9" t="s">
        <v>79</v>
      </c>
      <c r="AD9" t="s">
        <v>79</v>
      </c>
      <c r="AE9" t="s">
        <v>1648</v>
      </c>
      <c r="AF9" t="s">
        <v>1651</v>
      </c>
      <c r="AG9" t="s">
        <v>1648</v>
      </c>
      <c r="AI9" t="s">
        <v>30</v>
      </c>
      <c r="AJ9" t="s">
        <v>1636</v>
      </c>
      <c r="AK9" t="s">
        <v>1637</v>
      </c>
      <c r="AL9" s="4">
        <v>250</v>
      </c>
      <c r="AM9" t="s">
        <v>83</v>
      </c>
      <c r="AN9">
        <v>2.1714583514288197</v>
      </c>
      <c r="AO9" t="s">
        <v>1638</v>
      </c>
      <c r="AP9" t="s">
        <v>1639</v>
      </c>
      <c r="AQ9" t="s">
        <v>1640</v>
      </c>
      <c r="AR9" t="s">
        <v>1641</v>
      </c>
      <c r="AS9">
        <v>1</v>
      </c>
      <c r="AT9">
        <v>0</v>
      </c>
      <c r="AU9">
        <v>0</v>
      </c>
      <c r="AV9">
        <v>1</v>
      </c>
      <c r="AW9">
        <v>0</v>
      </c>
      <c r="AX9">
        <v>0</v>
      </c>
      <c r="AY9" t="s">
        <v>1642</v>
      </c>
    </row>
    <row r="10" spans="1:51">
      <c r="A10" t="s">
        <v>79</v>
      </c>
      <c r="B10" t="s">
        <v>106</v>
      </c>
      <c r="C10" t="s">
        <v>81</v>
      </c>
      <c r="D10" t="s">
        <v>33</v>
      </c>
      <c r="E10" t="s">
        <v>98</v>
      </c>
      <c r="F10">
        <v>250</v>
      </c>
      <c r="G10" t="s">
        <v>83</v>
      </c>
      <c r="H10" t="s">
        <v>84</v>
      </c>
      <c r="I10" t="s">
        <v>85</v>
      </c>
      <c r="J10" t="s">
        <v>86</v>
      </c>
      <c r="K10" t="s">
        <v>29</v>
      </c>
      <c r="L10" t="s">
        <v>30</v>
      </c>
      <c r="M10" t="s">
        <v>87</v>
      </c>
      <c r="N10" s="7">
        <v>6.7389999999999999</v>
      </c>
      <c r="O10" s="7">
        <v>0.30399999999999999</v>
      </c>
      <c r="P10" s="7">
        <v>3</v>
      </c>
      <c r="Q10" s="7">
        <v>9.7829999999999995</v>
      </c>
      <c r="R10" s="7">
        <v>0.217</v>
      </c>
      <c r="S10" s="7">
        <v>3</v>
      </c>
      <c r="T10" s="7">
        <v>0.52654344550093868</v>
      </c>
      <c r="U10" s="7">
        <v>0.37585502524244635</v>
      </c>
      <c r="V10" s="7">
        <v>0.37273463951121177</v>
      </c>
      <c r="W10" s="7">
        <v>2.526973389828718E-3</v>
      </c>
      <c r="X10" t="s">
        <v>88</v>
      </c>
      <c r="Y10" t="s">
        <v>89</v>
      </c>
      <c r="Z10" t="s">
        <v>90</v>
      </c>
      <c r="AA10" t="s">
        <v>103</v>
      </c>
      <c r="AB10" t="s">
        <v>92</v>
      </c>
      <c r="AC10" t="s">
        <v>79</v>
      </c>
      <c r="AD10" t="s">
        <v>79</v>
      </c>
      <c r="AE10" t="s">
        <v>1648</v>
      </c>
      <c r="AF10" t="s">
        <v>1652</v>
      </c>
      <c r="AG10" t="s">
        <v>1648</v>
      </c>
      <c r="AI10" t="s">
        <v>30</v>
      </c>
      <c r="AJ10" t="s">
        <v>1636</v>
      </c>
      <c r="AK10" t="s">
        <v>1637</v>
      </c>
      <c r="AL10" s="4">
        <v>250</v>
      </c>
      <c r="AM10" t="s">
        <v>83</v>
      </c>
      <c r="AN10">
        <v>1.3797670953143109</v>
      </c>
      <c r="AO10" t="s">
        <v>1638</v>
      </c>
      <c r="AP10" t="s">
        <v>1639</v>
      </c>
      <c r="AQ10" t="s">
        <v>1640</v>
      </c>
      <c r="AR10" t="s">
        <v>1641</v>
      </c>
      <c r="AS10">
        <v>1</v>
      </c>
      <c r="AT10">
        <v>0</v>
      </c>
      <c r="AU10">
        <v>0</v>
      </c>
      <c r="AV10">
        <v>1</v>
      </c>
      <c r="AW10">
        <v>0</v>
      </c>
      <c r="AX10">
        <v>0</v>
      </c>
      <c r="AY10" t="s">
        <v>1642</v>
      </c>
    </row>
    <row r="11" spans="1:51">
      <c r="A11" t="s">
        <v>79</v>
      </c>
      <c r="B11" t="s">
        <v>107</v>
      </c>
      <c r="C11" t="s">
        <v>81</v>
      </c>
      <c r="D11" t="s">
        <v>33</v>
      </c>
      <c r="E11" t="s">
        <v>100</v>
      </c>
      <c r="F11">
        <v>1000</v>
      </c>
      <c r="G11" t="s">
        <v>101</v>
      </c>
      <c r="H11" t="s">
        <v>84</v>
      </c>
      <c r="I11" t="s">
        <v>85</v>
      </c>
      <c r="J11" t="s">
        <v>86</v>
      </c>
      <c r="K11" t="s">
        <v>29</v>
      </c>
      <c r="L11" t="s">
        <v>30</v>
      </c>
      <c r="M11" t="s">
        <v>87</v>
      </c>
      <c r="N11" s="7">
        <v>6.7389999999999999</v>
      </c>
      <c r="O11" s="7">
        <v>0.30399999999999999</v>
      </c>
      <c r="P11" s="7">
        <v>3</v>
      </c>
      <c r="Q11" s="7">
        <v>11.348000000000001</v>
      </c>
      <c r="R11" s="7">
        <v>0.39100000000000001</v>
      </c>
      <c r="S11" s="7">
        <v>3</v>
      </c>
      <c r="T11" s="7">
        <v>0.52654344550093868</v>
      </c>
      <c r="U11" s="7">
        <v>0.67723186575943106</v>
      </c>
      <c r="V11" s="7">
        <v>0.521129970982525</v>
      </c>
      <c r="W11" s="7">
        <v>3.2221370915484259E-3</v>
      </c>
      <c r="X11" t="s">
        <v>88</v>
      </c>
      <c r="Y11" t="s">
        <v>89</v>
      </c>
      <c r="Z11" t="s">
        <v>90</v>
      </c>
      <c r="AA11" t="s">
        <v>103</v>
      </c>
      <c r="AB11" t="s">
        <v>92</v>
      </c>
      <c r="AC11" t="s">
        <v>79</v>
      </c>
      <c r="AD11" t="s">
        <v>79</v>
      </c>
      <c r="AE11" t="s">
        <v>1648</v>
      </c>
      <c r="AF11" t="s">
        <v>1653</v>
      </c>
      <c r="AG11" t="s">
        <v>1648</v>
      </c>
      <c r="AI11" t="s">
        <v>30</v>
      </c>
      <c r="AJ11" t="s">
        <v>1636</v>
      </c>
      <c r="AK11" t="s">
        <v>1637</v>
      </c>
      <c r="AL11" s="4">
        <v>1000</v>
      </c>
      <c r="AM11" t="s">
        <v>101</v>
      </c>
      <c r="AO11" t="s">
        <v>1647</v>
      </c>
      <c r="AP11" t="s">
        <v>1639</v>
      </c>
      <c r="AQ11" t="s">
        <v>1640</v>
      </c>
      <c r="AR11" t="s">
        <v>1641</v>
      </c>
      <c r="AS11">
        <v>1</v>
      </c>
      <c r="AT11">
        <v>0</v>
      </c>
      <c r="AU11">
        <v>0</v>
      </c>
      <c r="AV11">
        <v>1</v>
      </c>
      <c r="AW11">
        <v>0</v>
      </c>
      <c r="AX11">
        <v>0</v>
      </c>
      <c r="AY11" t="s">
        <v>1642</v>
      </c>
    </row>
    <row r="12" spans="1:51">
      <c r="A12" t="s">
        <v>79</v>
      </c>
      <c r="B12" t="s">
        <v>108</v>
      </c>
      <c r="C12" t="s">
        <v>81</v>
      </c>
      <c r="D12" t="s">
        <v>32</v>
      </c>
      <c r="E12" t="s">
        <v>82</v>
      </c>
      <c r="F12">
        <v>250</v>
      </c>
      <c r="G12" t="s">
        <v>83</v>
      </c>
      <c r="H12" t="s">
        <v>84</v>
      </c>
      <c r="I12" t="s">
        <v>85</v>
      </c>
      <c r="J12" t="s">
        <v>86</v>
      </c>
      <c r="K12" t="s">
        <v>29</v>
      </c>
      <c r="L12" t="s">
        <v>40</v>
      </c>
      <c r="M12" t="s">
        <v>87</v>
      </c>
      <c r="N12" s="7">
        <v>9.4789999999999992</v>
      </c>
      <c r="O12" s="7">
        <v>0.46</v>
      </c>
      <c r="P12" s="7">
        <v>3</v>
      </c>
      <c r="Q12" s="7">
        <v>21.626000000000001</v>
      </c>
      <c r="R12" s="7">
        <v>0.27600000000000002</v>
      </c>
      <c r="S12" s="7">
        <v>3</v>
      </c>
      <c r="T12" s="7">
        <v>0.7967433714816835</v>
      </c>
      <c r="U12" s="7">
        <v>0.47804602288901016</v>
      </c>
      <c r="V12" s="7">
        <v>0.82481746905244091</v>
      </c>
      <c r="W12" s="7">
        <v>2.5178776545309862E-3</v>
      </c>
      <c r="X12" t="s">
        <v>88</v>
      </c>
      <c r="Y12" t="s">
        <v>89</v>
      </c>
      <c r="Z12" t="s">
        <v>90</v>
      </c>
      <c r="AA12" t="s">
        <v>109</v>
      </c>
      <c r="AB12" t="s">
        <v>92</v>
      </c>
      <c r="AC12" t="s">
        <v>79</v>
      </c>
      <c r="AD12" t="s">
        <v>79</v>
      </c>
      <c r="AE12" t="s">
        <v>1634</v>
      </c>
      <c r="AF12" t="s">
        <v>1635</v>
      </c>
      <c r="AG12" t="s">
        <v>1634</v>
      </c>
      <c r="AI12" t="s">
        <v>40</v>
      </c>
      <c r="AJ12" t="s">
        <v>1636</v>
      </c>
      <c r="AK12" t="s">
        <v>1637</v>
      </c>
      <c r="AL12" s="4">
        <v>250</v>
      </c>
      <c r="AM12" t="s">
        <v>83</v>
      </c>
      <c r="AN12">
        <v>1.6754909188392197</v>
      </c>
      <c r="AO12" t="s">
        <v>1638</v>
      </c>
      <c r="AP12" t="s">
        <v>1639</v>
      </c>
      <c r="AQ12" t="s">
        <v>1640</v>
      </c>
      <c r="AR12" t="s">
        <v>1641</v>
      </c>
      <c r="AS12">
        <v>1</v>
      </c>
      <c r="AT12">
        <v>0</v>
      </c>
      <c r="AU12">
        <v>0</v>
      </c>
      <c r="AV12">
        <v>1</v>
      </c>
      <c r="AW12">
        <v>0</v>
      </c>
      <c r="AX12">
        <v>0</v>
      </c>
      <c r="AY12" t="s">
        <v>1642</v>
      </c>
    </row>
    <row r="13" spans="1:51">
      <c r="A13" t="s">
        <v>79</v>
      </c>
      <c r="B13" t="s">
        <v>110</v>
      </c>
      <c r="C13" t="s">
        <v>81</v>
      </c>
      <c r="D13" t="s">
        <v>32</v>
      </c>
      <c r="E13" t="s">
        <v>94</v>
      </c>
      <c r="F13">
        <v>250</v>
      </c>
      <c r="G13" t="s">
        <v>83</v>
      </c>
      <c r="H13" t="s">
        <v>84</v>
      </c>
      <c r="I13" t="s">
        <v>85</v>
      </c>
      <c r="J13" t="s">
        <v>86</v>
      </c>
      <c r="K13" t="s">
        <v>29</v>
      </c>
      <c r="L13" t="s">
        <v>40</v>
      </c>
      <c r="M13" t="s">
        <v>87</v>
      </c>
      <c r="N13" s="7">
        <v>9.4789999999999992</v>
      </c>
      <c r="O13" s="7">
        <v>0.46</v>
      </c>
      <c r="P13" s="7">
        <v>3</v>
      </c>
      <c r="Q13" s="7">
        <v>19.509</v>
      </c>
      <c r="R13" s="7">
        <v>0.184</v>
      </c>
      <c r="S13" s="7">
        <v>3</v>
      </c>
      <c r="T13" s="7">
        <v>0.7967433714816835</v>
      </c>
      <c r="U13" s="7">
        <v>0.3186973485926734</v>
      </c>
      <c r="V13" s="7">
        <v>0.72179707208421995</v>
      </c>
      <c r="W13" s="7">
        <v>2.4439524323668295E-3</v>
      </c>
      <c r="X13" t="s">
        <v>88</v>
      </c>
      <c r="Y13" t="s">
        <v>89</v>
      </c>
      <c r="Z13" t="s">
        <v>90</v>
      </c>
      <c r="AA13" t="s">
        <v>109</v>
      </c>
      <c r="AB13" t="s">
        <v>92</v>
      </c>
      <c r="AC13" t="s">
        <v>79</v>
      </c>
      <c r="AD13" t="s">
        <v>79</v>
      </c>
      <c r="AE13" t="s">
        <v>1634</v>
      </c>
      <c r="AF13" t="s">
        <v>1643</v>
      </c>
      <c r="AG13" t="s">
        <v>1634</v>
      </c>
      <c r="AI13" t="s">
        <v>40</v>
      </c>
      <c r="AJ13" t="s">
        <v>1636</v>
      </c>
      <c r="AK13" t="s">
        <v>1637</v>
      </c>
      <c r="AL13" s="4">
        <v>250</v>
      </c>
      <c r="AM13" t="s">
        <v>83</v>
      </c>
      <c r="AN13">
        <v>1.5134088019855925</v>
      </c>
      <c r="AO13" t="s">
        <v>1638</v>
      </c>
      <c r="AP13" t="s">
        <v>1639</v>
      </c>
      <c r="AQ13" t="s">
        <v>1640</v>
      </c>
      <c r="AR13" t="s">
        <v>1641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 t="s">
        <v>1642</v>
      </c>
    </row>
    <row r="14" spans="1:51">
      <c r="A14" t="s">
        <v>79</v>
      </c>
      <c r="B14" t="s">
        <v>111</v>
      </c>
      <c r="C14" t="s">
        <v>81</v>
      </c>
      <c r="D14" t="s">
        <v>32</v>
      </c>
      <c r="E14" t="s">
        <v>96</v>
      </c>
      <c r="F14">
        <v>250</v>
      </c>
      <c r="G14" t="s">
        <v>83</v>
      </c>
      <c r="H14" t="s">
        <v>84</v>
      </c>
      <c r="I14" t="s">
        <v>85</v>
      </c>
      <c r="J14" t="s">
        <v>86</v>
      </c>
      <c r="K14" t="s">
        <v>29</v>
      </c>
      <c r="L14" t="s">
        <v>40</v>
      </c>
      <c r="M14" t="s">
        <v>87</v>
      </c>
      <c r="N14" s="7">
        <v>9.4789999999999992</v>
      </c>
      <c r="O14" s="7">
        <v>0.46</v>
      </c>
      <c r="P14" s="7">
        <v>3</v>
      </c>
      <c r="Q14" s="7">
        <v>18.129000000000001</v>
      </c>
      <c r="R14" s="7">
        <v>0.184</v>
      </c>
      <c r="S14" s="7">
        <v>3</v>
      </c>
      <c r="T14" s="7">
        <v>0.7967433714816835</v>
      </c>
      <c r="U14" s="7">
        <v>0.3186973485926734</v>
      </c>
      <c r="V14" s="7">
        <v>0.64843404057662668</v>
      </c>
      <c r="W14" s="7">
        <v>2.4580104328837523E-3</v>
      </c>
      <c r="X14" t="s">
        <v>88</v>
      </c>
      <c r="Y14" t="s">
        <v>89</v>
      </c>
      <c r="Z14" t="s">
        <v>90</v>
      </c>
      <c r="AA14" t="s">
        <v>109</v>
      </c>
      <c r="AB14" t="s">
        <v>92</v>
      </c>
      <c r="AC14" t="s">
        <v>79</v>
      </c>
      <c r="AD14" t="s">
        <v>79</v>
      </c>
      <c r="AE14" t="s">
        <v>1634</v>
      </c>
      <c r="AF14" t="s">
        <v>1644</v>
      </c>
      <c r="AG14" t="s">
        <v>1634</v>
      </c>
      <c r="AI14" t="s">
        <v>40</v>
      </c>
      <c r="AJ14" t="s">
        <v>1636</v>
      </c>
      <c r="AK14" t="s">
        <v>1637</v>
      </c>
      <c r="AL14" s="4">
        <v>250</v>
      </c>
      <c r="AM14" t="s">
        <v>83</v>
      </c>
      <c r="AN14">
        <v>2.1714583514288197</v>
      </c>
      <c r="AO14" t="s">
        <v>1638</v>
      </c>
      <c r="AP14" t="s">
        <v>1639</v>
      </c>
      <c r="AQ14" t="s">
        <v>1640</v>
      </c>
      <c r="AR14" t="s">
        <v>1641</v>
      </c>
      <c r="AS14">
        <v>1</v>
      </c>
      <c r="AT14">
        <v>0</v>
      </c>
      <c r="AU14">
        <v>0</v>
      </c>
      <c r="AV14">
        <v>1</v>
      </c>
      <c r="AW14">
        <v>0</v>
      </c>
      <c r="AX14">
        <v>0</v>
      </c>
      <c r="AY14" t="s">
        <v>1642</v>
      </c>
    </row>
    <row r="15" spans="1:51">
      <c r="A15" t="s">
        <v>79</v>
      </c>
      <c r="B15" t="s">
        <v>112</v>
      </c>
      <c r="C15" t="s">
        <v>81</v>
      </c>
      <c r="D15" t="s">
        <v>32</v>
      </c>
      <c r="E15" t="s">
        <v>98</v>
      </c>
      <c r="F15">
        <v>250</v>
      </c>
      <c r="G15" t="s">
        <v>83</v>
      </c>
      <c r="H15" t="s">
        <v>84</v>
      </c>
      <c r="I15" t="s">
        <v>85</v>
      </c>
      <c r="J15" t="s">
        <v>86</v>
      </c>
      <c r="K15" t="s">
        <v>29</v>
      </c>
      <c r="L15" t="s">
        <v>40</v>
      </c>
      <c r="M15" t="s">
        <v>87</v>
      </c>
      <c r="N15" s="7">
        <v>9.4789999999999992</v>
      </c>
      <c r="O15" s="7">
        <v>0.46</v>
      </c>
      <c r="P15" s="7">
        <v>3</v>
      </c>
      <c r="Q15" s="7">
        <v>18.312999999999999</v>
      </c>
      <c r="R15" s="7">
        <v>0.46</v>
      </c>
      <c r="S15" s="7">
        <v>3</v>
      </c>
      <c r="T15" s="7">
        <v>0.7967433714816835</v>
      </c>
      <c r="U15" s="7">
        <v>0.7967433714816835</v>
      </c>
      <c r="V15" s="7">
        <v>0.65853236468790699</v>
      </c>
      <c r="W15" s="7">
        <v>2.9859509125781552E-3</v>
      </c>
      <c r="X15" t="s">
        <v>88</v>
      </c>
      <c r="Y15" t="s">
        <v>89</v>
      </c>
      <c r="Z15" t="s">
        <v>90</v>
      </c>
      <c r="AA15" t="s">
        <v>109</v>
      </c>
      <c r="AB15" t="s">
        <v>92</v>
      </c>
      <c r="AC15" t="s">
        <v>79</v>
      </c>
      <c r="AD15" t="s">
        <v>79</v>
      </c>
      <c r="AE15" t="s">
        <v>1634</v>
      </c>
      <c r="AF15" t="s">
        <v>1645</v>
      </c>
      <c r="AG15" t="s">
        <v>1634</v>
      </c>
      <c r="AI15" t="s">
        <v>40</v>
      </c>
      <c r="AJ15" t="s">
        <v>1636</v>
      </c>
      <c r="AK15" t="s">
        <v>1637</v>
      </c>
      <c r="AL15" s="4">
        <v>250</v>
      </c>
      <c r="AM15" t="s">
        <v>83</v>
      </c>
      <c r="AN15">
        <v>1.3797670953143109</v>
      </c>
      <c r="AO15" t="s">
        <v>1638</v>
      </c>
      <c r="AP15" t="s">
        <v>1639</v>
      </c>
      <c r="AQ15" t="s">
        <v>1640</v>
      </c>
      <c r="AR15" t="s">
        <v>1641</v>
      </c>
      <c r="AS15">
        <v>1</v>
      </c>
      <c r="AT15">
        <v>0</v>
      </c>
      <c r="AU15">
        <v>0</v>
      </c>
      <c r="AV15">
        <v>1</v>
      </c>
      <c r="AW15">
        <v>0</v>
      </c>
      <c r="AX15">
        <v>0</v>
      </c>
      <c r="AY15" t="s">
        <v>1642</v>
      </c>
    </row>
    <row r="16" spans="1:51">
      <c r="A16" t="s">
        <v>79</v>
      </c>
      <c r="B16" t="s">
        <v>113</v>
      </c>
      <c r="C16" t="s">
        <v>81</v>
      </c>
      <c r="D16" t="s">
        <v>32</v>
      </c>
      <c r="E16" t="s">
        <v>100</v>
      </c>
      <c r="F16">
        <v>1000</v>
      </c>
      <c r="G16" t="s">
        <v>101</v>
      </c>
      <c r="H16" t="s">
        <v>84</v>
      </c>
      <c r="I16" t="s">
        <v>85</v>
      </c>
      <c r="J16" t="s">
        <v>86</v>
      </c>
      <c r="K16" t="s">
        <v>29</v>
      </c>
      <c r="L16" t="s">
        <v>40</v>
      </c>
      <c r="M16" t="s">
        <v>87</v>
      </c>
      <c r="N16" s="7">
        <v>9.4789999999999992</v>
      </c>
      <c r="O16" s="7">
        <v>0.46</v>
      </c>
      <c r="P16" s="7">
        <v>3</v>
      </c>
      <c r="Q16" s="7">
        <v>22.454000000000001</v>
      </c>
      <c r="R16" s="7">
        <v>0.184</v>
      </c>
      <c r="S16" s="7">
        <v>3</v>
      </c>
      <c r="T16" s="7">
        <v>0.7967433714816835</v>
      </c>
      <c r="U16" s="7">
        <v>0.3186973485926734</v>
      </c>
      <c r="V16" s="7">
        <v>0.86238994656568335</v>
      </c>
      <c r="W16" s="7">
        <v>2.422148741293048E-3</v>
      </c>
      <c r="X16" t="s">
        <v>88</v>
      </c>
      <c r="Y16" t="s">
        <v>89</v>
      </c>
      <c r="Z16" t="s">
        <v>90</v>
      </c>
      <c r="AA16" t="s">
        <v>109</v>
      </c>
      <c r="AB16" t="s">
        <v>92</v>
      </c>
      <c r="AC16" t="s">
        <v>79</v>
      </c>
      <c r="AD16" t="s">
        <v>79</v>
      </c>
      <c r="AE16" t="s">
        <v>1634</v>
      </c>
      <c r="AF16" t="s">
        <v>1646</v>
      </c>
      <c r="AG16" t="s">
        <v>1634</v>
      </c>
      <c r="AI16" t="s">
        <v>40</v>
      </c>
      <c r="AJ16" t="s">
        <v>1636</v>
      </c>
      <c r="AK16" t="s">
        <v>1637</v>
      </c>
      <c r="AL16" s="4">
        <v>1000</v>
      </c>
      <c r="AM16" t="s">
        <v>101</v>
      </c>
      <c r="AO16" t="s">
        <v>1647</v>
      </c>
      <c r="AP16" t="s">
        <v>1639</v>
      </c>
      <c r="AQ16" t="s">
        <v>1640</v>
      </c>
      <c r="AR16" t="s">
        <v>1641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0</v>
      </c>
      <c r="AY16" t="s">
        <v>1642</v>
      </c>
    </row>
    <row r="17" spans="1:51">
      <c r="A17" t="s">
        <v>79</v>
      </c>
      <c r="B17" t="s">
        <v>114</v>
      </c>
      <c r="C17" t="s">
        <v>81</v>
      </c>
      <c r="D17" t="s">
        <v>33</v>
      </c>
      <c r="E17" t="s">
        <v>82</v>
      </c>
      <c r="F17">
        <v>250</v>
      </c>
      <c r="G17" t="s">
        <v>83</v>
      </c>
      <c r="H17" t="s">
        <v>84</v>
      </c>
      <c r="I17" t="s">
        <v>85</v>
      </c>
      <c r="J17" t="s">
        <v>86</v>
      </c>
      <c r="K17" t="s">
        <v>29</v>
      </c>
      <c r="L17" t="s">
        <v>40</v>
      </c>
      <c r="M17" t="s">
        <v>87</v>
      </c>
      <c r="N17" s="7">
        <v>8.9260000000000002</v>
      </c>
      <c r="O17" s="7">
        <v>1.012</v>
      </c>
      <c r="P17" s="7">
        <v>3</v>
      </c>
      <c r="Q17" s="7">
        <v>19.233000000000001</v>
      </c>
      <c r="R17" s="7">
        <v>0.27600000000000002</v>
      </c>
      <c r="S17" s="7">
        <v>3</v>
      </c>
      <c r="T17" s="7">
        <v>1.7528354172597038</v>
      </c>
      <c r="U17" s="7">
        <v>0.47804602288901016</v>
      </c>
      <c r="V17" s="7">
        <v>0.7676591874661518</v>
      </c>
      <c r="W17" s="7">
        <v>1.3060197451619945E-2</v>
      </c>
      <c r="X17" t="s">
        <v>88</v>
      </c>
      <c r="Y17" t="s">
        <v>89</v>
      </c>
      <c r="Z17" t="s">
        <v>90</v>
      </c>
      <c r="AA17" t="s">
        <v>115</v>
      </c>
      <c r="AB17" t="s">
        <v>92</v>
      </c>
      <c r="AC17" t="s">
        <v>79</v>
      </c>
      <c r="AD17" t="s">
        <v>79</v>
      </c>
      <c r="AE17" t="s">
        <v>1648</v>
      </c>
      <c r="AF17" t="s">
        <v>1649</v>
      </c>
      <c r="AG17" t="s">
        <v>1648</v>
      </c>
      <c r="AI17" t="s">
        <v>40</v>
      </c>
      <c r="AJ17" t="s">
        <v>1636</v>
      </c>
      <c r="AK17" t="s">
        <v>1637</v>
      </c>
      <c r="AL17" s="4">
        <v>250</v>
      </c>
      <c r="AM17" t="s">
        <v>83</v>
      </c>
      <c r="AN17">
        <v>1.6754909188392197</v>
      </c>
      <c r="AO17" t="s">
        <v>1638</v>
      </c>
      <c r="AP17" t="s">
        <v>1639</v>
      </c>
      <c r="AQ17" t="s">
        <v>1640</v>
      </c>
      <c r="AR17" t="s">
        <v>1641</v>
      </c>
      <c r="AS17">
        <v>1</v>
      </c>
      <c r="AT17">
        <v>0</v>
      </c>
      <c r="AU17">
        <v>0</v>
      </c>
      <c r="AV17">
        <v>1</v>
      </c>
      <c r="AW17">
        <v>0</v>
      </c>
      <c r="AX17">
        <v>0</v>
      </c>
      <c r="AY17" t="s">
        <v>1642</v>
      </c>
    </row>
    <row r="18" spans="1:51">
      <c r="A18" t="s">
        <v>79</v>
      </c>
      <c r="B18" t="s">
        <v>116</v>
      </c>
      <c r="C18" t="s">
        <v>81</v>
      </c>
      <c r="D18" t="s">
        <v>33</v>
      </c>
      <c r="E18" t="s">
        <v>94</v>
      </c>
      <c r="F18">
        <v>250</v>
      </c>
      <c r="G18" t="s">
        <v>83</v>
      </c>
      <c r="H18" t="s">
        <v>84</v>
      </c>
      <c r="I18" t="s">
        <v>85</v>
      </c>
      <c r="J18" t="s">
        <v>86</v>
      </c>
      <c r="K18" t="s">
        <v>29</v>
      </c>
      <c r="L18" t="s">
        <v>40</v>
      </c>
      <c r="M18" t="s">
        <v>87</v>
      </c>
      <c r="N18" s="7">
        <v>8.9260000000000002</v>
      </c>
      <c r="O18" s="7">
        <v>1.012</v>
      </c>
      <c r="P18" s="7">
        <v>3</v>
      </c>
      <c r="Q18" s="7">
        <v>20.428999999999998</v>
      </c>
      <c r="R18" s="7">
        <v>0.27600000000000002</v>
      </c>
      <c r="S18" s="7">
        <v>3</v>
      </c>
      <c r="T18" s="7">
        <v>1.7528354172597038</v>
      </c>
      <c r="U18" s="7">
        <v>0.47804602288901016</v>
      </c>
      <c r="V18" s="7">
        <v>0.82798709379843816</v>
      </c>
      <c r="W18" s="7">
        <v>1.3036790994957026E-2</v>
      </c>
      <c r="X18" t="s">
        <v>88</v>
      </c>
      <c r="Y18" t="s">
        <v>89</v>
      </c>
      <c r="Z18" t="s">
        <v>90</v>
      </c>
      <c r="AA18" t="s">
        <v>115</v>
      </c>
      <c r="AB18" t="s">
        <v>92</v>
      </c>
      <c r="AC18" t="s">
        <v>79</v>
      </c>
      <c r="AD18" t="s">
        <v>79</v>
      </c>
      <c r="AE18" t="s">
        <v>1648</v>
      </c>
      <c r="AF18" t="s">
        <v>1650</v>
      </c>
      <c r="AG18" t="s">
        <v>1648</v>
      </c>
      <c r="AI18" t="s">
        <v>40</v>
      </c>
      <c r="AJ18" t="s">
        <v>1636</v>
      </c>
      <c r="AK18" t="s">
        <v>1637</v>
      </c>
      <c r="AL18" s="4">
        <v>250</v>
      </c>
      <c r="AM18" t="s">
        <v>83</v>
      </c>
      <c r="AN18">
        <v>1.5134088019855925</v>
      </c>
      <c r="AO18" t="s">
        <v>1638</v>
      </c>
      <c r="AP18" t="s">
        <v>1639</v>
      </c>
      <c r="AQ18" t="s">
        <v>1640</v>
      </c>
      <c r="AR18" t="s">
        <v>1641</v>
      </c>
      <c r="AS18">
        <v>1</v>
      </c>
      <c r="AT18">
        <v>0</v>
      </c>
      <c r="AU18">
        <v>0</v>
      </c>
      <c r="AV18">
        <v>1</v>
      </c>
      <c r="AW18">
        <v>0</v>
      </c>
      <c r="AX18">
        <v>0</v>
      </c>
      <c r="AY18" t="s">
        <v>1642</v>
      </c>
    </row>
    <row r="19" spans="1:51">
      <c r="A19" t="s">
        <v>79</v>
      </c>
      <c r="B19" t="s">
        <v>117</v>
      </c>
      <c r="C19" t="s">
        <v>81</v>
      </c>
      <c r="D19" t="s">
        <v>33</v>
      </c>
      <c r="E19" t="s">
        <v>96</v>
      </c>
      <c r="F19">
        <v>250</v>
      </c>
      <c r="G19" t="s">
        <v>83</v>
      </c>
      <c r="H19" t="s">
        <v>84</v>
      </c>
      <c r="I19" t="s">
        <v>85</v>
      </c>
      <c r="J19" t="s">
        <v>86</v>
      </c>
      <c r="K19" t="s">
        <v>29</v>
      </c>
      <c r="L19" t="s">
        <v>40</v>
      </c>
      <c r="M19" t="s">
        <v>87</v>
      </c>
      <c r="N19" s="7">
        <v>8.9260000000000002</v>
      </c>
      <c r="O19" s="7">
        <v>1.012</v>
      </c>
      <c r="P19" s="7">
        <v>3</v>
      </c>
      <c r="Q19" s="7">
        <v>17.484999999999999</v>
      </c>
      <c r="R19" s="7">
        <v>0.27600000000000002</v>
      </c>
      <c r="S19" s="7">
        <v>3</v>
      </c>
      <c r="T19" s="7">
        <v>1.7528354172597038</v>
      </c>
      <c r="U19" s="7">
        <v>0.47804602288901016</v>
      </c>
      <c r="V19" s="7">
        <v>0.67237500430826092</v>
      </c>
      <c r="W19" s="7">
        <v>1.3103430242623662E-2</v>
      </c>
      <c r="X19" t="s">
        <v>88</v>
      </c>
      <c r="Y19" t="s">
        <v>89</v>
      </c>
      <c r="Z19" t="s">
        <v>90</v>
      </c>
      <c r="AA19" t="s">
        <v>115</v>
      </c>
      <c r="AB19" t="s">
        <v>92</v>
      </c>
      <c r="AC19" t="s">
        <v>79</v>
      </c>
      <c r="AD19" t="s">
        <v>79</v>
      </c>
      <c r="AE19" t="s">
        <v>1648</v>
      </c>
      <c r="AF19" t="s">
        <v>1651</v>
      </c>
      <c r="AG19" t="s">
        <v>1648</v>
      </c>
      <c r="AI19" t="s">
        <v>40</v>
      </c>
      <c r="AJ19" t="s">
        <v>1636</v>
      </c>
      <c r="AK19" t="s">
        <v>1637</v>
      </c>
      <c r="AL19" s="4">
        <v>250</v>
      </c>
      <c r="AM19" t="s">
        <v>83</v>
      </c>
      <c r="AN19">
        <v>2.1714583514288197</v>
      </c>
      <c r="AO19" t="s">
        <v>1638</v>
      </c>
      <c r="AP19" t="s">
        <v>1639</v>
      </c>
      <c r="AQ19" t="s">
        <v>1640</v>
      </c>
      <c r="AR19" t="s">
        <v>1641</v>
      </c>
      <c r="AS19">
        <v>1</v>
      </c>
      <c r="AT19">
        <v>0</v>
      </c>
      <c r="AU19">
        <v>0</v>
      </c>
      <c r="AV19">
        <v>1</v>
      </c>
      <c r="AW19">
        <v>0</v>
      </c>
      <c r="AX19">
        <v>0</v>
      </c>
      <c r="AY19" t="s">
        <v>1642</v>
      </c>
    </row>
    <row r="20" spans="1:51">
      <c r="A20" t="s">
        <v>79</v>
      </c>
      <c r="B20" t="s">
        <v>118</v>
      </c>
      <c r="C20" t="s">
        <v>81</v>
      </c>
      <c r="D20" t="s">
        <v>33</v>
      </c>
      <c r="E20" t="s">
        <v>98</v>
      </c>
      <c r="F20">
        <v>250</v>
      </c>
      <c r="G20" t="s">
        <v>83</v>
      </c>
      <c r="H20" t="s">
        <v>84</v>
      </c>
      <c r="I20" t="s">
        <v>85</v>
      </c>
      <c r="J20" t="s">
        <v>86</v>
      </c>
      <c r="K20" t="s">
        <v>29</v>
      </c>
      <c r="L20" t="s">
        <v>40</v>
      </c>
      <c r="M20" t="s">
        <v>87</v>
      </c>
      <c r="N20" s="7">
        <v>8.9260000000000002</v>
      </c>
      <c r="O20" s="7">
        <v>1.012</v>
      </c>
      <c r="P20" s="7">
        <v>3</v>
      </c>
      <c r="Q20" s="7">
        <v>17.760999999999999</v>
      </c>
      <c r="R20" s="7">
        <v>0.36799999999999999</v>
      </c>
      <c r="S20" s="7">
        <v>3</v>
      </c>
      <c r="T20" s="7">
        <v>1.7528354172597038</v>
      </c>
      <c r="U20" s="7">
        <v>0.6373946971853468</v>
      </c>
      <c r="V20" s="7">
        <v>0.68803667607811148</v>
      </c>
      <c r="W20" s="7">
        <v>1.3283565247883289E-2</v>
      </c>
      <c r="X20" t="s">
        <v>88</v>
      </c>
      <c r="Y20" t="s">
        <v>89</v>
      </c>
      <c r="Z20" t="s">
        <v>90</v>
      </c>
      <c r="AA20" t="s">
        <v>115</v>
      </c>
      <c r="AB20" t="s">
        <v>92</v>
      </c>
      <c r="AC20" t="s">
        <v>79</v>
      </c>
      <c r="AD20" t="s">
        <v>79</v>
      </c>
      <c r="AE20" t="s">
        <v>1648</v>
      </c>
      <c r="AF20" t="s">
        <v>1652</v>
      </c>
      <c r="AG20" t="s">
        <v>1648</v>
      </c>
      <c r="AI20" t="s">
        <v>40</v>
      </c>
      <c r="AJ20" t="s">
        <v>1636</v>
      </c>
      <c r="AK20" t="s">
        <v>1637</v>
      </c>
      <c r="AL20" s="4">
        <v>250</v>
      </c>
      <c r="AM20" t="s">
        <v>83</v>
      </c>
      <c r="AN20">
        <v>1.3797670953143109</v>
      </c>
      <c r="AO20" t="s">
        <v>1638</v>
      </c>
      <c r="AP20" t="s">
        <v>1639</v>
      </c>
      <c r="AQ20" t="s">
        <v>1640</v>
      </c>
      <c r="AR20" t="s">
        <v>1641</v>
      </c>
      <c r="AS20">
        <v>1</v>
      </c>
      <c r="AT20">
        <v>0</v>
      </c>
      <c r="AU20">
        <v>0</v>
      </c>
      <c r="AV20">
        <v>1</v>
      </c>
      <c r="AW20">
        <v>0</v>
      </c>
      <c r="AX20">
        <v>0</v>
      </c>
      <c r="AY20" t="s">
        <v>1642</v>
      </c>
    </row>
    <row r="21" spans="1:51">
      <c r="A21" t="s">
        <v>79</v>
      </c>
      <c r="B21" t="s">
        <v>119</v>
      </c>
      <c r="C21" t="s">
        <v>81</v>
      </c>
      <c r="D21" t="s">
        <v>33</v>
      </c>
      <c r="E21" t="s">
        <v>100</v>
      </c>
      <c r="F21">
        <v>1000</v>
      </c>
      <c r="G21" t="s">
        <v>101</v>
      </c>
      <c r="H21" t="s">
        <v>84</v>
      </c>
      <c r="I21" t="s">
        <v>85</v>
      </c>
      <c r="J21" t="s">
        <v>86</v>
      </c>
      <c r="K21" t="s">
        <v>29</v>
      </c>
      <c r="L21" t="s">
        <v>40</v>
      </c>
      <c r="M21" t="s">
        <v>87</v>
      </c>
      <c r="N21" s="7">
        <v>8.9260000000000002</v>
      </c>
      <c r="O21" s="7">
        <v>1.012</v>
      </c>
      <c r="P21" s="7">
        <v>3</v>
      </c>
      <c r="Q21" s="7">
        <v>23.19</v>
      </c>
      <c r="R21" s="7">
        <v>0.82799999999999996</v>
      </c>
      <c r="S21" s="7">
        <v>3</v>
      </c>
      <c r="T21" s="7">
        <v>1.7528354172597038</v>
      </c>
      <c r="U21" s="7">
        <v>1.4341380686670302</v>
      </c>
      <c r="V21" s="7">
        <v>0.95475278506036221</v>
      </c>
      <c r="W21" s="7">
        <v>1.4129115584957785E-2</v>
      </c>
      <c r="X21" t="s">
        <v>88</v>
      </c>
      <c r="Y21" t="s">
        <v>89</v>
      </c>
      <c r="Z21" t="s">
        <v>90</v>
      </c>
      <c r="AA21" t="s">
        <v>115</v>
      </c>
      <c r="AB21" t="s">
        <v>92</v>
      </c>
      <c r="AC21" t="s">
        <v>79</v>
      </c>
      <c r="AD21" t="s">
        <v>79</v>
      </c>
      <c r="AE21" t="s">
        <v>1648</v>
      </c>
      <c r="AF21" t="s">
        <v>1653</v>
      </c>
      <c r="AG21" t="s">
        <v>1648</v>
      </c>
      <c r="AI21" t="s">
        <v>40</v>
      </c>
      <c r="AJ21" t="s">
        <v>1636</v>
      </c>
      <c r="AK21" t="s">
        <v>1637</v>
      </c>
      <c r="AL21" s="4">
        <v>1000</v>
      </c>
      <c r="AM21" t="s">
        <v>101</v>
      </c>
      <c r="AO21" t="s">
        <v>1647</v>
      </c>
      <c r="AP21" t="s">
        <v>1639</v>
      </c>
      <c r="AQ21" t="s">
        <v>1640</v>
      </c>
      <c r="AR21" t="s">
        <v>1641</v>
      </c>
      <c r="AS21">
        <v>1</v>
      </c>
      <c r="AT21">
        <v>0</v>
      </c>
      <c r="AU21">
        <v>0</v>
      </c>
      <c r="AV21">
        <v>1</v>
      </c>
      <c r="AW21">
        <v>0</v>
      </c>
      <c r="AX21">
        <v>0</v>
      </c>
      <c r="AY21" t="s">
        <v>1642</v>
      </c>
    </row>
    <row r="22" spans="1:51">
      <c r="A22" t="s">
        <v>79</v>
      </c>
      <c r="B22" t="s">
        <v>120</v>
      </c>
      <c r="C22" t="s">
        <v>81</v>
      </c>
      <c r="D22" t="s">
        <v>32</v>
      </c>
      <c r="E22" t="s">
        <v>82</v>
      </c>
      <c r="F22">
        <v>250</v>
      </c>
      <c r="G22" t="s">
        <v>83</v>
      </c>
      <c r="H22" t="s">
        <v>84</v>
      </c>
      <c r="I22" t="s">
        <v>85</v>
      </c>
      <c r="J22" t="s">
        <v>86</v>
      </c>
      <c r="K22" t="s">
        <v>41</v>
      </c>
      <c r="L22" t="s">
        <v>30</v>
      </c>
      <c r="M22" t="s">
        <v>87</v>
      </c>
      <c r="N22" s="7">
        <v>6.5019999999999998</v>
      </c>
      <c r="O22" s="7">
        <v>0.23699999999999999</v>
      </c>
      <c r="P22" s="7">
        <v>3</v>
      </c>
      <c r="Q22" s="7">
        <v>8.7319999999999993</v>
      </c>
      <c r="R22" s="7">
        <v>0.42699999999999999</v>
      </c>
      <c r="S22" s="7">
        <v>3</v>
      </c>
      <c r="T22" s="7">
        <v>0.4104960413938239</v>
      </c>
      <c r="U22" s="7">
        <v>0.7395856948319105</v>
      </c>
      <c r="V22" s="7">
        <v>0.29488461680598377</v>
      </c>
      <c r="W22" s="7">
        <v>3.7198942864748218E-3</v>
      </c>
      <c r="X22" t="s">
        <v>88</v>
      </c>
      <c r="Y22" t="s">
        <v>89</v>
      </c>
      <c r="Z22" t="s">
        <v>90</v>
      </c>
      <c r="AA22" t="s">
        <v>121</v>
      </c>
      <c r="AB22" t="s">
        <v>92</v>
      </c>
      <c r="AC22" t="s">
        <v>79</v>
      </c>
      <c r="AD22" t="s">
        <v>79</v>
      </c>
      <c r="AE22" t="s">
        <v>1634</v>
      </c>
      <c r="AF22" t="s">
        <v>1635</v>
      </c>
      <c r="AG22" t="s">
        <v>1634</v>
      </c>
      <c r="AI22" t="s">
        <v>30</v>
      </c>
      <c r="AJ22" t="s">
        <v>1636</v>
      </c>
      <c r="AK22" t="s">
        <v>1637</v>
      </c>
      <c r="AL22" s="4">
        <v>250</v>
      </c>
      <c r="AM22" t="s">
        <v>83</v>
      </c>
      <c r="AN22">
        <v>1.6754909188392197</v>
      </c>
      <c r="AO22" t="s">
        <v>1638</v>
      </c>
      <c r="AP22" t="s">
        <v>1639</v>
      </c>
      <c r="AQ22" t="s">
        <v>1640</v>
      </c>
      <c r="AR22" t="s">
        <v>1641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 t="s">
        <v>1642</v>
      </c>
    </row>
    <row r="23" spans="1:51">
      <c r="A23" t="s">
        <v>79</v>
      </c>
      <c r="B23" t="s">
        <v>122</v>
      </c>
      <c r="C23" t="s">
        <v>81</v>
      </c>
      <c r="D23" t="s">
        <v>32</v>
      </c>
      <c r="E23" t="s">
        <v>94</v>
      </c>
      <c r="F23">
        <v>250</v>
      </c>
      <c r="G23" t="s">
        <v>83</v>
      </c>
      <c r="H23" t="s">
        <v>84</v>
      </c>
      <c r="I23" t="s">
        <v>85</v>
      </c>
      <c r="J23" t="s">
        <v>86</v>
      </c>
      <c r="K23" t="s">
        <v>41</v>
      </c>
      <c r="L23" t="s">
        <v>30</v>
      </c>
      <c r="M23" t="s">
        <v>87</v>
      </c>
      <c r="N23" s="7">
        <v>6.5019999999999998</v>
      </c>
      <c r="O23" s="7">
        <v>0.23699999999999999</v>
      </c>
      <c r="P23" s="7">
        <v>3</v>
      </c>
      <c r="Q23" s="7">
        <v>9.4440000000000008</v>
      </c>
      <c r="R23" s="7">
        <v>0.33200000000000002</v>
      </c>
      <c r="S23" s="7">
        <v>3</v>
      </c>
      <c r="T23" s="7">
        <v>0.4104960413938239</v>
      </c>
      <c r="U23" s="7">
        <v>0.57504086811286725</v>
      </c>
      <c r="V23" s="7">
        <v>0.37326979734155297</v>
      </c>
      <c r="W23" s="7">
        <v>2.5644716306655871E-3</v>
      </c>
      <c r="X23" t="s">
        <v>88</v>
      </c>
      <c r="Y23" t="s">
        <v>89</v>
      </c>
      <c r="Z23" t="s">
        <v>90</v>
      </c>
      <c r="AA23" t="s">
        <v>121</v>
      </c>
      <c r="AB23" t="s">
        <v>92</v>
      </c>
      <c r="AC23" t="s">
        <v>79</v>
      </c>
      <c r="AD23" t="s">
        <v>79</v>
      </c>
      <c r="AE23" t="s">
        <v>1634</v>
      </c>
      <c r="AF23" t="s">
        <v>1643</v>
      </c>
      <c r="AG23" t="s">
        <v>1634</v>
      </c>
      <c r="AI23" t="s">
        <v>30</v>
      </c>
      <c r="AJ23" t="s">
        <v>1636</v>
      </c>
      <c r="AK23" t="s">
        <v>1637</v>
      </c>
      <c r="AL23" s="4">
        <v>250</v>
      </c>
      <c r="AM23" t="s">
        <v>83</v>
      </c>
      <c r="AN23">
        <v>1.5134088019855925</v>
      </c>
      <c r="AO23" t="s">
        <v>1638</v>
      </c>
      <c r="AP23" t="s">
        <v>1639</v>
      </c>
      <c r="AQ23" t="s">
        <v>1640</v>
      </c>
      <c r="AR23" t="s">
        <v>1641</v>
      </c>
      <c r="AS23">
        <v>1</v>
      </c>
      <c r="AT23">
        <v>0</v>
      </c>
      <c r="AU23">
        <v>0</v>
      </c>
      <c r="AV23">
        <v>1</v>
      </c>
      <c r="AW23">
        <v>0</v>
      </c>
      <c r="AX23">
        <v>0</v>
      </c>
      <c r="AY23" t="s">
        <v>1642</v>
      </c>
    </row>
    <row r="24" spans="1:51">
      <c r="A24" t="s">
        <v>79</v>
      </c>
      <c r="B24" t="s">
        <v>123</v>
      </c>
      <c r="C24" t="s">
        <v>81</v>
      </c>
      <c r="D24" t="s">
        <v>32</v>
      </c>
      <c r="E24" t="s">
        <v>96</v>
      </c>
      <c r="F24">
        <v>250</v>
      </c>
      <c r="G24" t="s">
        <v>83</v>
      </c>
      <c r="H24" t="s">
        <v>84</v>
      </c>
      <c r="I24" t="s">
        <v>85</v>
      </c>
      <c r="J24" t="s">
        <v>86</v>
      </c>
      <c r="K24" t="s">
        <v>41</v>
      </c>
      <c r="L24" t="s">
        <v>30</v>
      </c>
      <c r="M24" t="s">
        <v>87</v>
      </c>
      <c r="N24" s="7">
        <v>6.5019999999999998</v>
      </c>
      <c r="O24" s="7">
        <v>0.23699999999999999</v>
      </c>
      <c r="P24" s="7">
        <v>3</v>
      </c>
      <c r="Q24" s="7">
        <v>9.0640000000000001</v>
      </c>
      <c r="R24" s="7">
        <v>0.33200000000000002</v>
      </c>
      <c r="S24" s="7">
        <v>3</v>
      </c>
      <c r="T24" s="7">
        <v>0.4104960413938239</v>
      </c>
      <c r="U24" s="7">
        <v>0.57504086811286725</v>
      </c>
      <c r="V24" s="7">
        <v>0.33220070184399164</v>
      </c>
      <c r="W24" s="7">
        <v>2.6702672059158083E-3</v>
      </c>
      <c r="X24" t="s">
        <v>88</v>
      </c>
      <c r="Y24" t="s">
        <v>89</v>
      </c>
      <c r="Z24" t="s">
        <v>90</v>
      </c>
      <c r="AA24" t="s">
        <v>121</v>
      </c>
      <c r="AB24" t="s">
        <v>92</v>
      </c>
      <c r="AC24" t="s">
        <v>79</v>
      </c>
      <c r="AD24" t="s">
        <v>79</v>
      </c>
      <c r="AE24" t="s">
        <v>1634</v>
      </c>
      <c r="AF24" t="s">
        <v>1644</v>
      </c>
      <c r="AG24" t="s">
        <v>1634</v>
      </c>
      <c r="AI24" t="s">
        <v>30</v>
      </c>
      <c r="AJ24" t="s">
        <v>1636</v>
      </c>
      <c r="AK24" t="s">
        <v>1637</v>
      </c>
      <c r="AL24" s="4">
        <v>250</v>
      </c>
      <c r="AM24" t="s">
        <v>83</v>
      </c>
      <c r="AN24">
        <v>2.1714583514288197</v>
      </c>
      <c r="AO24" t="s">
        <v>1638</v>
      </c>
      <c r="AP24" t="s">
        <v>1639</v>
      </c>
      <c r="AQ24" t="s">
        <v>1640</v>
      </c>
      <c r="AR24" t="s">
        <v>1641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0</v>
      </c>
      <c r="AY24" t="s">
        <v>1642</v>
      </c>
    </row>
    <row r="25" spans="1:51">
      <c r="A25" t="s">
        <v>79</v>
      </c>
      <c r="B25" t="s">
        <v>124</v>
      </c>
      <c r="C25" t="s">
        <v>81</v>
      </c>
      <c r="D25" t="s">
        <v>32</v>
      </c>
      <c r="E25" t="s">
        <v>98</v>
      </c>
      <c r="F25">
        <v>250</v>
      </c>
      <c r="G25" t="s">
        <v>83</v>
      </c>
      <c r="H25" t="s">
        <v>84</v>
      </c>
      <c r="I25" t="s">
        <v>85</v>
      </c>
      <c r="J25" t="s">
        <v>86</v>
      </c>
      <c r="K25" t="s">
        <v>41</v>
      </c>
      <c r="L25" t="s">
        <v>30</v>
      </c>
      <c r="M25" t="s">
        <v>87</v>
      </c>
      <c r="N25" s="7">
        <v>6.5019999999999998</v>
      </c>
      <c r="O25" s="7">
        <v>0.23699999999999999</v>
      </c>
      <c r="P25" s="7">
        <v>3</v>
      </c>
      <c r="Q25" s="7">
        <v>8.7319999999999993</v>
      </c>
      <c r="R25" s="7">
        <v>0.33200000000000002</v>
      </c>
      <c r="S25" s="7">
        <v>3</v>
      </c>
      <c r="T25" s="7">
        <v>0.4104960413938239</v>
      </c>
      <c r="U25" s="7">
        <v>0.57504086811286725</v>
      </c>
      <c r="V25" s="7">
        <v>0.29488461680598377</v>
      </c>
      <c r="W25" s="7">
        <v>2.7742279550658101E-3</v>
      </c>
      <c r="X25" t="s">
        <v>88</v>
      </c>
      <c r="Y25" t="s">
        <v>89</v>
      </c>
      <c r="Z25" t="s">
        <v>90</v>
      </c>
      <c r="AA25" t="s">
        <v>121</v>
      </c>
      <c r="AB25" t="s">
        <v>92</v>
      </c>
      <c r="AC25" t="s">
        <v>79</v>
      </c>
      <c r="AD25" t="s">
        <v>79</v>
      </c>
      <c r="AE25" t="s">
        <v>1634</v>
      </c>
      <c r="AF25" t="s">
        <v>1645</v>
      </c>
      <c r="AG25" t="s">
        <v>1634</v>
      </c>
      <c r="AI25" t="s">
        <v>30</v>
      </c>
      <c r="AJ25" t="s">
        <v>1636</v>
      </c>
      <c r="AK25" t="s">
        <v>1637</v>
      </c>
      <c r="AL25" s="4">
        <v>250</v>
      </c>
      <c r="AM25" t="s">
        <v>83</v>
      </c>
      <c r="AN25">
        <v>1.3797670953143109</v>
      </c>
      <c r="AO25" t="s">
        <v>1638</v>
      </c>
      <c r="AP25" t="s">
        <v>1639</v>
      </c>
      <c r="AQ25" t="s">
        <v>1640</v>
      </c>
      <c r="AR25" t="s">
        <v>1641</v>
      </c>
      <c r="AS25">
        <v>1</v>
      </c>
      <c r="AT25">
        <v>0</v>
      </c>
      <c r="AU25">
        <v>0</v>
      </c>
      <c r="AV25">
        <v>1</v>
      </c>
      <c r="AW25">
        <v>0</v>
      </c>
      <c r="AX25">
        <v>0</v>
      </c>
      <c r="AY25" t="s">
        <v>1642</v>
      </c>
    </row>
    <row r="26" spans="1:51">
      <c r="A26" t="s">
        <v>79</v>
      </c>
      <c r="B26" t="s">
        <v>125</v>
      </c>
      <c r="C26" t="s">
        <v>81</v>
      </c>
      <c r="D26" t="s">
        <v>32</v>
      </c>
      <c r="E26" t="s">
        <v>100</v>
      </c>
      <c r="F26">
        <v>1000</v>
      </c>
      <c r="G26" t="s">
        <v>101</v>
      </c>
      <c r="H26" t="s">
        <v>84</v>
      </c>
      <c r="I26" t="s">
        <v>85</v>
      </c>
      <c r="J26" t="s">
        <v>86</v>
      </c>
      <c r="K26" t="s">
        <v>41</v>
      </c>
      <c r="L26" t="s">
        <v>30</v>
      </c>
      <c r="M26" t="s">
        <v>87</v>
      </c>
      <c r="N26" s="7">
        <v>6.5019999999999998</v>
      </c>
      <c r="O26" s="7">
        <v>0.23699999999999999</v>
      </c>
      <c r="P26" s="7">
        <v>3</v>
      </c>
      <c r="Q26" s="7">
        <v>9.4440000000000008</v>
      </c>
      <c r="R26" s="7">
        <v>0.14199999999999999</v>
      </c>
      <c r="S26" s="7">
        <v>3</v>
      </c>
      <c r="T26" s="7">
        <v>0.4104960413938239</v>
      </c>
      <c r="U26" s="7">
        <v>0.24595121467478054</v>
      </c>
      <c r="V26" s="7">
        <v>0.37326979734155297</v>
      </c>
      <c r="W26" s="7">
        <v>1.554707392115278E-3</v>
      </c>
      <c r="X26" t="s">
        <v>88</v>
      </c>
      <c r="Y26" t="s">
        <v>89</v>
      </c>
      <c r="Z26" t="s">
        <v>90</v>
      </c>
      <c r="AA26" t="s">
        <v>121</v>
      </c>
      <c r="AB26" t="s">
        <v>92</v>
      </c>
      <c r="AC26" t="s">
        <v>79</v>
      </c>
      <c r="AD26" t="s">
        <v>79</v>
      </c>
      <c r="AE26" t="s">
        <v>1634</v>
      </c>
      <c r="AF26" t="s">
        <v>1646</v>
      </c>
      <c r="AG26" t="s">
        <v>1634</v>
      </c>
      <c r="AI26" t="s">
        <v>30</v>
      </c>
      <c r="AJ26" t="s">
        <v>1636</v>
      </c>
      <c r="AK26" t="s">
        <v>1637</v>
      </c>
      <c r="AL26" s="4">
        <v>1000</v>
      </c>
      <c r="AM26" t="s">
        <v>101</v>
      </c>
      <c r="AO26" t="s">
        <v>1647</v>
      </c>
      <c r="AP26" t="s">
        <v>1639</v>
      </c>
      <c r="AQ26" t="s">
        <v>1640</v>
      </c>
      <c r="AR26" t="s">
        <v>1641</v>
      </c>
      <c r="AS26">
        <v>1</v>
      </c>
      <c r="AT26">
        <v>0</v>
      </c>
      <c r="AU26">
        <v>0</v>
      </c>
      <c r="AV26">
        <v>1</v>
      </c>
      <c r="AW26">
        <v>0</v>
      </c>
      <c r="AX26">
        <v>0</v>
      </c>
      <c r="AY26" t="s">
        <v>1642</v>
      </c>
    </row>
    <row r="27" spans="1:51">
      <c r="A27" t="s">
        <v>79</v>
      </c>
      <c r="B27" t="s">
        <v>126</v>
      </c>
      <c r="C27" t="s">
        <v>81</v>
      </c>
      <c r="D27" t="s">
        <v>33</v>
      </c>
      <c r="E27" t="s">
        <v>82</v>
      </c>
      <c r="F27">
        <v>250</v>
      </c>
      <c r="G27" t="s">
        <v>83</v>
      </c>
      <c r="H27" t="s">
        <v>84</v>
      </c>
      <c r="I27" t="s">
        <v>85</v>
      </c>
      <c r="J27" t="s">
        <v>86</v>
      </c>
      <c r="K27" t="s">
        <v>41</v>
      </c>
      <c r="L27" t="s">
        <v>30</v>
      </c>
      <c r="M27" t="s">
        <v>87</v>
      </c>
      <c r="N27" s="7">
        <v>6.2169999999999996</v>
      </c>
      <c r="O27" s="7">
        <v>0.23699999999999999</v>
      </c>
      <c r="P27" s="7">
        <v>3</v>
      </c>
      <c r="Q27" s="7">
        <v>8.7319999999999993</v>
      </c>
      <c r="R27" s="7">
        <v>0.52200000000000002</v>
      </c>
      <c r="S27" s="7">
        <v>3</v>
      </c>
      <c r="T27" s="7">
        <v>0.4104960413938239</v>
      </c>
      <c r="U27" s="7">
        <v>0.90413052155095397</v>
      </c>
      <c r="V27" s="7">
        <v>0.33970696340049705</v>
      </c>
      <c r="W27" s="7">
        <v>5.0268946561763759E-3</v>
      </c>
      <c r="X27" t="s">
        <v>88</v>
      </c>
      <c r="Y27" t="s">
        <v>89</v>
      </c>
      <c r="Z27" t="s">
        <v>90</v>
      </c>
      <c r="AA27" t="s">
        <v>127</v>
      </c>
      <c r="AB27" t="s">
        <v>92</v>
      </c>
      <c r="AC27" t="s">
        <v>79</v>
      </c>
      <c r="AD27" t="s">
        <v>79</v>
      </c>
      <c r="AE27" t="s">
        <v>1648</v>
      </c>
      <c r="AF27" t="s">
        <v>1649</v>
      </c>
      <c r="AG27" t="s">
        <v>1648</v>
      </c>
      <c r="AI27" t="s">
        <v>30</v>
      </c>
      <c r="AJ27" t="s">
        <v>1636</v>
      </c>
      <c r="AK27" t="s">
        <v>1637</v>
      </c>
      <c r="AL27" s="4">
        <v>250</v>
      </c>
      <c r="AM27" t="s">
        <v>83</v>
      </c>
      <c r="AN27">
        <v>1.6754909188392197</v>
      </c>
      <c r="AO27" t="s">
        <v>1638</v>
      </c>
      <c r="AP27" t="s">
        <v>1639</v>
      </c>
      <c r="AQ27" t="s">
        <v>1640</v>
      </c>
      <c r="AR27" t="s">
        <v>1641</v>
      </c>
      <c r="AS27">
        <v>1</v>
      </c>
      <c r="AT27">
        <v>0</v>
      </c>
      <c r="AU27">
        <v>0</v>
      </c>
      <c r="AV27">
        <v>1</v>
      </c>
      <c r="AW27">
        <v>0</v>
      </c>
      <c r="AX27">
        <v>0</v>
      </c>
      <c r="AY27" t="s">
        <v>1642</v>
      </c>
    </row>
    <row r="28" spans="1:51">
      <c r="A28" t="s">
        <v>79</v>
      </c>
      <c r="B28" t="s">
        <v>128</v>
      </c>
      <c r="C28" t="s">
        <v>81</v>
      </c>
      <c r="D28" t="s">
        <v>33</v>
      </c>
      <c r="E28" t="s">
        <v>94</v>
      </c>
      <c r="F28">
        <v>250</v>
      </c>
      <c r="G28" t="s">
        <v>83</v>
      </c>
      <c r="H28" t="s">
        <v>84</v>
      </c>
      <c r="I28" t="s">
        <v>85</v>
      </c>
      <c r="J28" t="s">
        <v>86</v>
      </c>
      <c r="K28" t="s">
        <v>41</v>
      </c>
      <c r="L28" t="s">
        <v>30</v>
      </c>
      <c r="M28" t="s">
        <v>87</v>
      </c>
      <c r="N28" s="7">
        <v>6.2169999999999996</v>
      </c>
      <c r="O28" s="7">
        <v>0.23699999999999999</v>
      </c>
      <c r="P28" s="7">
        <v>3</v>
      </c>
      <c r="Q28" s="7">
        <v>9.3490000000000002</v>
      </c>
      <c r="R28" s="7">
        <v>4.7E-2</v>
      </c>
      <c r="S28" s="7">
        <v>3</v>
      </c>
      <c r="T28" s="7">
        <v>0.4104960413938239</v>
      </c>
      <c r="U28" s="7">
        <v>8.1406387955737222E-2</v>
      </c>
      <c r="V28" s="7">
        <v>0.40798191042197818</v>
      </c>
      <c r="W28" s="7">
        <v>1.478505516714097E-3</v>
      </c>
      <c r="X28" t="s">
        <v>88</v>
      </c>
      <c r="Y28" t="s">
        <v>89</v>
      </c>
      <c r="Z28" t="s">
        <v>90</v>
      </c>
      <c r="AA28" t="s">
        <v>127</v>
      </c>
      <c r="AB28" t="s">
        <v>92</v>
      </c>
      <c r="AC28" t="s">
        <v>79</v>
      </c>
      <c r="AD28" t="s">
        <v>79</v>
      </c>
      <c r="AE28" t="s">
        <v>1648</v>
      </c>
      <c r="AF28" t="s">
        <v>1650</v>
      </c>
      <c r="AG28" t="s">
        <v>1648</v>
      </c>
      <c r="AI28" t="s">
        <v>30</v>
      </c>
      <c r="AJ28" t="s">
        <v>1636</v>
      </c>
      <c r="AK28" t="s">
        <v>1637</v>
      </c>
      <c r="AL28" s="4">
        <v>250</v>
      </c>
      <c r="AM28" t="s">
        <v>83</v>
      </c>
      <c r="AN28">
        <v>1.5134088019855925</v>
      </c>
      <c r="AO28" t="s">
        <v>1638</v>
      </c>
      <c r="AP28" t="s">
        <v>1639</v>
      </c>
      <c r="AQ28" t="s">
        <v>1640</v>
      </c>
      <c r="AR28" t="s">
        <v>1641</v>
      </c>
      <c r="AS28">
        <v>1</v>
      </c>
      <c r="AT28">
        <v>0</v>
      </c>
      <c r="AU28">
        <v>0</v>
      </c>
      <c r="AV28">
        <v>1</v>
      </c>
      <c r="AW28">
        <v>0</v>
      </c>
      <c r="AX28">
        <v>0</v>
      </c>
      <c r="AY28" t="s">
        <v>1642</v>
      </c>
    </row>
    <row r="29" spans="1:51">
      <c r="A29" t="s">
        <v>79</v>
      </c>
      <c r="B29" t="s">
        <v>129</v>
      </c>
      <c r="C29" t="s">
        <v>81</v>
      </c>
      <c r="D29" t="s">
        <v>33</v>
      </c>
      <c r="E29" t="s">
        <v>96</v>
      </c>
      <c r="F29">
        <v>250</v>
      </c>
      <c r="G29" t="s">
        <v>83</v>
      </c>
      <c r="H29" t="s">
        <v>84</v>
      </c>
      <c r="I29" t="s">
        <v>85</v>
      </c>
      <c r="J29" t="s">
        <v>86</v>
      </c>
      <c r="K29" t="s">
        <v>41</v>
      </c>
      <c r="L29" t="s">
        <v>30</v>
      </c>
      <c r="M29" t="s">
        <v>87</v>
      </c>
      <c r="N29" s="7">
        <v>6.2169999999999996</v>
      </c>
      <c r="O29" s="7">
        <v>0.23699999999999999</v>
      </c>
      <c r="P29" s="7">
        <v>3</v>
      </c>
      <c r="Q29" s="7">
        <v>9.0640000000000001</v>
      </c>
      <c r="R29" s="7">
        <v>0.52200000000000002</v>
      </c>
      <c r="S29" s="7">
        <v>3</v>
      </c>
      <c r="T29" s="7">
        <v>0.4104960413938239</v>
      </c>
      <c r="U29" s="7">
        <v>0.90413052155095397</v>
      </c>
      <c r="V29" s="7">
        <v>0.37702304843850482</v>
      </c>
      <c r="W29" s="7">
        <v>4.7698939959627271E-3</v>
      </c>
      <c r="X29" t="s">
        <v>88</v>
      </c>
      <c r="Y29" t="s">
        <v>89</v>
      </c>
      <c r="Z29" t="s">
        <v>90</v>
      </c>
      <c r="AA29" t="s">
        <v>127</v>
      </c>
      <c r="AB29" t="s">
        <v>92</v>
      </c>
      <c r="AC29" t="s">
        <v>79</v>
      </c>
      <c r="AD29" t="s">
        <v>79</v>
      </c>
      <c r="AE29" t="s">
        <v>1648</v>
      </c>
      <c r="AF29" t="s">
        <v>1651</v>
      </c>
      <c r="AG29" t="s">
        <v>1648</v>
      </c>
      <c r="AI29" t="s">
        <v>30</v>
      </c>
      <c r="AJ29" t="s">
        <v>1636</v>
      </c>
      <c r="AK29" t="s">
        <v>1637</v>
      </c>
      <c r="AL29" s="4">
        <v>250</v>
      </c>
      <c r="AM29" t="s">
        <v>83</v>
      </c>
      <c r="AN29">
        <v>2.1714583514288197</v>
      </c>
      <c r="AO29" t="s">
        <v>1638</v>
      </c>
      <c r="AP29" t="s">
        <v>1639</v>
      </c>
      <c r="AQ29" t="s">
        <v>1640</v>
      </c>
      <c r="AR29" t="s">
        <v>1641</v>
      </c>
      <c r="AS29">
        <v>1</v>
      </c>
      <c r="AT29">
        <v>0</v>
      </c>
      <c r="AU29">
        <v>0</v>
      </c>
      <c r="AV29">
        <v>1</v>
      </c>
      <c r="AW29">
        <v>0</v>
      </c>
      <c r="AX29">
        <v>0</v>
      </c>
      <c r="AY29" t="s">
        <v>1642</v>
      </c>
    </row>
    <row r="30" spans="1:51">
      <c r="A30" t="s">
        <v>79</v>
      </c>
      <c r="B30" t="s">
        <v>130</v>
      </c>
      <c r="C30" t="s">
        <v>81</v>
      </c>
      <c r="D30" t="s">
        <v>33</v>
      </c>
      <c r="E30" t="s">
        <v>98</v>
      </c>
      <c r="F30">
        <v>250</v>
      </c>
      <c r="G30" t="s">
        <v>83</v>
      </c>
      <c r="H30" t="s">
        <v>84</v>
      </c>
      <c r="I30" t="s">
        <v>85</v>
      </c>
      <c r="J30" t="s">
        <v>86</v>
      </c>
      <c r="K30" t="s">
        <v>41</v>
      </c>
      <c r="L30" t="s">
        <v>30</v>
      </c>
      <c r="M30" t="s">
        <v>87</v>
      </c>
      <c r="N30" s="7">
        <v>6.2169999999999996</v>
      </c>
      <c r="O30" s="7">
        <v>0.23699999999999999</v>
      </c>
      <c r="P30" s="7">
        <v>3</v>
      </c>
      <c r="Q30" s="7">
        <v>8.5419999999999998</v>
      </c>
      <c r="R30" s="7">
        <v>4.7E-2</v>
      </c>
      <c r="S30" s="7">
        <v>3</v>
      </c>
      <c r="T30" s="7">
        <v>0.4104960413938239</v>
      </c>
      <c r="U30" s="7">
        <v>8.1406387955737222E-2</v>
      </c>
      <c r="V30" s="7">
        <v>0.31770769713207431</v>
      </c>
      <c r="W30" s="7">
        <v>1.4835064885941628E-3</v>
      </c>
      <c r="X30" t="s">
        <v>88</v>
      </c>
      <c r="Y30" t="s">
        <v>89</v>
      </c>
      <c r="Z30" t="s">
        <v>90</v>
      </c>
      <c r="AA30" t="s">
        <v>127</v>
      </c>
      <c r="AB30" t="s">
        <v>92</v>
      </c>
      <c r="AC30" t="s">
        <v>79</v>
      </c>
      <c r="AD30" t="s">
        <v>79</v>
      </c>
      <c r="AE30" t="s">
        <v>1648</v>
      </c>
      <c r="AF30" t="s">
        <v>1652</v>
      </c>
      <c r="AG30" t="s">
        <v>1648</v>
      </c>
      <c r="AI30" t="s">
        <v>30</v>
      </c>
      <c r="AJ30" t="s">
        <v>1636</v>
      </c>
      <c r="AK30" t="s">
        <v>1637</v>
      </c>
      <c r="AL30" s="4">
        <v>250</v>
      </c>
      <c r="AM30" t="s">
        <v>83</v>
      </c>
      <c r="AN30">
        <v>1.3797670953143109</v>
      </c>
      <c r="AO30" t="s">
        <v>1638</v>
      </c>
      <c r="AP30" t="s">
        <v>1639</v>
      </c>
      <c r="AQ30" t="s">
        <v>1640</v>
      </c>
      <c r="AR30" t="s">
        <v>1641</v>
      </c>
      <c r="AS30">
        <v>1</v>
      </c>
      <c r="AT30">
        <v>0</v>
      </c>
      <c r="AU30">
        <v>0</v>
      </c>
      <c r="AV30">
        <v>1</v>
      </c>
      <c r="AW30">
        <v>0</v>
      </c>
      <c r="AX30">
        <v>0</v>
      </c>
      <c r="AY30" t="s">
        <v>1642</v>
      </c>
    </row>
    <row r="31" spans="1:51">
      <c r="A31" t="s">
        <v>79</v>
      </c>
      <c r="B31" t="s">
        <v>131</v>
      </c>
      <c r="C31" t="s">
        <v>81</v>
      </c>
      <c r="D31" t="s">
        <v>33</v>
      </c>
      <c r="E31" t="s">
        <v>100</v>
      </c>
      <c r="F31">
        <v>1000</v>
      </c>
      <c r="G31" t="s">
        <v>101</v>
      </c>
      <c r="H31" t="s">
        <v>84</v>
      </c>
      <c r="I31" t="s">
        <v>85</v>
      </c>
      <c r="J31" t="s">
        <v>86</v>
      </c>
      <c r="K31" t="s">
        <v>41</v>
      </c>
      <c r="L31" t="s">
        <v>30</v>
      </c>
      <c r="M31" t="s">
        <v>87</v>
      </c>
      <c r="N31" s="7">
        <v>6.2169999999999996</v>
      </c>
      <c r="O31" s="7">
        <v>0.23699999999999999</v>
      </c>
      <c r="P31" s="7">
        <v>3</v>
      </c>
      <c r="Q31" s="7">
        <v>10.108000000000001</v>
      </c>
      <c r="R31" s="7">
        <v>4.7E-2</v>
      </c>
      <c r="S31" s="7">
        <v>3</v>
      </c>
      <c r="T31" s="7">
        <v>0.4104960413938239</v>
      </c>
      <c r="U31" s="7">
        <v>8.1406387955737222E-2</v>
      </c>
      <c r="V31" s="7">
        <v>0.48603971423874742</v>
      </c>
      <c r="W31" s="7">
        <v>1.4748524922168528E-3</v>
      </c>
      <c r="X31" t="s">
        <v>88</v>
      </c>
      <c r="Y31" t="s">
        <v>89</v>
      </c>
      <c r="Z31" t="s">
        <v>90</v>
      </c>
      <c r="AA31" t="s">
        <v>127</v>
      </c>
      <c r="AB31" t="s">
        <v>92</v>
      </c>
      <c r="AC31" t="s">
        <v>79</v>
      </c>
      <c r="AD31" t="s">
        <v>79</v>
      </c>
      <c r="AE31" t="s">
        <v>1648</v>
      </c>
      <c r="AF31" t="s">
        <v>1653</v>
      </c>
      <c r="AG31" t="s">
        <v>1648</v>
      </c>
      <c r="AI31" t="s">
        <v>30</v>
      </c>
      <c r="AJ31" t="s">
        <v>1636</v>
      </c>
      <c r="AK31" t="s">
        <v>1637</v>
      </c>
      <c r="AL31" s="4">
        <v>1000</v>
      </c>
      <c r="AM31" t="s">
        <v>101</v>
      </c>
      <c r="AO31" t="s">
        <v>1647</v>
      </c>
      <c r="AP31" t="s">
        <v>1639</v>
      </c>
      <c r="AQ31" t="s">
        <v>1640</v>
      </c>
      <c r="AR31" t="s">
        <v>1641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0</v>
      </c>
      <c r="AY31" t="s">
        <v>1642</v>
      </c>
    </row>
    <row r="32" spans="1:51">
      <c r="A32" t="s">
        <v>79</v>
      </c>
      <c r="B32" t="s">
        <v>132</v>
      </c>
      <c r="C32" t="s">
        <v>81</v>
      </c>
      <c r="D32" t="s">
        <v>32</v>
      </c>
      <c r="E32" t="s">
        <v>82</v>
      </c>
      <c r="F32">
        <v>250</v>
      </c>
      <c r="G32" t="s">
        <v>83</v>
      </c>
      <c r="H32" t="s">
        <v>84</v>
      </c>
      <c r="I32" t="s">
        <v>85</v>
      </c>
      <c r="J32" t="s">
        <v>86</v>
      </c>
      <c r="K32" t="s">
        <v>41</v>
      </c>
      <c r="L32" t="s">
        <v>40</v>
      </c>
      <c r="M32" t="s">
        <v>87</v>
      </c>
      <c r="N32" s="7">
        <v>17.61</v>
      </c>
      <c r="O32" s="7">
        <v>0.252</v>
      </c>
      <c r="P32" s="7">
        <v>3</v>
      </c>
      <c r="Q32" s="7">
        <v>29.308</v>
      </c>
      <c r="R32" s="7">
        <v>0.377</v>
      </c>
      <c r="S32" s="7">
        <v>3</v>
      </c>
      <c r="T32" s="7">
        <v>0.43647680350735707</v>
      </c>
      <c r="U32" s="7">
        <v>0.65298315445346666</v>
      </c>
      <c r="V32" s="7">
        <v>0.50939359378960269</v>
      </c>
      <c r="W32" s="7">
        <v>3.7024415947415398E-4</v>
      </c>
      <c r="X32" t="s">
        <v>88</v>
      </c>
      <c r="Y32" t="s">
        <v>89</v>
      </c>
      <c r="Z32" t="s">
        <v>90</v>
      </c>
      <c r="AA32" t="s">
        <v>133</v>
      </c>
      <c r="AB32" t="s">
        <v>92</v>
      </c>
      <c r="AC32" t="s">
        <v>79</v>
      </c>
      <c r="AD32" t="s">
        <v>79</v>
      </c>
      <c r="AE32" t="s">
        <v>1634</v>
      </c>
      <c r="AF32" t="s">
        <v>1635</v>
      </c>
      <c r="AG32" t="s">
        <v>1634</v>
      </c>
      <c r="AI32" t="s">
        <v>40</v>
      </c>
      <c r="AJ32" t="s">
        <v>1636</v>
      </c>
      <c r="AK32" t="s">
        <v>1637</v>
      </c>
      <c r="AL32" s="4">
        <v>250</v>
      </c>
      <c r="AM32" t="s">
        <v>83</v>
      </c>
      <c r="AN32">
        <v>1.6754909188392197</v>
      </c>
      <c r="AO32" t="s">
        <v>1638</v>
      </c>
      <c r="AP32" t="s">
        <v>1639</v>
      </c>
      <c r="AQ32" t="s">
        <v>1640</v>
      </c>
      <c r="AR32" t="s">
        <v>1641</v>
      </c>
      <c r="AS32">
        <v>1</v>
      </c>
      <c r="AT32">
        <v>0</v>
      </c>
      <c r="AU32">
        <v>0</v>
      </c>
      <c r="AV32">
        <v>1</v>
      </c>
      <c r="AW32">
        <v>0</v>
      </c>
      <c r="AX32">
        <v>0</v>
      </c>
      <c r="AY32" t="s">
        <v>1642</v>
      </c>
    </row>
    <row r="33" spans="1:51">
      <c r="A33" t="s">
        <v>79</v>
      </c>
      <c r="B33" t="s">
        <v>134</v>
      </c>
      <c r="C33" t="s">
        <v>81</v>
      </c>
      <c r="D33" t="s">
        <v>32</v>
      </c>
      <c r="E33" t="s">
        <v>94</v>
      </c>
      <c r="F33">
        <v>250</v>
      </c>
      <c r="G33" t="s">
        <v>83</v>
      </c>
      <c r="H33" t="s">
        <v>84</v>
      </c>
      <c r="I33" t="s">
        <v>85</v>
      </c>
      <c r="J33" t="s">
        <v>86</v>
      </c>
      <c r="K33" t="s">
        <v>41</v>
      </c>
      <c r="L33" t="s">
        <v>40</v>
      </c>
      <c r="M33" t="s">
        <v>87</v>
      </c>
      <c r="N33" s="7">
        <v>17.61</v>
      </c>
      <c r="O33" s="7">
        <v>0.252</v>
      </c>
      <c r="P33" s="7">
        <v>3</v>
      </c>
      <c r="Q33" s="7">
        <v>28.302</v>
      </c>
      <c r="R33" s="7">
        <v>0.126</v>
      </c>
      <c r="S33" s="7">
        <v>3</v>
      </c>
      <c r="T33" s="7">
        <v>0.43647680350735707</v>
      </c>
      <c r="U33" s="7">
        <v>0.21823840175367853</v>
      </c>
      <c r="V33" s="7">
        <v>0.47446555102206484</v>
      </c>
      <c r="W33" s="7">
        <v>2.2459770813278379E-4</v>
      </c>
      <c r="X33" t="s">
        <v>88</v>
      </c>
      <c r="Y33" t="s">
        <v>89</v>
      </c>
      <c r="Z33" t="s">
        <v>90</v>
      </c>
      <c r="AA33" t="s">
        <v>133</v>
      </c>
      <c r="AB33" t="s">
        <v>92</v>
      </c>
      <c r="AC33" t="s">
        <v>79</v>
      </c>
      <c r="AD33" t="s">
        <v>79</v>
      </c>
      <c r="AE33" t="s">
        <v>1634</v>
      </c>
      <c r="AF33" t="s">
        <v>1643</v>
      </c>
      <c r="AG33" t="s">
        <v>1634</v>
      </c>
      <c r="AI33" t="s">
        <v>40</v>
      </c>
      <c r="AJ33" t="s">
        <v>1636</v>
      </c>
      <c r="AK33" t="s">
        <v>1637</v>
      </c>
      <c r="AL33" s="4">
        <v>250</v>
      </c>
      <c r="AM33" t="s">
        <v>83</v>
      </c>
      <c r="AN33">
        <v>1.5134088019855925</v>
      </c>
      <c r="AO33" t="s">
        <v>1638</v>
      </c>
      <c r="AP33" t="s">
        <v>1639</v>
      </c>
      <c r="AQ33" t="s">
        <v>1640</v>
      </c>
      <c r="AR33" t="s">
        <v>1641</v>
      </c>
      <c r="AS33">
        <v>1</v>
      </c>
      <c r="AT33">
        <v>0</v>
      </c>
      <c r="AU33">
        <v>0</v>
      </c>
      <c r="AV33">
        <v>1</v>
      </c>
      <c r="AW33">
        <v>0</v>
      </c>
      <c r="AX33">
        <v>0</v>
      </c>
      <c r="AY33" t="s">
        <v>1642</v>
      </c>
    </row>
    <row r="34" spans="1:51">
      <c r="A34" t="s">
        <v>79</v>
      </c>
      <c r="B34" t="s">
        <v>135</v>
      </c>
      <c r="C34" t="s">
        <v>81</v>
      </c>
      <c r="D34" t="s">
        <v>32</v>
      </c>
      <c r="E34" t="s">
        <v>96</v>
      </c>
      <c r="F34">
        <v>250</v>
      </c>
      <c r="G34" t="s">
        <v>83</v>
      </c>
      <c r="H34" t="s">
        <v>84</v>
      </c>
      <c r="I34" t="s">
        <v>85</v>
      </c>
      <c r="J34" t="s">
        <v>86</v>
      </c>
      <c r="K34" t="s">
        <v>41</v>
      </c>
      <c r="L34" t="s">
        <v>40</v>
      </c>
      <c r="M34" t="s">
        <v>87</v>
      </c>
      <c r="N34" s="7">
        <v>17.61</v>
      </c>
      <c r="O34" s="7">
        <v>0.252</v>
      </c>
      <c r="P34" s="7">
        <v>3</v>
      </c>
      <c r="Q34" s="7">
        <v>27.17</v>
      </c>
      <c r="R34" s="7">
        <v>0.377</v>
      </c>
      <c r="S34" s="7">
        <v>3</v>
      </c>
      <c r="T34" s="7">
        <v>0.43647680350735707</v>
      </c>
      <c r="U34" s="7">
        <v>0.65298315445346666</v>
      </c>
      <c r="V34" s="7">
        <v>0.43364650093014173</v>
      </c>
      <c r="W34" s="7">
        <v>3.9730978494192351E-4</v>
      </c>
      <c r="X34" t="s">
        <v>88</v>
      </c>
      <c r="Y34" t="s">
        <v>89</v>
      </c>
      <c r="Z34" t="s">
        <v>90</v>
      </c>
      <c r="AA34" t="s">
        <v>133</v>
      </c>
      <c r="AB34" t="s">
        <v>92</v>
      </c>
      <c r="AC34" t="s">
        <v>79</v>
      </c>
      <c r="AD34" t="s">
        <v>79</v>
      </c>
      <c r="AE34" t="s">
        <v>1634</v>
      </c>
      <c r="AF34" t="s">
        <v>1644</v>
      </c>
      <c r="AG34" t="s">
        <v>1634</v>
      </c>
      <c r="AI34" t="s">
        <v>40</v>
      </c>
      <c r="AJ34" t="s">
        <v>1636</v>
      </c>
      <c r="AK34" t="s">
        <v>1637</v>
      </c>
      <c r="AL34" s="4">
        <v>250</v>
      </c>
      <c r="AM34" t="s">
        <v>83</v>
      </c>
      <c r="AN34">
        <v>2.1714583514288197</v>
      </c>
      <c r="AO34" t="s">
        <v>1638</v>
      </c>
      <c r="AP34" t="s">
        <v>1639</v>
      </c>
      <c r="AQ34" t="s">
        <v>1640</v>
      </c>
      <c r="AR34" t="s">
        <v>1641</v>
      </c>
      <c r="AS34">
        <v>1</v>
      </c>
      <c r="AT34">
        <v>0</v>
      </c>
      <c r="AU34">
        <v>0</v>
      </c>
      <c r="AV34">
        <v>1</v>
      </c>
      <c r="AW34">
        <v>0</v>
      </c>
      <c r="AX34">
        <v>0</v>
      </c>
      <c r="AY34" t="s">
        <v>1642</v>
      </c>
    </row>
    <row r="35" spans="1:51">
      <c r="A35" t="s">
        <v>79</v>
      </c>
      <c r="B35" t="s">
        <v>136</v>
      </c>
      <c r="C35" t="s">
        <v>81</v>
      </c>
      <c r="D35" t="s">
        <v>32</v>
      </c>
      <c r="E35" t="s">
        <v>98</v>
      </c>
      <c r="F35">
        <v>250</v>
      </c>
      <c r="G35" t="s">
        <v>83</v>
      </c>
      <c r="H35" t="s">
        <v>84</v>
      </c>
      <c r="I35" t="s">
        <v>85</v>
      </c>
      <c r="J35" t="s">
        <v>86</v>
      </c>
      <c r="K35" t="s">
        <v>41</v>
      </c>
      <c r="L35" t="s">
        <v>40</v>
      </c>
      <c r="M35" t="s">
        <v>87</v>
      </c>
      <c r="N35" s="7">
        <v>17.61</v>
      </c>
      <c r="O35" s="7">
        <v>0.252</v>
      </c>
      <c r="P35" s="7">
        <v>3</v>
      </c>
      <c r="Q35" s="7">
        <v>26.917999999999999</v>
      </c>
      <c r="R35" s="7">
        <v>0.126</v>
      </c>
      <c r="S35" s="7">
        <v>3</v>
      </c>
      <c r="T35" s="7">
        <v>0.43647680350735707</v>
      </c>
      <c r="U35" s="7">
        <v>0.21823840175367853</v>
      </c>
      <c r="V35" s="7">
        <v>0.42432828530340916</v>
      </c>
      <c r="W35" s="7">
        <v>2.2668822536506071E-4</v>
      </c>
      <c r="X35" t="s">
        <v>88</v>
      </c>
      <c r="Y35" t="s">
        <v>89</v>
      </c>
      <c r="Z35" t="s">
        <v>90</v>
      </c>
      <c r="AA35" t="s">
        <v>133</v>
      </c>
      <c r="AB35" t="s">
        <v>92</v>
      </c>
      <c r="AC35" t="s">
        <v>79</v>
      </c>
      <c r="AD35" t="s">
        <v>79</v>
      </c>
      <c r="AE35" t="s">
        <v>1634</v>
      </c>
      <c r="AF35" t="s">
        <v>1645</v>
      </c>
      <c r="AG35" t="s">
        <v>1634</v>
      </c>
      <c r="AI35" t="s">
        <v>40</v>
      </c>
      <c r="AJ35" t="s">
        <v>1636</v>
      </c>
      <c r="AK35" t="s">
        <v>1637</v>
      </c>
      <c r="AL35" s="4">
        <v>250</v>
      </c>
      <c r="AM35" t="s">
        <v>83</v>
      </c>
      <c r="AN35">
        <v>1.3797670953143109</v>
      </c>
      <c r="AO35" t="s">
        <v>1638</v>
      </c>
      <c r="AP35" t="s">
        <v>1639</v>
      </c>
      <c r="AQ35" t="s">
        <v>1640</v>
      </c>
      <c r="AR35" t="s">
        <v>1641</v>
      </c>
      <c r="AS35">
        <v>1</v>
      </c>
      <c r="AT35">
        <v>0</v>
      </c>
      <c r="AU35">
        <v>0</v>
      </c>
      <c r="AV35">
        <v>1</v>
      </c>
      <c r="AW35">
        <v>0</v>
      </c>
      <c r="AX35">
        <v>0</v>
      </c>
      <c r="AY35" t="s">
        <v>1642</v>
      </c>
    </row>
    <row r="36" spans="1:51">
      <c r="A36" t="s">
        <v>79</v>
      </c>
      <c r="B36" t="s">
        <v>137</v>
      </c>
      <c r="C36" t="s">
        <v>81</v>
      </c>
      <c r="D36" t="s">
        <v>32</v>
      </c>
      <c r="E36" t="s">
        <v>100</v>
      </c>
      <c r="F36">
        <v>1000</v>
      </c>
      <c r="G36" t="s">
        <v>101</v>
      </c>
      <c r="H36" t="s">
        <v>84</v>
      </c>
      <c r="I36" t="s">
        <v>85</v>
      </c>
      <c r="J36" t="s">
        <v>86</v>
      </c>
      <c r="K36" t="s">
        <v>41</v>
      </c>
      <c r="L36" t="s">
        <v>40</v>
      </c>
      <c r="M36" t="s">
        <v>87</v>
      </c>
      <c r="N36" s="7">
        <v>17.61</v>
      </c>
      <c r="O36" s="7">
        <v>0.252</v>
      </c>
      <c r="P36" s="7">
        <v>3</v>
      </c>
      <c r="Q36" s="7">
        <v>33.082000000000001</v>
      </c>
      <c r="R36" s="7">
        <v>1.1319999999999999</v>
      </c>
      <c r="S36" s="7">
        <v>3</v>
      </c>
      <c r="T36" s="7">
        <v>0.43647680350735707</v>
      </c>
      <c r="U36" s="7">
        <v>1.9606815141679688</v>
      </c>
      <c r="V36" s="7">
        <v>0.63052240531191472</v>
      </c>
      <c r="W36" s="7">
        <v>1.3756493432103289E-3</v>
      </c>
      <c r="X36" t="s">
        <v>88</v>
      </c>
      <c r="Y36" t="s">
        <v>89</v>
      </c>
      <c r="Z36" t="s">
        <v>90</v>
      </c>
      <c r="AA36" t="s">
        <v>133</v>
      </c>
      <c r="AB36" t="s">
        <v>92</v>
      </c>
      <c r="AC36" t="s">
        <v>79</v>
      </c>
      <c r="AD36" t="s">
        <v>79</v>
      </c>
      <c r="AE36" t="s">
        <v>1634</v>
      </c>
      <c r="AF36" t="s">
        <v>1646</v>
      </c>
      <c r="AG36" t="s">
        <v>1634</v>
      </c>
      <c r="AI36" t="s">
        <v>40</v>
      </c>
      <c r="AJ36" t="s">
        <v>1636</v>
      </c>
      <c r="AK36" t="s">
        <v>1637</v>
      </c>
      <c r="AL36" s="4">
        <v>1000</v>
      </c>
      <c r="AM36" t="s">
        <v>101</v>
      </c>
      <c r="AO36" t="s">
        <v>1647</v>
      </c>
      <c r="AP36" t="s">
        <v>1639</v>
      </c>
      <c r="AQ36" t="s">
        <v>1640</v>
      </c>
      <c r="AR36" t="s">
        <v>1641</v>
      </c>
      <c r="AS36">
        <v>1</v>
      </c>
      <c r="AT36">
        <v>0</v>
      </c>
      <c r="AU36">
        <v>0</v>
      </c>
      <c r="AV36">
        <v>1</v>
      </c>
      <c r="AW36">
        <v>0</v>
      </c>
      <c r="AX36">
        <v>0</v>
      </c>
      <c r="AY36" t="s">
        <v>1642</v>
      </c>
    </row>
    <row r="37" spans="1:51">
      <c r="A37" t="s">
        <v>79</v>
      </c>
      <c r="B37" t="s">
        <v>138</v>
      </c>
      <c r="C37" t="s">
        <v>81</v>
      </c>
      <c r="D37" t="s">
        <v>33</v>
      </c>
      <c r="E37" t="s">
        <v>82</v>
      </c>
      <c r="F37">
        <v>250</v>
      </c>
      <c r="G37" t="s">
        <v>83</v>
      </c>
      <c r="H37" t="s">
        <v>84</v>
      </c>
      <c r="I37" t="s">
        <v>85</v>
      </c>
      <c r="J37" t="s">
        <v>86</v>
      </c>
      <c r="K37" t="s">
        <v>41</v>
      </c>
      <c r="L37" t="s">
        <v>40</v>
      </c>
      <c r="M37" t="s">
        <v>87</v>
      </c>
      <c r="N37" s="7">
        <v>18.113</v>
      </c>
      <c r="O37" s="7">
        <v>0.629</v>
      </c>
      <c r="P37" s="7">
        <v>3</v>
      </c>
      <c r="Q37" s="7">
        <v>30.692</v>
      </c>
      <c r="R37" s="7">
        <v>0.377</v>
      </c>
      <c r="S37" s="7">
        <v>3</v>
      </c>
      <c r="T37" s="7">
        <v>1.0894599579608237</v>
      </c>
      <c r="U37" s="7">
        <v>0.65298315445346666</v>
      </c>
      <c r="V37" s="7">
        <v>0.52737212180463922</v>
      </c>
      <c r="W37" s="7">
        <v>1.3568058298879314E-3</v>
      </c>
      <c r="X37" t="s">
        <v>88</v>
      </c>
      <c r="Y37" t="s">
        <v>89</v>
      </c>
      <c r="Z37" t="s">
        <v>90</v>
      </c>
      <c r="AA37" t="s">
        <v>139</v>
      </c>
      <c r="AB37" t="s">
        <v>92</v>
      </c>
      <c r="AC37" t="s">
        <v>79</v>
      </c>
      <c r="AD37" t="s">
        <v>79</v>
      </c>
      <c r="AE37" t="s">
        <v>1648</v>
      </c>
      <c r="AF37" t="s">
        <v>1649</v>
      </c>
      <c r="AG37" t="s">
        <v>1648</v>
      </c>
      <c r="AI37" t="s">
        <v>40</v>
      </c>
      <c r="AJ37" t="s">
        <v>1636</v>
      </c>
      <c r="AK37" t="s">
        <v>1637</v>
      </c>
      <c r="AL37" s="4">
        <v>250</v>
      </c>
      <c r="AM37" t="s">
        <v>83</v>
      </c>
      <c r="AN37">
        <v>1.6754909188392197</v>
      </c>
      <c r="AO37" t="s">
        <v>1638</v>
      </c>
      <c r="AP37" t="s">
        <v>1639</v>
      </c>
      <c r="AQ37" t="s">
        <v>1640</v>
      </c>
      <c r="AR37" t="s">
        <v>1641</v>
      </c>
      <c r="AS37">
        <v>1</v>
      </c>
      <c r="AT37">
        <v>0</v>
      </c>
      <c r="AU37">
        <v>0</v>
      </c>
      <c r="AV37">
        <v>1</v>
      </c>
      <c r="AW37">
        <v>0</v>
      </c>
      <c r="AX37">
        <v>0</v>
      </c>
      <c r="AY37" t="s">
        <v>1642</v>
      </c>
    </row>
    <row r="38" spans="1:51">
      <c r="A38" t="s">
        <v>79</v>
      </c>
      <c r="B38" t="s">
        <v>140</v>
      </c>
      <c r="C38" t="s">
        <v>81</v>
      </c>
      <c r="D38" t="s">
        <v>33</v>
      </c>
      <c r="E38" t="s">
        <v>94</v>
      </c>
      <c r="F38">
        <v>250</v>
      </c>
      <c r="G38" t="s">
        <v>83</v>
      </c>
      <c r="H38" t="s">
        <v>84</v>
      </c>
      <c r="I38" t="s">
        <v>85</v>
      </c>
      <c r="J38" t="s">
        <v>86</v>
      </c>
      <c r="K38" t="s">
        <v>41</v>
      </c>
      <c r="L38" t="s">
        <v>40</v>
      </c>
      <c r="M38" t="s">
        <v>87</v>
      </c>
      <c r="N38" s="7">
        <v>18.113</v>
      </c>
      <c r="O38" s="7">
        <v>0.629</v>
      </c>
      <c r="P38" s="7">
        <v>3</v>
      </c>
      <c r="Q38" s="7">
        <v>29.56</v>
      </c>
      <c r="R38" s="7">
        <v>0.126</v>
      </c>
      <c r="S38" s="7">
        <v>3</v>
      </c>
      <c r="T38" s="7">
        <v>1.0894599579608237</v>
      </c>
      <c r="U38" s="7">
        <v>0.21823840175367853</v>
      </c>
      <c r="V38" s="7">
        <v>0.4897921835692215</v>
      </c>
      <c r="W38" s="7">
        <v>1.2240946559203916E-3</v>
      </c>
      <c r="X38" t="s">
        <v>88</v>
      </c>
      <c r="Y38" t="s">
        <v>89</v>
      </c>
      <c r="Z38" t="s">
        <v>90</v>
      </c>
      <c r="AA38" t="s">
        <v>139</v>
      </c>
      <c r="AB38" t="s">
        <v>92</v>
      </c>
      <c r="AC38" t="s">
        <v>79</v>
      </c>
      <c r="AD38" t="s">
        <v>79</v>
      </c>
      <c r="AE38" t="s">
        <v>1648</v>
      </c>
      <c r="AF38" t="s">
        <v>1650</v>
      </c>
      <c r="AG38" t="s">
        <v>1648</v>
      </c>
      <c r="AI38" t="s">
        <v>40</v>
      </c>
      <c r="AJ38" t="s">
        <v>1636</v>
      </c>
      <c r="AK38" t="s">
        <v>1637</v>
      </c>
      <c r="AL38" s="4">
        <v>250</v>
      </c>
      <c r="AM38" t="s">
        <v>83</v>
      </c>
      <c r="AN38">
        <v>1.5134088019855925</v>
      </c>
      <c r="AO38" t="s">
        <v>1638</v>
      </c>
      <c r="AP38" t="s">
        <v>1639</v>
      </c>
      <c r="AQ38" t="s">
        <v>1640</v>
      </c>
      <c r="AR38" t="s">
        <v>1641</v>
      </c>
      <c r="AS38">
        <v>1</v>
      </c>
      <c r="AT38">
        <v>0</v>
      </c>
      <c r="AU38">
        <v>0</v>
      </c>
      <c r="AV38">
        <v>1</v>
      </c>
      <c r="AW38">
        <v>0</v>
      </c>
      <c r="AX38">
        <v>0</v>
      </c>
      <c r="AY38" t="s">
        <v>1642</v>
      </c>
    </row>
    <row r="39" spans="1:51">
      <c r="A39" t="s">
        <v>79</v>
      </c>
      <c r="B39" t="s">
        <v>141</v>
      </c>
      <c r="C39" t="s">
        <v>81</v>
      </c>
      <c r="D39" t="s">
        <v>33</v>
      </c>
      <c r="E39" t="s">
        <v>96</v>
      </c>
      <c r="F39">
        <v>250</v>
      </c>
      <c r="G39" t="s">
        <v>83</v>
      </c>
      <c r="H39" t="s">
        <v>84</v>
      </c>
      <c r="I39" t="s">
        <v>85</v>
      </c>
      <c r="J39" t="s">
        <v>86</v>
      </c>
      <c r="K39" t="s">
        <v>41</v>
      </c>
      <c r="L39" t="s">
        <v>40</v>
      </c>
      <c r="M39" t="s">
        <v>87</v>
      </c>
      <c r="N39" s="7">
        <v>18.113</v>
      </c>
      <c r="O39" s="7">
        <v>0.629</v>
      </c>
      <c r="P39" s="7">
        <v>3</v>
      </c>
      <c r="Q39" s="7">
        <v>27.420999999999999</v>
      </c>
      <c r="R39" s="7">
        <v>0.377</v>
      </c>
      <c r="S39" s="7">
        <v>3</v>
      </c>
      <c r="T39" s="7">
        <v>1.0894599579608237</v>
      </c>
      <c r="U39" s="7">
        <v>0.65298315445346666</v>
      </c>
      <c r="V39" s="7">
        <v>0.41467923068850826</v>
      </c>
      <c r="W39" s="7">
        <v>1.3949492458299689E-3</v>
      </c>
      <c r="X39" t="s">
        <v>88</v>
      </c>
      <c r="Y39" t="s">
        <v>89</v>
      </c>
      <c r="Z39" t="s">
        <v>90</v>
      </c>
      <c r="AA39" t="s">
        <v>139</v>
      </c>
      <c r="AB39" t="s">
        <v>92</v>
      </c>
      <c r="AC39" t="s">
        <v>79</v>
      </c>
      <c r="AD39" t="s">
        <v>79</v>
      </c>
      <c r="AE39" t="s">
        <v>1648</v>
      </c>
      <c r="AF39" t="s">
        <v>1651</v>
      </c>
      <c r="AG39" t="s">
        <v>1648</v>
      </c>
      <c r="AI39" t="s">
        <v>40</v>
      </c>
      <c r="AJ39" t="s">
        <v>1636</v>
      </c>
      <c r="AK39" t="s">
        <v>1637</v>
      </c>
      <c r="AL39" s="4">
        <v>250</v>
      </c>
      <c r="AM39" t="s">
        <v>83</v>
      </c>
      <c r="AN39">
        <v>2.1714583514288197</v>
      </c>
      <c r="AO39" t="s">
        <v>1638</v>
      </c>
      <c r="AP39" t="s">
        <v>1639</v>
      </c>
      <c r="AQ39" t="s">
        <v>1640</v>
      </c>
      <c r="AR39" t="s">
        <v>1641</v>
      </c>
      <c r="AS39">
        <v>1</v>
      </c>
      <c r="AT39">
        <v>0</v>
      </c>
      <c r="AU39">
        <v>0</v>
      </c>
      <c r="AV39">
        <v>1</v>
      </c>
      <c r="AW39">
        <v>0</v>
      </c>
      <c r="AX39">
        <v>0</v>
      </c>
      <c r="AY39" t="s">
        <v>1642</v>
      </c>
    </row>
    <row r="40" spans="1:51">
      <c r="A40" t="s">
        <v>79</v>
      </c>
      <c r="B40" t="s">
        <v>142</v>
      </c>
      <c r="C40" t="s">
        <v>81</v>
      </c>
      <c r="D40" t="s">
        <v>33</v>
      </c>
      <c r="E40" t="s">
        <v>98</v>
      </c>
      <c r="F40">
        <v>250</v>
      </c>
      <c r="G40" t="s">
        <v>83</v>
      </c>
      <c r="H40" t="s">
        <v>84</v>
      </c>
      <c r="I40" t="s">
        <v>85</v>
      </c>
      <c r="J40" t="s">
        <v>86</v>
      </c>
      <c r="K40" t="s">
        <v>41</v>
      </c>
      <c r="L40" t="s">
        <v>40</v>
      </c>
      <c r="M40" t="s">
        <v>87</v>
      </c>
      <c r="N40" s="7">
        <v>18.113</v>
      </c>
      <c r="O40" s="7">
        <v>0.629</v>
      </c>
      <c r="P40" s="7">
        <v>3</v>
      </c>
      <c r="Q40" s="7">
        <v>27.925000000000001</v>
      </c>
      <c r="R40" s="7">
        <v>0.126</v>
      </c>
      <c r="S40" s="7">
        <v>3</v>
      </c>
      <c r="T40" s="7">
        <v>1.0894599579608237</v>
      </c>
      <c r="U40" s="7">
        <v>0.21823840175367853</v>
      </c>
      <c r="V40" s="7">
        <v>0.43289243244448494</v>
      </c>
      <c r="W40" s="7">
        <v>1.2262845250423666E-3</v>
      </c>
      <c r="X40" t="s">
        <v>88</v>
      </c>
      <c r="Y40" t="s">
        <v>89</v>
      </c>
      <c r="Z40" t="s">
        <v>90</v>
      </c>
      <c r="AA40" t="s">
        <v>139</v>
      </c>
      <c r="AB40" t="s">
        <v>92</v>
      </c>
      <c r="AC40" t="s">
        <v>79</v>
      </c>
      <c r="AD40" t="s">
        <v>79</v>
      </c>
      <c r="AE40" t="s">
        <v>1648</v>
      </c>
      <c r="AF40" t="s">
        <v>1652</v>
      </c>
      <c r="AG40" t="s">
        <v>1648</v>
      </c>
      <c r="AI40" t="s">
        <v>40</v>
      </c>
      <c r="AJ40" t="s">
        <v>1636</v>
      </c>
      <c r="AK40" t="s">
        <v>1637</v>
      </c>
      <c r="AL40" s="4">
        <v>250</v>
      </c>
      <c r="AM40" t="s">
        <v>83</v>
      </c>
      <c r="AN40">
        <v>1.3797670953143109</v>
      </c>
      <c r="AO40" t="s">
        <v>1638</v>
      </c>
      <c r="AP40" t="s">
        <v>1639</v>
      </c>
      <c r="AQ40" t="s">
        <v>1640</v>
      </c>
      <c r="AR40" t="s">
        <v>1641</v>
      </c>
      <c r="AS40">
        <v>1</v>
      </c>
      <c r="AT40">
        <v>0</v>
      </c>
      <c r="AU40">
        <v>0</v>
      </c>
      <c r="AV40">
        <v>1</v>
      </c>
      <c r="AW40">
        <v>0</v>
      </c>
      <c r="AX40">
        <v>0</v>
      </c>
      <c r="AY40" t="s">
        <v>1642</v>
      </c>
    </row>
    <row r="41" spans="1:51">
      <c r="A41" t="s">
        <v>79</v>
      </c>
      <c r="B41" t="s">
        <v>143</v>
      </c>
      <c r="C41" t="s">
        <v>81</v>
      </c>
      <c r="D41" t="s">
        <v>33</v>
      </c>
      <c r="E41" t="s">
        <v>100</v>
      </c>
      <c r="F41">
        <v>1000</v>
      </c>
      <c r="G41" t="s">
        <v>101</v>
      </c>
      <c r="H41" t="s">
        <v>84</v>
      </c>
      <c r="I41" t="s">
        <v>85</v>
      </c>
      <c r="J41" t="s">
        <v>86</v>
      </c>
      <c r="K41" t="s">
        <v>41</v>
      </c>
      <c r="L41" t="s">
        <v>40</v>
      </c>
      <c r="M41" t="s">
        <v>87</v>
      </c>
      <c r="N41" s="7">
        <v>18.113</v>
      </c>
      <c r="O41" s="7">
        <v>0.629</v>
      </c>
      <c r="P41" s="7">
        <v>3</v>
      </c>
      <c r="Q41" s="7">
        <v>35.094000000000001</v>
      </c>
      <c r="R41" s="7">
        <v>0.126</v>
      </c>
      <c r="S41" s="7">
        <v>3</v>
      </c>
      <c r="T41" s="7">
        <v>1.0894599579608237</v>
      </c>
      <c r="U41" s="7">
        <v>0.21823840175367853</v>
      </c>
      <c r="V41" s="7">
        <v>0.66140026317816425</v>
      </c>
      <c r="W41" s="7">
        <v>1.2188162712005038E-3</v>
      </c>
      <c r="X41" t="s">
        <v>88</v>
      </c>
      <c r="Y41" t="s">
        <v>89</v>
      </c>
      <c r="Z41" t="s">
        <v>90</v>
      </c>
      <c r="AA41" t="s">
        <v>139</v>
      </c>
      <c r="AB41" t="s">
        <v>92</v>
      </c>
      <c r="AC41" t="s">
        <v>79</v>
      </c>
      <c r="AD41" t="s">
        <v>79</v>
      </c>
      <c r="AE41" t="s">
        <v>1648</v>
      </c>
      <c r="AF41" t="s">
        <v>1653</v>
      </c>
      <c r="AG41" t="s">
        <v>1648</v>
      </c>
      <c r="AI41" t="s">
        <v>40</v>
      </c>
      <c r="AJ41" t="s">
        <v>1636</v>
      </c>
      <c r="AK41" t="s">
        <v>1637</v>
      </c>
      <c r="AL41" s="4">
        <v>1000</v>
      </c>
      <c r="AM41" t="s">
        <v>101</v>
      </c>
      <c r="AO41" t="s">
        <v>1647</v>
      </c>
      <c r="AP41" t="s">
        <v>1639</v>
      </c>
      <c r="AQ41" t="s">
        <v>1640</v>
      </c>
      <c r="AR41" t="s">
        <v>1641</v>
      </c>
      <c r="AS41">
        <v>1</v>
      </c>
      <c r="AT41">
        <v>0</v>
      </c>
      <c r="AU41">
        <v>0</v>
      </c>
      <c r="AV41">
        <v>1</v>
      </c>
      <c r="AW41">
        <v>0</v>
      </c>
      <c r="AX41">
        <v>0</v>
      </c>
      <c r="AY41" t="s">
        <v>1642</v>
      </c>
    </row>
    <row r="42" spans="1:51">
      <c r="A42" t="s">
        <v>144</v>
      </c>
      <c r="B42" t="s">
        <v>145</v>
      </c>
      <c r="C42" t="s">
        <v>146</v>
      </c>
      <c r="E42" t="s">
        <v>96</v>
      </c>
      <c r="F42">
        <v>300</v>
      </c>
      <c r="G42" t="s">
        <v>147</v>
      </c>
      <c r="H42" t="s">
        <v>84</v>
      </c>
      <c r="I42" t="s">
        <v>85</v>
      </c>
      <c r="J42" t="s">
        <v>148</v>
      </c>
      <c r="K42" t="s">
        <v>149</v>
      </c>
      <c r="L42" t="s">
        <v>42</v>
      </c>
      <c r="M42" t="s">
        <v>150</v>
      </c>
      <c r="N42" s="7">
        <v>36.954999999999998</v>
      </c>
      <c r="O42" s="7">
        <v>5.97</v>
      </c>
      <c r="P42" s="7">
        <v>3</v>
      </c>
      <c r="Q42" s="7">
        <v>41.97</v>
      </c>
      <c r="R42" s="7">
        <v>3.343</v>
      </c>
      <c r="S42" s="7">
        <v>3</v>
      </c>
      <c r="T42" s="7">
        <v>10.340343321186197</v>
      </c>
      <c r="U42" s="7">
        <v>5.7902458497027567</v>
      </c>
      <c r="V42" s="7">
        <v>0.12725412110864937</v>
      </c>
      <c r="W42" s="7">
        <v>3.2442163081584915E-2</v>
      </c>
      <c r="X42" t="s">
        <v>151</v>
      </c>
      <c r="Y42" t="s">
        <v>89</v>
      </c>
      <c r="Z42" t="s">
        <v>90</v>
      </c>
      <c r="AA42" t="s">
        <v>152</v>
      </c>
      <c r="AB42" t="s">
        <v>153</v>
      </c>
      <c r="AC42" t="s">
        <v>144</v>
      </c>
      <c r="AD42" t="s">
        <v>144</v>
      </c>
      <c r="AE42" t="s">
        <v>1654</v>
      </c>
      <c r="AF42" t="s">
        <v>1655</v>
      </c>
      <c r="AG42" t="s">
        <v>1654</v>
      </c>
      <c r="AI42" t="s">
        <v>42</v>
      </c>
      <c r="AJ42" t="s">
        <v>1636</v>
      </c>
      <c r="AK42" t="s">
        <v>1637</v>
      </c>
      <c r="AL42" s="4">
        <v>300</v>
      </c>
      <c r="AM42" t="s">
        <v>147</v>
      </c>
      <c r="AN42">
        <v>2.6057500217145835</v>
      </c>
      <c r="AO42" t="s">
        <v>1638</v>
      </c>
      <c r="AP42" t="s">
        <v>1639</v>
      </c>
      <c r="AQ42" t="s">
        <v>1640</v>
      </c>
      <c r="AR42" t="s">
        <v>1641</v>
      </c>
      <c r="AS42">
        <v>0</v>
      </c>
      <c r="AT42">
        <v>1</v>
      </c>
      <c r="AU42">
        <v>0</v>
      </c>
      <c r="AV42">
        <v>1</v>
      </c>
      <c r="AW42">
        <v>0</v>
      </c>
      <c r="AX42">
        <v>0</v>
      </c>
      <c r="AY42" t="s">
        <v>1642</v>
      </c>
    </row>
    <row r="43" spans="1:51">
      <c r="A43" t="s">
        <v>144</v>
      </c>
      <c r="B43" t="s">
        <v>154</v>
      </c>
      <c r="C43" t="s">
        <v>146</v>
      </c>
      <c r="E43" t="s">
        <v>96</v>
      </c>
      <c r="F43">
        <v>450</v>
      </c>
      <c r="G43" t="s">
        <v>147</v>
      </c>
      <c r="H43" t="s">
        <v>84</v>
      </c>
      <c r="I43" t="s">
        <v>85</v>
      </c>
      <c r="J43" t="s">
        <v>148</v>
      </c>
      <c r="K43" t="s">
        <v>149</v>
      </c>
      <c r="L43" t="s">
        <v>42</v>
      </c>
      <c r="M43" t="s">
        <v>150</v>
      </c>
      <c r="N43" s="7">
        <v>36.954999999999998</v>
      </c>
      <c r="O43" s="7">
        <v>5.97</v>
      </c>
      <c r="P43" s="7">
        <v>3</v>
      </c>
      <c r="Q43" s="7">
        <v>46.627000000000002</v>
      </c>
      <c r="R43" s="7">
        <v>6.09</v>
      </c>
      <c r="S43" s="7">
        <v>3</v>
      </c>
      <c r="T43" s="7">
        <v>10.340343321186197</v>
      </c>
      <c r="U43" s="7">
        <v>10.548189418094461</v>
      </c>
      <c r="V43" s="7">
        <v>0.23247881624950567</v>
      </c>
      <c r="W43" s="7">
        <v>4.3156939253624099E-2</v>
      </c>
      <c r="X43" t="s">
        <v>151</v>
      </c>
      <c r="Y43" t="s">
        <v>89</v>
      </c>
      <c r="Z43" t="s">
        <v>90</v>
      </c>
      <c r="AA43" t="s">
        <v>152</v>
      </c>
      <c r="AB43" t="s">
        <v>153</v>
      </c>
      <c r="AC43" t="s">
        <v>144</v>
      </c>
      <c r="AD43" t="s">
        <v>144</v>
      </c>
      <c r="AE43" t="s">
        <v>1654</v>
      </c>
      <c r="AF43" t="s">
        <v>1656</v>
      </c>
      <c r="AG43" t="s">
        <v>1654</v>
      </c>
      <c r="AI43" t="s">
        <v>42</v>
      </c>
      <c r="AJ43" t="s">
        <v>1636</v>
      </c>
      <c r="AK43" t="s">
        <v>1637</v>
      </c>
      <c r="AL43" s="4">
        <v>450</v>
      </c>
      <c r="AM43" t="s">
        <v>147</v>
      </c>
      <c r="AN43">
        <v>3.9086250325718752</v>
      </c>
      <c r="AO43" t="s">
        <v>1638</v>
      </c>
      <c r="AP43" t="s">
        <v>1639</v>
      </c>
      <c r="AQ43" t="s">
        <v>1640</v>
      </c>
      <c r="AR43" t="s">
        <v>1641</v>
      </c>
      <c r="AS43">
        <v>0</v>
      </c>
      <c r="AT43">
        <v>1</v>
      </c>
      <c r="AU43">
        <v>0</v>
      </c>
      <c r="AV43">
        <v>1</v>
      </c>
      <c r="AW43">
        <v>0</v>
      </c>
      <c r="AX43">
        <v>0</v>
      </c>
      <c r="AY43" t="s">
        <v>1642</v>
      </c>
    </row>
    <row r="44" spans="1:51">
      <c r="A44" t="s">
        <v>144</v>
      </c>
      <c r="B44" t="s">
        <v>155</v>
      </c>
      <c r="C44" t="s">
        <v>146</v>
      </c>
      <c r="E44" t="s">
        <v>96</v>
      </c>
      <c r="F44">
        <v>300</v>
      </c>
      <c r="G44" t="s">
        <v>147</v>
      </c>
      <c r="H44" t="s">
        <v>84</v>
      </c>
      <c r="I44" t="s">
        <v>85</v>
      </c>
      <c r="J44" t="s">
        <v>156</v>
      </c>
      <c r="K44" t="s">
        <v>149</v>
      </c>
      <c r="L44" t="s">
        <v>42</v>
      </c>
      <c r="M44" t="s">
        <v>150</v>
      </c>
      <c r="N44" s="7">
        <v>35.881</v>
      </c>
      <c r="O44" s="7">
        <v>0.59699999999999998</v>
      </c>
      <c r="P44" s="7">
        <v>3</v>
      </c>
      <c r="Q44" s="7">
        <v>47.94</v>
      </c>
      <c r="R44" s="7">
        <v>5.7309999999999999</v>
      </c>
      <c r="S44" s="7">
        <v>3</v>
      </c>
      <c r="T44" s="7">
        <v>1.0340343321186196</v>
      </c>
      <c r="U44" s="7">
        <v>9.9263831781772343</v>
      </c>
      <c r="V44" s="7">
        <v>0.28974232152397855</v>
      </c>
      <c r="W44" s="7">
        <v>1.4567904464032456E-2</v>
      </c>
      <c r="X44" t="s">
        <v>151</v>
      </c>
      <c r="Y44" t="s">
        <v>89</v>
      </c>
      <c r="Z44" t="s">
        <v>90</v>
      </c>
      <c r="AA44" t="s">
        <v>157</v>
      </c>
      <c r="AB44" t="s">
        <v>92</v>
      </c>
      <c r="AC44" t="s">
        <v>144</v>
      </c>
      <c r="AD44" t="s">
        <v>144</v>
      </c>
      <c r="AE44" t="s">
        <v>1657</v>
      </c>
      <c r="AF44" t="s">
        <v>1658</v>
      </c>
      <c r="AG44" t="s">
        <v>1657</v>
      </c>
      <c r="AI44" t="s">
        <v>42</v>
      </c>
      <c r="AJ44" t="s">
        <v>1636</v>
      </c>
      <c r="AK44" t="s">
        <v>1637</v>
      </c>
      <c r="AL44" s="4">
        <v>300</v>
      </c>
      <c r="AM44" t="s">
        <v>147</v>
      </c>
      <c r="AN44">
        <v>2.6057500217145835</v>
      </c>
      <c r="AO44" t="s">
        <v>1638</v>
      </c>
      <c r="AP44" t="s">
        <v>1639</v>
      </c>
      <c r="AQ44" t="s">
        <v>1640</v>
      </c>
      <c r="AR44" t="s">
        <v>1641</v>
      </c>
      <c r="AS44">
        <v>1</v>
      </c>
      <c r="AT44">
        <v>0</v>
      </c>
      <c r="AU44">
        <v>0</v>
      </c>
      <c r="AV44">
        <v>1</v>
      </c>
      <c r="AW44">
        <v>0</v>
      </c>
      <c r="AX44">
        <v>0</v>
      </c>
      <c r="AY44" t="s">
        <v>1642</v>
      </c>
    </row>
    <row r="45" spans="1:51">
      <c r="A45" t="s">
        <v>144</v>
      </c>
      <c r="B45" t="s">
        <v>158</v>
      </c>
      <c r="C45" t="s">
        <v>146</v>
      </c>
      <c r="E45" t="s">
        <v>96</v>
      </c>
      <c r="F45">
        <v>450</v>
      </c>
      <c r="G45" t="s">
        <v>147</v>
      </c>
      <c r="H45" t="s">
        <v>84</v>
      </c>
      <c r="I45" t="s">
        <v>85</v>
      </c>
      <c r="J45" t="s">
        <v>156</v>
      </c>
      <c r="K45" t="s">
        <v>149</v>
      </c>
      <c r="L45" t="s">
        <v>42</v>
      </c>
      <c r="M45" t="s">
        <v>150</v>
      </c>
      <c r="N45" s="7">
        <v>35.881</v>
      </c>
      <c r="O45" s="7">
        <v>0.59699999999999998</v>
      </c>
      <c r="P45" s="7">
        <v>3</v>
      </c>
      <c r="Q45" s="7">
        <v>52</v>
      </c>
      <c r="R45" s="7">
        <v>2.2690000000000001</v>
      </c>
      <c r="S45" s="7">
        <v>3</v>
      </c>
      <c r="T45" s="7">
        <v>1.0340343321186196</v>
      </c>
      <c r="U45" s="7">
        <v>3.9300232823737824</v>
      </c>
      <c r="V45" s="7">
        <v>0.37103581109916761</v>
      </c>
      <c r="W45" s="7">
        <v>2.180813760323422E-3</v>
      </c>
      <c r="X45" t="s">
        <v>151</v>
      </c>
      <c r="Y45" t="s">
        <v>89</v>
      </c>
      <c r="Z45" t="s">
        <v>90</v>
      </c>
      <c r="AA45" t="s">
        <v>157</v>
      </c>
      <c r="AB45" t="s">
        <v>92</v>
      </c>
      <c r="AC45" t="s">
        <v>144</v>
      </c>
      <c r="AD45" t="s">
        <v>144</v>
      </c>
      <c r="AE45" t="s">
        <v>1657</v>
      </c>
      <c r="AF45" t="s">
        <v>1659</v>
      </c>
      <c r="AG45" t="s">
        <v>1657</v>
      </c>
      <c r="AI45" t="s">
        <v>42</v>
      </c>
      <c r="AJ45" t="s">
        <v>1636</v>
      </c>
      <c r="AK45" t="s">
        <v>1637</v>
      </c>
      <c r="AL45" s="4">
        <v>450</v>
      </c>
      <c r="AM45" t="s">
        <v>147</v>
      </c>
      <c r="AN45">
        <v>3.9086250325718752</v>
      </c>
      <c r="AO45" t="s">
        <v>1638</v>
      </c>
      <c r="AP45" t="s">
        <v>1639</v>
      </c>
      <c r="AQ45" t="s">
        <v>1640</v>
      </c>
      <c r="AR45" t="s">
        <v>1641</v>
      </c>
      <c r="AS45">
        <v>1</v>
      </c>
      <c r="AT45">
        <v>0</v>
      </c>
      <c r="AU45">
        <v>0</v>
      </c>
      <c r="AV45">
        <v>1</v>
      </c>
      <c r="AW45">
        <v>0</v>
      </c>
      <c r="AX45">
        <v>0</v>
      </c>
      <c r="AY45" t="s">
        <v>1642</v>
      </c>
    </row>
    <row r="46" spans="1:51">
      <c r="A46" t="s">
        <v>144</v>
      </c>
      <c r="B46" t="s">
        <v>159</v>
      </c>
      <c r="C46" t="s">
        <v>146</v>
      </c>
      <c r="E46" t="s">
        <v>96</v>
      </c>
      <c r="F46">
        <v>300</v>
      </c>
      <c r="G46" t="s">
        <v>147</v>
      </c>
      <c r="H46" t="s">
        <v>84</v>
      </c>
      <c r="I46" t="s">
        <v>85</v>
      </c>
      <c r="J46" t="s">
        <v>160</v>
      </c>
      <c r="K46" t="s">
        <v>149</v>
      </c>
      <c r="L46" t="s">
        <v>42</v>
      </c>
      <c r="M46" t="s">
        <v>150</v>
      </c>
      <c r="N46" s="7">
        <v>32.896000000000001</v>
      </c>
      <c r="O46" s="7">
        <v>3.4630000000000001</v>
      </c>
      <c r="P46" s="7">
        <v>3</v>
      </c>
      <c r="Q46" s="7">
        <v>43.881</v>
      </c>
      <c r="R46" s="7">
        <v>6.2089999999999996</v>
      </c>
      <c r="S46" s="7">
        <v>3</v>
      </c>
      <c r="T46" s="7">
        <v>5.9980919466110221</v>
      </c>
      <c r="U46" s="7">
        <v>10.754303464195157</v>
      </c>
      <c r="V46" s="7">
        <v>0.28813035474036103</v>
      </c>
      <c r="W46" s="7">
        <v>3.1103225077797149E-2</v>
      </c>
      <c r="X46" t="s">
        <v>151</v>
      </c>
      <c r="Y46" t="s">
        <v>89</v>
      </c>
      <c r="Z46" t="s">
        <v>90</v>
      </c>
      <c r="AA46" t="s">
        <v>161</v>
      </c>
      <c r="AB46" t="s">
        <v>92</v>
      </c>
      <c r="AC46" t="s">
        <v>144</v>
      </c>
      <c r="AD46" t="s">
        <v>144</v>
      </c>
      <c r="AE46" t="s">
        <v>1660</v>
      </c>
      <c r="AF46" t="s">
        <v>1661</v>
      </c>
      <c r="AG46" t="s">
        <v>1660</v>
      </c>
      <c r="AI46" t="s">
        <v>42</v>
      </c>
      <c r="AJ46" t="s">
        <v>1636</v>
      </c>
      <c r="AK46" t="s">
        <v>1637</v>
      </c>
      <c r="AL46" s="4">
        <v>300</v>
      </c>
      <c r="AM46" t="s">
        <v>147</v>
      </c>
      <c r="AN46">
        <v>2.6057500217145835</v>
      </c>
      <c r="AO46" t="s">
        <v>1638</v>
      </c>
      <c r="AP46" t="s">
        <v>1639</v>
      </c>
      <c r="AQ46" t="s">
        <v>1640</v>
      </c>
      <c r="AR46" t="s">
        <v>1641</v>
      </c>
      <c r="AS46">
        <v>1</v>
      </c>
      <c r="AT46">
        <v>0</v>
      </c>
      <c r="AU46">
        <v>0</v>
      </c>
      <c r="AV46">
        <v>1</v>
      </c>
      <c r="AW46">
        <v>0</v>
      </c>
      <c r="AX46">
        <v>0</v>
      </c>
      <c r="AY46" t="s">
        <v>1642</v>
      </c>
    </row>
    <row r="47" spans="1:51">
      <c r="A47" t="s">
        <v>144</v>
      </c>
      <c r="B47" t="s">
        <v>162</v>
      </c>
      <c r="C47" t="s">
        <v>146</v>
      </c>
      <c r="E47" t="s">
        <v>96</v>
      </c>
      <c r="F47">
        <v>450</v>
      </c>
      <c r="G47" t="s">
        <v>147</v>
      </c>
      <c r="H47" t="s">
        <v>84</v>
      </c>
      <c r="I47" t="s">
        <v>85</v>
      </c>
      <c r="J47" t="s">
        <v>160</v>
      </c>
      <c r="K47" t="s">
        <v>149</v>
      </c>
      <c r="L47" t="s">
        <v>42</v>
      </c>
      <c r="M47" t="s">
        <v>150</v>
      </c>
      <c r="N47" s="7">
        <v>32.896000000000001</v>
      </c>
      <c r="O47" s="7">
        <v>3.4630000000000001</v>
      </c>
      <c r="P47" s="7">
        <v>3</v>
      </c>
      <c r="Q47" s="7">
        <v>44.954999999999998</v>
      </c>
      <c r="R47" s="7">
        <v>2.8660000000000001</v>
      </c>
      <c r="S47" s="7">
        <v>3</v>
      </c>
      <c r="T47" s="7">
        <v>5.9980919466110221</v>
      </c>
      <c r="U47" s="7">
        <v>4.9640576144924022</v>
      </c>
      <c r="V47" s="7">
        <v>0.31231091960403623</v>
      </c>
      <c r="W47" s="7">
        <v>1.5146415921928644E-2</v>
      </c>
      <c r="X47" t="s">
        <v>151</v>
      </c>
      <c r="Y47" t="s">
        <v>89</v>
      </c>
      <c r="Z47" t="s">
        <v>90</v>
      </c>
      <c r="AA47" t="s">
        <v>161</v>
      </c>
      <c r="AB47" t="s">
        <v>92</v>
      </c>
      <c r="AC47" t="s">
        <v>144</v>
      </c>
      <c r="AD47" t="s">
        <v>144</v>
      </c>
      <c r="AE47" t="s">
        <v>1660</v>
      </c>
      <c r="AF47" t="s">
        <v>1662</v>
      </c>
      <c r="AG47" t="s">
        <v>1660</v>
      </c>
      <c r="AI47" t="s">
        <v>42</v>
      </c>
      <c r="AJ47" t="s">
        <v>1636</v>
      </c>
      <c r="AK47" t="s">
        <v>1637</v>
      </c>
      <c r="AL47" s="4">
        <v>450</v>
      </c>
      <c r="AM47" t="s">
        <v>147</v>
      </c>
      <c r="AN47">
        <v>3.9086250325718752</v>
      </c>
      <c r="AO47" t="s">
        <v>1638</v>
      </c>
      <c r="AP47" t="s">
        <v>1639</v>
      </c>
      <c r="AQ47" t="s">
        <v>1640</v>
      </c>
      <c r="AR47" t="s">
        <v>1641</v>
      </c>
      <c r="AS47">
        <v>1</v>
      </c>
      <c r="AT47">
        <v>0</v>
      </c>
      <c r="AU47">
        <v>0</v>
      </c>
      <c r="AV47">
        <v>1</v>
      </c>
      <c r="AW47">
        <v>0</v>
      </c>
      <c r="AX47">
        <v>0</v>
      </c>
      <c r="AY47" t="s">
        <v>1642</v>
      </c>
    </row>
    <row r="48" spans="1:51">
      <c r="A48" t="s">
        <v>144</v>
      </c>
      <c r="B48" t="s">
        <v>163</v>
      </c>
      <c r="C48" t="s">
        <v>146</v>
      </c>
      <c r="E48" t="s">
        <v>96</v>
      </c>
      <c r="F48">
        <v>300</v>
      </c>
      <c r="G48" t="s">
        <v>147</v>
      </c>
      <c r="H48" t="s">
        <v>84</v>
      </c>
      <c r="I48" t="s">
        <v>85</v>
      </c>
      <c r="J48" t="s">
        <v>148</v>
      </c>
      <c r="K48" t="s">
        <v>149</v>
      </c>
      <c r="L48" t="s">
        <v>53</v>
      </c>
      <c r="M48" t="s">
        <v>150</v>
      </c>
      <c r="N48" s="7">
        <v>31.995999999999999</v>
      </c>
      <c r="O48" s="7">
        <v>5.7880000000000003</v>
      </c>
      <c r="P48" s="7">
        <v>3</v>
      </c>
      <c r="Q48" s="7">
        <v>36.369</v>
      </c>
      <c r="R48" s="7">
        <v>1.415</v>
      </c>
      <c r="S48" s="7">
        <v>3</v>
      </c>
      <c r="T48" s="7">
        <v>10.025110074208662</v>
      </c>
      <c r="U48" s="7">
        <v>2.4508518927099612</v>
      </c>
      <c r="V48" s="7">
        <v>0.12810586844598068</v>
      </c>
      <c r="W48" s="7">
        <v>3.4237682171389186E-2</v>
      </c>
      <c r="X48" t="s">
        <v>151</v>
      </c>
      <c r="Y48" t="s">
        <v>89</v>
      </c>
      <c r="Z48" t="s">
        <v>90</v>
      </c>
      <c r="AA48" t="s">
        <v>164</v>
      </c>
      <c r="AB48" t="s">
        <v>153</v>
      </c>
      <c r="AC48" t="s">
        <v>144</v>
      </c>
      <c r="AD48" t="s">
        <v>144</v>
      </c>
      <c r="AE48" t="s">
        <v>1654</v>
      </c>
      <c r="AF48" t="s">
        <v>1655</v>
      </c>
      <c r="AG48" t="s">
        <v>1654</v>
      </c>
      <c r="AI48" t="s">
        <v>53</v>
      </c>
      <c r="AJ48" t="s">
        <v>1636</v>
      </c>
      <c r="AK48" t="s">
        <v>1637</v>
      </c>
      <c r="AL48" s="4">
        <v>300</v>
      </c>
      <c r="AM48" t="s">
        <v>147</v>
      </c>
      <c r="AN48">
        <v>2.6057500217145835</v>
      </c>
      <c r="AO48" t="s">
        <v>1638</v>
      </c>
      <c r="AP48" t="s">
        <v>1639</v>
      </c>
      <c r="AQ48" t="s">
        <v>1640</v>
      </c>
      <c r="AR48" t="s">
        <v>1641</v>
      </c>
      <c r="AS48">
        <v>0</v>
      </c>
      <c r="AT48">
        <v>1</v>
      </c>
      <c r="AU48">
        <v>0</v>
      </c>
      <c r="AV48">
        <v>1</v>
      </c>
      <c r="AW48">
        <v>0</v>
      </c>
      <c r="AX48">
        <v>0</v>
      </c>
      <c r="AY48" t="s">
        <v>1642</v>
      </c>
    </row>
    <row r="49" spans="1:51">
      <c r="A49" t="s">
        <v>144</v>
      </c>
      <c r="B49" t="s">
        <v>165</v>
      </c>
      <c r="C49" t="s">
        <v>146</v>
      </c>
      <c r="E49" t="s">
        <v>96</v>
      </c>
      <c r="F49">
        <v>450</v>
      </c>
      <c r="G49" t="s">
        <v>147</v>
      </c>
      <c r="H49" t="s">
        <v>84</v>
      </c>
      <c r="I49" t="s">
        <v>85</v>
      </c>
      <c r="J49" t="s">
        <v>148</v>
      </c>
      <c r="K49" t="s">
        <v>149</v>
      </c>
      <c r="L49" t="s">
        <v>53</v>
      </c>
      <c r="M49" t="s">
        <v>150</v>
      </c>
      <c r="N49" s="7">
        <v>31.995999999999999</v>
      </c>
      <c r="O49" s="7">
        <v>5.7880000000000003</v>
      </c>
      <c r="P49" s="7">
        <v>3</v>
      </c>
      <c r="Q49" s="7">
        <v>38.040999999999997</v>
      </c>
      <c r="R49" s="7">
        <v>5.7880000000000003</v>
      </c>
      <c r="S49" s="7">
        <v>3</v>
      </c>
      <c r="T49" s="7">
        <v>10.025110074208662</v>
      </c>
      <c r="U49" s="7">
        <v>10.025110074208662</v>
      </c>
      <c r="V49" s="7">
        <v>0.17305363046285824</v>
      </c>
      <c r="W49" s="7">
        <v>5.5874063357332318E-2</v>
      </c>
      <c r="X49" t="s">
        <v>151</v>
      </c>
      <c r="Y49" t="s">
        <v>89</v>
      </c>
      <c r="Z49" t="s">
        <v>90</v>
      </c>
      <c r="AA49" t="s">
        <v>164</v>
      </c>
      <c r="AB49" t="s">
        <v>153</v>
      </c>
      <c r="AC49" t="s">
        <v>144</v>
      </c>
      <c r="AD49" t="s">
        <v>144</v>
      </c>
      <c r="AE49" t="s">
        <v>1654</v>
      </c>
      <c r="AF49" t="s">
        <v>1656</v>
      </c>
      <c r="AG49" t="s">
        <v>1654</v>
      </c>
      <c r="AI49" t="s">
        <v>53</v>
      </c>
      <c r="AJ49" t="s">
        <v>1636</v>
      </c>
      <c r="AK49" t="s">
        <v>1637</v>
      </c>
      <c r="AL49" s="4">
        <v>450</v>
      </c>
      <c r="AM49" t="s">
        <v>147</v>
      </c>
      <c r="AN49">
        <v>3.9086250325718752</v>
      </c>
      <c r="AO49" t="s">
        <v>1638</v>
      </c>
      <c r="AP49" t="s">
        <v>1639</v>
      </c>
      <c r="AQ49" t="s">
        <v>1640</v>
      </c>
      <c r="AR49" t="s">
        <v>1641</v>
      </c>
      <c r="AS49">
        <v>0</v>
      </c>
      <c r="AT49">
        <v>1</v>
      </c>
      <c r="AU49">
        <v>0</v>
      </c>
      <c r="AV49">
        <v>1</v>
      </c>
      <c r="AW49">
        <v>0</v>
      </c>
      <c r="AX49">
        <v>0</v>
      </c>
      <c r="AY49" t="s">
        <v>1642</v>
      </c>
    </row>
    <row r="50" spans="1:51">
      <c r="A50" t="s">
        <v>144</v>
      </c>
      <c r="B50" t="s">
        <v>166</v>
      </c>
      <c r="C50" t="s">
        <v>146</v>
      </c>
      <c r="E50" t="s">
        <v>96</v>
      </c>
      <c r="F50">
        <v>300</v>
      </c>
      <c r="G50" t="s">
        <v>147</v>
      </c>
      <c r="H50" t="s">
        <v>84</v>
      </c>
      <c r="I50" t="s">
        <v>85</v>
      </c>
      <c r="J50" t="s">
        <v>156</v>
      </c>
      <c r="K50" t="s">
        <v>149</v>
      </c>
      <c r="L50" t="s">
        <v>53</v>
      </c>
      <c r="M50" t="s">
        <v>150</v>
      </c>
      <c r="N50" s="7">
        <v>29.937999999999999</v>
      </c>
      <c r="O50" s="7">
        <v>4.6310000000000002</v>
      </c>
      <c r="P50" s="7">
        <v>3</v>
      </c>
      <c r="Q50" s="7">
        <v>39.070999999999998</v>
      </c>
      <c r="R50" s="7">
        <v>5.66</v>
      </c>
      <c r="S50" s="7">
        <v>3</v>
      </c>
      <c r="T50" s="7">
        <v>8.0211272898514707</v>
      </c>
      <c r="U50" s="7">
        <v>9.8034075708398447</v>
      </c>
      <c r="V50" s="7">
        <v>0.26625192733213005</v>
      </c>
      <c r="W50" s="7">
        <v>4.4913584269609771E-2</v>
      </c>
      <c r="X50" t="s">
        <v>151</v>
      </c>
      <c r="Y50" t="s">
        <v>89</v>
      </c>
      <c r="Z50" t="s">
        <v>90</v>
      </c>
      <c r="AA50" t="s">
        <v>167</v>
      </c>
      <c r="AB50" t="s">
        <v>92</v>
      </c>
      <c r="AC50" t="s">
        <v>144</v>
      </c>
      <c r="AD50" t="s">
        <v>144</v>
      </c>
      <c r="AE50" t="s">
        <v>1657</v>
      </c>
      <c r="AF50" t="s">
        <v>1658</v>
      </c>
      <c r="AG50" t="s">
        <v>1657</v>
      </c>
      <c r="AI50" t="s">
        <v>53</v>
      </c>
      <c r="AJ50" t="s">
        <v>1636</v>
      </c>
      <c r="AK50" t="s">
        <v>1637</v>
      </c>
      <c r="AL50" s="4">
        <v>300</v>
      </c>
      <c r="AM50" t="s">
        <v>147</v>
      </c>
      <c r="AN50">
        <v>2.6057500217145835</v>
      </c>
      <c r="AO50" t="s">
        <v>1638</v>
      </c>
      <c r="AP50" t="s">
        <v>1639</v>
      </c>
      <c r="AQ50" t="s">
        <v>1640</v>
      </c>
      <c r="AR50" t="s">
        <v>1641</v>
      </c>
      <c r="AS50">
        <v>1</v>
      </c>
      <c r="AT50">
        <v>0</v>
      </c>
      <c r="AU50">
        <v>0</v>
      </c>
      <c r="AV50">
        <v>1</v>
      </c>
      <c r="AW50">
        <v>0</v>
      </c>
      <c r="AX50">
        <v>0</v>
      </c>
      <c r="AY50" t="s">
        <v>1642</v>
      </c>
    </row>
    <row r="51" spans="1:51">
      <c r="A51" t="s">
        <v>144</v>
      </c>
      <c r="B51" t="s">
        <v>168</v>
      </c>
      <c r="C51" t="s">
        <v>146</v>
      </c>
      <c r="E51" t="s">
        <v>96</v>
      </c>
      <c r="F51">
        <v>450</v>
      </c>
      <c r="G51" t="s">
        <v>147</v>
      </c>
      <c r="H51" t="s">
        <v>84</v>
      </c>
      <c r="I51" t="s">
        <v>85</v>
      </c>
      <c r="J51" t="s">
        <v>156</v>
      </c>
      <c r="K51" t="s">
        <v>149</v>
      </c>
      <c r="L51" t="s">
        <v>53</v>
      </c>
      <c r="M51" t="s">
        <v>150</v>
      </c>
      <c r="N51" s="7">
        <v>29.937999999999999</v>
      </c>
      <c r="O51" s="7">
        <v>4.6310000000000002</v>
      </c>
      <c r="P51" s="7">
        <v>3</v>
      </c>
      <c r="Q51" s="7">
        <v>41</v>
      </c>
      <c r="R51" s="7">
        <v>5.274</v>
      </c>
      <c r="S51" s="7">
        <v>3</v>
      </c>
      <c r="T51" s="7">
        <v>8.0211272898514707</v>
      </c>
      <c r="U51" s="7">
        <v>9.1348359591182575</v>
      </c>
      <c r="V51" s="7">
        <v>0.31444349021126383</v>
      </c>
      <c r="W51" s="7">
        <v>4.0474611036243502E-2</v>
      </c>
      <c r="X51" t="s">
        <v>151</v>
      </c>
      <c r="Y51" t="s">
        <v>89</v>
      </c>
      <c r="Z51" t="s">
        <v>90</v>
      </c>
      <c r="AA51" t="s">
        <v>167</v>
      </c>
      <c r="AB51" t="s">
        <v>92</v>
      </c>
      <c r="AC51" t="s">
        <v>144</v>
      </c>
      <c r="AD51" t="s">
        <v>144</v>
      </c>
      <c r="AE51" t="s">
        <v>1657</v>
      </c>
      <c r="AF51" t="s">
        <v>1659</v>
      </c>
      <c r="AG51" t="s">
        <v>1657</v>
      </c>
      <c r="AI51" t="s">
        <v>53</v>
      </c>
      <c r="AJ51" t="s">
        <v>1636</v>
      </c>
      <c r="AK51" t="s">
        <v>1637</v>
      </c>
      <c r="AL51" s="4">
        <v>450</v>
      </c>
      <c r="AM51" t="s">
        <v>147</v>
      </c>
      <c r="AN51">
        <v>3.9086250325718752</v>
      </c>
      <c r="AO51" t="s">
        <v>1638</v>
      </c>
      <c r="AP51" t="s">
        <v>1639</v>
      </c>
      <c r="AQ51" t="s">
        <v>1640</v>
      </c>
      <c r="AR51" t="s">
        <v>1641</v>
      </c>
      <c r="AS51">
        <v>1</v>
      </c>
      <c r="AT51">
        <v>0</v>
      </c>
      <c r="AU51">
        <v>0</v>
      </c>
      <c r="AV51">
        <v>1</v>
      </c>
      <c r="AW51">
        <v>0</v>
      </c>
      <c r="AX51">
        <v>0</v>
      </c>
      <c r="AY51" t="s">
        <v>1642</v>
      </c>
    </row>
    <row r="52" spans="1:51">
      <c r="A52" t="s">
        <v>144</v>
      </c>
      <c r="B52" t="s">
        <v>169</v>
      </c>
      <c r="C52" t="s">
        <v>146</v>
      </c>
      <c r="E52" t="s">
        <v>96</v>
      </c>
      <c r="F52">
        <v>300</v>
      </c>
      <c r="G52" t="s">
        <v>147</v>
      </c>
      <c r="H52" t="s">
        <v>84</v>
      </c>
      <c r="I52" t="s">
        <v>85</v>
      </c>
      <c r="J52" t="s">
        <v>160</v>
      </c>
      <c r="K52" t="s">
        <v>149</v>
      </c>
      <c r="L52" t="s">
        <v>53</v>
      </c>
      <c r="M52" t="s">
        <v>150</v>
      </c>
      <c r="N52" s="7">
        <v>17.846</v>
      </c>
      <c r="O52" s="7">
        <v>3.988</v>
      </c>
      <c r="P52" s="7">
        <v>3</v>
      </c>
      <c r="Q52" s="7">
        <v>33.924999999999997</v>
      </c>
      <c r="R52" s="7">
        <v>1.1579999999999999</v>
      </c>
      <c r="S52" s="7">
        <v>3</v>
      </c>
      <c r="T52" s="7">
        <v>6.9074186205846821</v>
      </c>
      <c r="U52" s="7">
        <v>2.0057148351647598</v>
      </c>
      <c r="V52" s="7">
        <v>0.64237281224297305</v>
      </c>
      <c r="W52" s="7">
        <v>5.1102836492961282E-2</v>
      </c>
      <c r="X52" t="s">
        <v>151</v>
      </c>
      <c r="Y52" t="s">
        <v>89</v>
      </c>
      <c r="Z52" t="s">
        <v>90</v>
      </c>
      <c r="AA52" t="s">
        <v>170</v>
      </c>
      <c r="AB52" t="s">
        <v>92</v>
      </c>
      <c r="AC52" t="s">
        <v>144</v>
      </c>
      <c r="AD52" t="s">
        <v>144</v>
      </c>
      <c r="AE52" t="s">
        <v>1660</v>
      </c>
      <c r="AF52" t="s">
        <v>1661</v>
      </c>
      <c r="AG52" t="s">
        <v>1660</v>
      </c>
      <c r="AI52" t="s">
        <v>53</v>
      </c>
      <c r="AJ52" t="s">
        <v>1636</v>
      </c>
      <c r="AK52" t="s">
        <v>1637</v>
      </c>
      <c r="AL52" s="4">
        <v>300</v>
      </c>
      <c r="AM52" t="s">
        <v>147</v>
      </c>
      <c r="AN52">
        <v>2.6057500217145835</v>
      </c>
      <c r="AO52" t="s">
        <v>1638</v>
      </c>
      <c r="AP52" t="s">
        <v>1639</v>
      </c>
      <c r="AQ52" t="s">
        <v>1640</v>
      </c>
      <c r="AR52" t="s">
        <v>1641</v>
      </c>
      <c r="AS52">
        <v>1</v>
      </c>
      <c r="AT52">
        <v>0</v>
      </c>
      <c r="AU52">
        <v>0</v>
      </c>
      <c r="AV52">
        <v>1</v>
      </c>
      <c r="AW52">
        <v>0</v>
      </c>
      <c r="AX52">
        <v>0</v>
      </c>
      <c r="AY52" t="s">
        <v>1642</v>
      </c>
    </row>
    <row r="53" spans="1:51">
      <c r="A53" t="s">
        <v>144</v>
      </c>
      <c r="B53" t="s">
        <v>171</v>
      </c>
      <c r="C53" t="s">
        <v>146</v>
      </c>
      <c r="E53" t="s">
        <v>96</v>
      </c>
      <c r="F53">
        <v>450</v>
      </c>
      <c r="G53" t="s">
        <v>147</v>
      </c>
      <c r="H53" t="s">
        <v>84</v>
      </c>
      <c r="I53" t="s">
        <v>85</v>
      </c>
      <c r="J53" t="s">
        <v>160</v>
      </c>
      <c r="K53" t="s">
        <v>149</v>
      </c>
      <c r="L53" t="s">
        <v>53</v>
      </c>
      <c r="M53" t="s">
        <v>150</v>
      </c>
      <c r="N53" s="7">
        <v>17.846</v>
      </c>
      <c r="O53" s="7">
        <v>3.988</v>
      </c>
      <c r="P53" s="7">
        <v>3</v>
      </c>
      <c r="Q53" s="7">
        <v>35.982999999999997</v>
      </c>
      <c r="R53" s="7">
        <v>0.51500000000000001</v>
      </c>
      <c r="S53" s="7">
        <v>3</v>
      </c>
      <c r="T53" s="7">
        <v>6.9074186205846821</v>
      </c>
      <c r="U53" s="7">
        <v>0.89200616589797177</v>
      </c>
      <c r="V53" s="7">
        <v>0.70126721122390101</v>
      </c>
      <c r="W53" s="7">
        <v>5.014254072332678E-2</v>
      </c>
      <c r="X53" t="s">
        <v>151</v>
      </c>
      <c r="Y53" t="s">
        <v>89</v>
      </c>
      <c r="Z53" t="s">
        <v>90</v>
      </c>
      <c r="AA53" t="s">
        <v>170</v>
      </c>
      <c r="AB53" t="s">
        <v>92</v>
      </c>
      <c r="AC53" t="s">
        <v>144</v>
      </c>
      <c r="AD53" t="s">
        <v>144</v>
      </c>
      <c r="AE53" t="s">
        <v>1660</v>
      </c>
      <c r="AF53" t="s">
        <v>1662</v>
      </c>
      <c r="AG53" t="s">
        <v>1660</v>
      </c>
      <c r="AI53" t="s">
        <v>53</v>
      </c>
      <c r="AJ53" t="s">
        <v>1636</v>
      </c>
      <c r="AK53" t="s">
        <v>1637</v>
      </c>
      <c r="AL53" s="4">
        <v>450</v>
      </c>
      <c r="AM53" t="s">
        <v>147</v>
      </c>
      <c r="AN53">
        <v>3.9086250325718752</v>
      </c>
      <c r="AO53" t="s">
        <v>1638</v>
      </c>
      <c r="AP53" t="s">
        <v>1639</v>
      </c>
      <c r="AQ53" t="s">
        <v>1640</v>
      </c>
      <c r="AR53" t="s">
        <v>1641</v>
      </c>
      <c r="AS53">
        <v>1</v>
      </c>
      <c r="AT53">
        <v>0</v>
      </c>
      <c r="AU53">
        <v>0</v>
      </c>
      <c r="AV53">
        <v>1</v>
      </c>
      <c r="AW53">
        <v>0</v>
      </c>
      <c r="AX53">
        <v>0</v>
      </c>
      <c r="AY53" t="s">
        <v>1642</v>
      </c>
    </row>
    <row r="54" spans="1:51">
      <c r="A54" t="s">
        <v>144</v>
      </c>
      <c r="B54" t="s">
        <v>172</v>
      </c>
      <c r="C54" t="s">
        <v>146</v>
      </c>
      <c r="E54" t="s">
        <v>96</v>
      </c>
      <c r="F54">
        <v>300</v>
      </c>
      <c r="G54" t="s">
        <v>147</v>
      </c>
      <c r="H54" t="s">
        <v>84</v>
      </c>
      <c r="I54" t="s">
        <v>85</v>
      </c>
      <c r="J54" t="s">
        <v>148</v>
      </c>
      <c r="K54" t="s">
        <v>149</v>
      </c>
      <c r="L54" t="s">
        <v>40</v>
      </c>
      <c r="M54" t="s">
        <v>150</v>
      </c>
      <c r="N54" s="7">
        <v>41.889000000000003</v>
      </c>
      <c r="O54" s="7">
        <v>1.111</v>
      </c>
      <c r="P54" s="7">
        <v>3</v>
      </c>
      <c r="Q54" s="7">
        <v>44.889000000000003</v>
      </c>
      <c r="R54" s="7">
        <v>0.55600000000000005</v>
      </c>
      <c r="S54" s="7">
        <v>3</v>
      </c>
      <c r="T54" s="7">
        <v>1.9243084472090226</v>
      </c>
      <c r="U54" s="7">
        <v>0.96302024900829586</v>
      </c>
      <c r="V54" s="7">
        <v>6.9169513241224695E-2</v>
      </c>
      <c r="W54" s="7">
        <v>8.5685740703919622E-4</v>
      </c>
      <c r="X54" t="s">
        <v>151</v>
      </c>
      <c r="Y54" t="s">
        <v>89</v>
      </c>
      <c r="Z54" t="s">
        <v>90</v>
      </c>
      <c r="AA54" t="s">
        <v>173</v>
      </c>
      <c r="AB54" t="s">
        <v>153</v>
      </c>
      <c r="AC54" t="s">
        <v>144</v>
      </c>
      <c r="AD54" t="s">
        <v>144</v>
      </c>
      <c r="AE54" t="s">
        <v>1654</v>
      </c>
      <c r="AF54" t="s">
        <v>1655</v>
      </c>
      <c r="AG54" t="s">
        <v>1654</v>
      </c>
      <c r="AI54" t="s">
        <v>40</v>
      </c>
      <c r="AJ54" t="s">
        <v>1636</v>
      </c>
      <c r="AK54" t="s">
        <v>1637</v>
      </c>
      <c r="AL54" s="4">
        <v>300</v>
      </c>
      <c r="AM54" t="s">
        <v>147</v>
      </c>
      <c r="AN54">
        <v>2.6057500217145835</v>
      </c>
      <c r="AO54" t="s">
        <v>1638</v>
      </c>
      <c r="AP54" t="s">
        <v>1639</v>
      </c>
      <c r="AQ54" t="s">
        <v>1640</v>
      </c>
      <c r="AR54" t="s">
        <v>1641</v>
      </c>
      <c r="AS54">
        <v>0</v>
      </c>
      <c r="AT54">
        <v>1</v>
      </c>
      <c r="AU54">
        <v>0</v>
      </c>
      <c r="AV54">
        <v>1</v>
      </c>
      <c r="AW54">
        <v>0</v>
      </c>
      <c r="AX54">
        <v>0</v>
      </c>
      <c r="AY54" t="s">
        <v>1642</v>
      </c>
    </row>
    <row r="55" spans="1:51">
      <c r="A55" t="s">
        <v>144</v>
      </c>
      <c r="B55" t="s">
        <v>174</v>
      </c>
      <c r="C55" t="s">
        <v>146</v>
      </c>
      <c r="E55" t="s">
        <v>96</v>
      </c>
      <c r="F55">
        <v>450</v>
      </c>
      <c r="G55" t="s">
        <v>147</v>
      </c>
      <c r="H55" t="s">
        <v>84</v>
      </c>
      <c r="I55" t="s">
        <v>85</v>
      </c>
      <c r="J55" t="s">
        <v>148</v>
      </c>
      <c r="K55" t="s">
        <v>149</v>
      </c>
      <c r="L55" t="s">
        <v>40</v>
      </c>
      <c r="M55" t="s">
        <v>150</v>
      </c>
      <c r="N55" s="7">
        <v>41.889000000000003</v>
      </c>
      <c r="O55" s="7">
        <v>1.111</v>
      </c>
      <c r="P55" s="7">
        <v>3</v>
      </c>
      <c r="Q55" s="7">
        <v>47</v>
      </c>
      <c r="R55" s="7">
        <v>1.667</v>
      </c>
      <c r="S55" s="7">
        <v>3</v>
      </c>
      <c r="T55" s="7">
        <v>1.9243084472090226</v>
      </c>
      <c r="U55" s="7">
        <v>2.8873286962173181</v>
      </c>
      <c r="V55" s="7">
        <v>0.11512433908189122</v>
      </c>
      <c r="W55" s="7">
        <v>1.9614267978754901E-3</v>
      </c>
      <c r="X55" t="s">
        <v>151</v>
      </c>
      <c r="Y55" t="s">
        <v>89</v>
      </c>
      <c r="Z55" t="s">
        <v>90</v>
      </c>
      <c r="AA55" t="s">
        <v>173</v>
      </c>
      <c r="AB55" t="s">
        <v>153</v>
      </c>
      <c r="AC55" t="s">
        <v>144</v>
      </c>
      <c r="AD55" t="s">
        <v>144</v>
      </c>
      <c r="AE55" t="s">
        <v>1654</v>
      </c>
      <c r="AF55" t="s">
        <v>1656</v>
      </c>
      <c r="AG55" t="s">
        <v>1654</v>
      </c>
      <c r="AI55" t="s">
        <v>40</v>
      </c>
      <c r="AJ55" t="s">
        <v>1636</v>
      </c>
      <c r="AK55" t="s">
        <v>1637</v>
      </c>
      <c r="AL55" s="4">
        <v>450</v>
      </c>
      <c r="AM55" t="s">
        <v>147</v>
      </c>
      <c r="AN55">
        <v>3.9086250325718752</v>
      </c>
      <c r="AO55" t="s">
        <v>1638</v>
      </c>
      <c r="AP55" t="s">
        <v>1639</v>
      </c>
      <c r="AQ55" t="s">
        <v>1640</v>
      </c>
      <c r="AR55" t="s">
        <v>1641</v>
      </c>
      <c r="AS55">
        <v>0</v>
      </c>
      <c r="AT55">
        <v>1</v>
      </c>
      <c r="AU55">
        <v>0</v>
      </c>
      <c r="AV55">
        <v>1</v>
      </c>
      <c r="AW55">
        <v>0</v>
      </c>
      <c r="AX55">
        <v>0</v>
      </c>
      <c r="AY55" t="s">
        <v>1642</v>
      </c>
    </row>
    <row r="56" spans="1:51">
      <c r="A56" t="s">
        <v>144</v>
      </c>
      <c r="B56" t="s">
        <v>175</v>
      </c>
      <c r="C56" t="s">
        <v>146</v>
      </c>
      <c r="E56" t="s">
        <v>96</v>
      </c>
      <c r="F56">
        <v>300</v>
      </c>
      <c r="G56" t="s">
        <v>147</v>
      </c>
      <c r="H56" t="s">
        <v>84</v>
      </c>
      <c r="I56" t="s">
        <v>85</v>
      </c>
      <c r="J56" t="s">
        <v>156</v>
      </c>
      <c r="K56" t="s">
        <v>149</v>
      </c>
      <c r="L56" t="s">
        <v>40</v>
      </c>
      <c r="M56" t="s">
        <v>150</v>
      </c>
      <c r="N56" s="7">
        <v>39.889000000000003</v>
      </c>
      <c r="O56" s="7">
        <v>2.8889999999999998</v>
      </c>
      <c r="P56" s="7">
        <v>3</v>
      </c>
      <c r="Q56" s="7">
        <v>47</v>
      </c>
      <c r="R56" s="7">
        <v>0.44400000000000001</v>
      </c>
      <c r="S56" s="7">
        <v>3</v>
      </c>
      <c r="T56" s="7">
        <v>5.0038947830664862</v>
      </c>
      <c r="U56" s="7">
        <v>0.76903055856058145</v>
      </c>
      <c r="V56" s="7">
        <v>0.16404700504655823</v>
      </c>
      <c r="W56" s="7">
        <v>5.3347650742337572E-3</v>
      </c>
      <c r="X56" t="s">
        <v>151</v>
      </c>
      <c r="Y56" t="s">
        <v>89</v>
      </c>
      <c r="Z56" t="s">
        <v>90</v>
      </c>
      <c r="AA56" t="s">
        <v>176</v>
      </c>
      <c r="AB56" t="s">
        <v>92</v>
      </c>
      <c r="AC56" t="s">
        <v>144</v>
      </c>
      <c r="AD56" t="s">
        <v>144</v>
      </c>
      <c r="AE56" t="s">
        <v>1657</v>
      </c>
      <c r="AF56" t="s">
        <v>1658</v>
      </c>
      <c r="AG56" t="s">
        <v>1657</v>
      </c>
      <c r="AI56" t="s">
        <v>40</v>
      </c>
      <c r="AJ56" t="s">
        <v>1636</v>
      </c>
      <c r="AK56" t="s">
        <v>1637</v>
      </c>
      <c r="AL56" s="4">
        <v>300</v>
      </c>
      <c r="AM56" t="s">
        <v>147</v>
      </c>
      <c r="AN56">
        <v>2.6057500217145835</v>
      </c>
      <c r="AO56" t="s">
        <v>1638</v>
      </c>
      <c r="AP56" t="s">
        <v>1639</v>
      </c>
      <c r="AQ56" t="s">
        <v>1640</v>
      </c>
      <c r="AR56" t="s">
        <v>1641</v>
      </c>
      <c r="AS56">
        <v>1</v>
      </c>
      <c r="AT56">
        <v>0</v>
      </c>
      <c r="AU56">
        <v>0</v>
      </c>
      <c r="AV56">
        <v>1</v>
      </c>
      <c r="AW56">
        <v>0</v>
      </c>
      <c r="AX56">
        <v>0</v>
      </c>
      <c r="AY56" t="s">
        <v>1642</v>
      </c>
    </row>
    <row r="57" spans="1:51">
      <c r="A57" t="s">
        <v>144</v>
      </c>
      <c r="B57" t="s">
        <v>177</v>
      </c>
      <c r="C57" t="s">
        <v>146</v>
      </c>
      <c r="E57" t="s">
        <v>96</v>
      </c>
      <c r="F57">
        <v>450</v>
      </c>
      <c r="G57" t="s">
        <v>147</v>
      </c>
      <c r="H57" t="s">
        <v>84</v>
      </c>
      <c r="I57" t="s">
        <v>85</v>
      </c>
      <c r="J57" t="s">
        <v>156</v>
      </c>
      <c r="K57" t="s">
        <v>149</v>
      </c>
      <c r="L57" t="s">
        <v>40</v>
      </c>
      <c r="M57" t="s">
        <v>150</v>
      </c>
      <c r="N57" s="7">
        <v>39.889000000000003</v>
      </c>
      <c r="O57" s="7">
        <v>2.8889999999999998</v>
      </c>
      <c r="P57" s="7">
        <v>3</v>
      </c>
      <c r="Q57" s="7">
        <v>55</v>
      </c>
      <c r="R57" s="7">
        <v>2.778</v>
      </c>
      <c r="S57" s="7">
        <v>3</v>
      </c>
      <c r="T57" s="7">
        <v>5.0038947830664862</v>
      </c>
      <c r="U57" s="7">
        <v>4.8116371434263412</v>
      </c>
      <c r="V57" s="7">
        <v>0.32123258856897058</v>
      </c>
      <c r="W57" s="7">
        <v>7.7966911476598996E-3</v>
      </c>
      <c r="X57" t="s">
        <v>151</v>
      </c>
      <c r="Y57" t="s">
        <v>89</v>
      </c>
      <c r="Z57" t="s">
        <v>90</v>
      </c>
      <c r="AA57" t="s">
        <v>176</v>
      </c>
      <c r="AB57" t="s">
        <v>92</v>
      </c>
      <c r="AC57" t="s">
        <v>144</v>
      </c>
      <c r="AD57" t="s">
        <v>144</v>
      </c>
      <c r="AE57" t="s">
        <v>1657</v>
      </c>
      <c r="AF57" t="s">
        <v>1659</v>
      </c>
      <c r="AG57" t="s">
        <v>1657</v>
      </c>
      <c r="AI57" t="s">
        <v>40</v>
      </c>
      <c r="AJ57" t="s">
        <v>1636</v>
      </c>
      <c r="AK57" t="s">
        <v>1637</v>
      </c>
      <c r="AL57" s="4">
        <v>450</v>
      </c>
      <c r="AM57" t="s">
        <v>147</v>
      </c>
      <c r="AN57">
        <v>3.9086250325718752</v>
      </c>
      <c r="AO57" t="s">
        <v>1638</v>
      </c>
      <c r="AP57" t="s">
        <v>1639</v>
      </c>
      <c r="AQ57" t="s">
        <v>1640</v>
      </c>
      <c r="AR57" t="s">
        <v>1641</v>
      </c>
      <c r="AS57">
        <v>1</v>
      </c>
      <c r="AT57">
        <v>0</v>
      </c>
      <c r="AU57">
        <v>0</v>
      </c>
      <c r="AV57">
        <v>1</v>
      </c>
      <c r="AW57">
        <v>0</v>
      </c>
      <c r="AX57">
        <v>0</v>
      </c>
      <c r="AY57" t="s">
        <v>1642</v>
      </c>
    </row>
    <row r="58" spans="1:51">
      <c r="A58" t="s">
        <v>144</v>
      </c>
      <c r="B58" t="s">
        <v>178</v>
      </c>
      <c r="C58" t="s">
        <v>146</v>
      </c>
      <c r="E58" t="s">
        <v>96</v>
      </c>
      <c r="F58">
        <v>300</v>
      </c>
      <c r="G58" t="s">
        <v>147</v>
      </c>
      <c r="H58" t="s">
        <v>84</v>
      </c>
      <c r="I58" t="s">
        <v>85</v>
      </c>
      <c r="J58" t="s">
        <v>160</v>
      </c>
      <c r="K58" t="s">
        <v>149</v>
      </c>
      <c r="L58" t="s">
        <v>40</v>
      </c>
      <c r="M58" t="s">
        <v>150</v>
      </c>
      <c r="N58" s="7">
        <v>35.889000000000003</v>
      </c>
      <c r="O58" s="7">
        <v>1.778</v>
      </c>
      <c r="P58" s="7">
        <v>3</v>
      </c>
      <c r="Q58" s="7">
        <v>43</v>
      </c>
      <c r="R58" s="7">
        <v>5.6669999999999998</v>
      </c>
      <c r="S58" s="7">
        <v>3</v>
      </c>
      <c r="T58" s="7">
        <v>3.0795863358574636</v>
      </c>
      <c r="U58" s="7">
        <v>9.8155319264928274</v>
      </c>
      <c r="V58" s="7">
        <v>0.18076927383668553</v>
      </c>
      <c r="W58" s="7">
        <v>1.9823162313897767E-2</v>
      </c>
      <c r="X58" t="s">
        <v>151</v>
      </c>
      <c r="Y58" t="s">
        <v>89</v>
      </c>
      <c r="Z58" t="s">
        <v>90</v>
      </c>
      <c r="AA58" t="s">
        <v>179</v>
      </c>
      <c r="AB58" t="s">
        <v>92</v>
      </c>
      <c r="AC58" t="s">
        <v>144</v>
      </c>
      <c r="AD58" t="s">
        <v>144</v>
      </c>
      <c r="AE58" t="s">
        <v>1660</v>
      </c>
      <c r="AF58" t="s">
        <v>1661</v>
      </c>
      <c r="AG58" t="s">
        <v>1660</v>
      </c>
      <c r="AI58" t="s">
        <v>40</v>
      </c>
      <c r="AJ58" t="s">
        <v>1636</v>
      </c>
      <c r="AK58" t="s">
        <v>1637</v>
      </c>
      <c r="AL58" s="4">
        <v>300</v>
      </c>
      <c r="AM58" t="s">
        <v>147</v>
      </c>
      <c r="AN58">
        <v>2.6057500217145835</v>
      </c>
      <c r="AO58" t="s">
        <v>1638</v>
      </c>
      <c r="AP58" t="s">
        <v>1639</v>
      </c>
      <c r="AQ58" t="s">
        <v>1640</v>
      </c>
      <c r="AR58" t="s">
        <v>1641</v>
      </c>
      <c r="AS58">
        <v>1</v>
      </c>
      <c r="AT58">
        <v>0</v>
      </c>
      <c r="AU58">
        <v>0</v>
      </c>
      <c r="AV58">
        <v>1</v>
      </c>
      <c r="AW58">
        <v>0</v>
      </c>
      <c r="AX58">
        <v>0</v>
      </c>
      <c r="AY58" t="s">
        <v>1642</v>
      </c>
    </row>
    <row r="59" spans="1:51">
      <c r="A59" t="s">
        <v>144</v>
      </c>
      <c r="B59" t="s">
        <v>180</v>
      </c>
      <c r="C59" t="s">
        <v>146</v>
      </c>
      <c r="E59" t="s">
        <v>96</v>
      </c>
      <c r="F59">
        <v>450</v>
      </c>
      <c r="G59" t="s">
        <v>147</v>
      </c>
      <c r="H59" t="s">
        <v>84</v>
      </c>
      <c r="I59" t="s">
        <v>85</v>
      </c>
      <c r="J59" t="s">
        <v>160</v>
      </c>
      <c r="K59" t="s">
        <v>149</v>
      </c>
      <c r="L59" t="s">
        <v>40</v>
      </c>
      <c r="M59" t="s">
        <v>150</v>
      </c>
      <c r="N59" s="7">
        <v>35.889000000000003</v>
      </c>
      <c r="O59" s="7">
        <v>1.778</v>
      </c>
      <c r="P59" s="7">
        <v>3</v>
      </c>
      <c r="Q59" s="7">
        <v>41.889000000000003</v>
      </c>
      <c r="R59" s="7">
        <v>5.7779999999999996</v>
      </c>
      <c r="S59" s="7">
        <v>3</v>
      </c>
      <c r="T59" s="7">
        <v>3.0795863358574636</v>
      </c>
      <c r="U59" s="7">
        <v>10.007789566132972</v>
      </c>
      <c r="V59" s="7">
        <v>0.1545924207712906</v>
      </c>
      <c r="W59" s="7">
        <v>2.1480707145680435E-2</v>
      </c>
      <c r="X59" t="s">
        <v>151</v>
      </c>
      <c r="Y59" t="s">
        <v>89</v>
      </c>
      <c r="Z59" t="s">
        <v>90</v>
      </c>
      <c r="AA59" t="s">
        <v>179</v>
      </c>
      <c r="AB59" t="s">
        <v>92</v>
      </c>
      <c r="AC59" t="s">
        <v>144</v>
      </c>
      <c r="AD59" t="s">
        <v>144</v>
      </c>
      <c r="AE59" t="s">
        <v>1660</v>
      </c>
      <c r="AF59" t="s">
        <v>1662</v>
      </c>
      <c r="AG59" t="s">
        <v>1660</v>
      </c>
      <c r="AI59" t="s">
        <v>40</v>
      </c>
      <c r="AJ59" t="s">
        <v>1636</v>
      </c>
      <c r="AK59" t="s">
        <v>1637</v>
      </c>
      <c r="AL59" s="4">
        <v>450</v>
      </c>
      <c r="AM59" t="s">
        <v>147</v>
      </c>
      <c r="AN59">
        <v>3.9086250325718752</v>
      </c>
      <c r="AO59" t="s">
        <v>1638</v>
      </c>
      <c r="AP59" t="s">
        <v>1639</v>
      </c>
      <c r="AQ59" t="s">
        <v>1640</v>
      </c>
      <c r="AR59" t="s">
        <v>1641</v>
      </c>
      <c r="AS59">
        <v>1</v>
      </c>
      <c r="AT59">
        <v>0</v>
      </c>
      <c r="AU59">
        <v>0</v>
      </c>
      <c r="AV59">
        <v>1</v>
      </c>
      <c r="AW59">
        <v>0</v>
      </c>
      <c r="AX59">
        <v>0</v>
      </c>
      <c r="AY59" t="s">
        <v>1642</v>
      </c>
    </row>
    <row r="60" spans="1:51">
      <c r="A60" t="s">
        <v>181</v>
      </c>
      <c r="B60" t="s">
        <v>182</v>
      </c>
      <c r="C60" t="s">
        <v>183</v>
      </c>
      <c r="D60" t="s">
        <v>184</v>
      </c>
      <c r="E60" t="s">
        <v>96</v>
      </c>
      <c r="F60">
        <v>30</v>
      </c>
      <c r="G60" t="s">
        <v>185</v>
      </c>
      <c r="H60" t="s">
        <v>84</v>
      </c>
      <c r="I60" t="s">
        <v>186</v>
      </c>
      <c r="J60" t="s">
        <v>187</v>
      </c>
      <c r="K60" t="s">
        <v>41</v>
      </c>
      <c r="L60" t="s">
        <v>40</v>
      </c>
      <c r="M60" t="s">
        <v>188</v>
      </c>
      <c r="N60" s="7">
        <v>20.818247646632873</v>
      </c>
      <c r="O60" s="7">
        <v>0.74249849143134738</v>
      </c>
      <c r="P60" s="7">
        <v>4</v>
      </c>
      <c r="Q60" s="7">
        <v>24.582597755249818</v>
      </c>
      <c r="R60" s="7">
        <v>0.9416769249336141</v>
      </c>
      <c r="S60" s="7">
        <v>4</v>
      </c>
      <c r="T60" s="7">
        <v>1.4849969828626948</v>
      </c>
      <c r="U60" s="7">
        <v>1.8833538498672282</v>
      </c>
      <c r="V60" s="7">
        <v>0.16620889146760232</v>
      </c>
      <c r="W60" s="7">
        <v>2.7394452805747614E-3</v>
      </c>
      <c r="X60" t="s">
        <v>189</v>
      </c>
      <c r="Y60" t="s">
        <v>190</v>
      </c>
      <c r="Z60" t="s">
        <v>191</v>
      </c>
      <c r="AA60" t="s">
        <v>192</v>
      </c>
      <c r="AB60" t="s">
        <v>92</v>
      </c>
      <c r="AC60" t="s">
        <v>181</v>
      </c>
      <c r="AD60" t="s">
        <v>181</v>
      </c>
      <c r="AE60" t="s">
        <v>1663</v>
      </c>
      <c r="AF60" t="s">
        <v>1664</v>
      </c>
      <c r="AG60" t="s">
        <v>1663</v>
      </c>
      <c r="AH60" t="s">
        <v>1235</v>
      </c>
      <c r="AI60" t="s">
        <v>40</v>
      </c>
      <c r="AJ60" t="s">
        <v>1636</v>
      </c>
      <c r="AK60" t="s">
        <v>1637</v>
      </c>
      <c r="AL60" s="4">
        <v>30</v>
      </c>
      <c r="AM60" t="s">
        <v>185</v>
      </c>
      <c r="AN60">
        <v>30</v>
      </c>
      <c r="AO60" t="s">
        <v>1665</v>
      </c>
      <c r="AP60" t="s">
        <v>1639</v>
      </c>
      <c r="AQ60" t="s">
        <v>1640</v>
      </c>
      <c r="AR60" t="s">
        <v>1666</v>
      </c>
      <c r="AS60">
        <v>1</v>
      </c>
      <c r="AT60">
        <v>0</v>
      </c>
      <c r="AU60">
        <v>0</v>
      </c>
      <c r="AV60">
        <v>1</v>
      </c>
      <c r="AW60">
        <v>0</v>
      </c>
      <c r="AX60">
        <v>0</v>
      </c>
      <c r="AY60" t="s">
        <v>1642</v>
      </c>
    </row>
    <row r="61" spans="1:51">
      <c r="A61" t="s">
        <v>181</v>
      </c>
      <c r="B61" t="s">
        <v>193</v>
      </c>
      <c r="C61" t="s">
        <v>183</v>
      </c>
      <c r="D61" t="s">
        <v>184</v>
      </c>
      <c r="E61" t="s">
        <v>96</v>
      </c>
      <c r="F61">
        <v>60</v>
      </c>
      <c r="G61" t="s">
        <v>185</v>
      </c>
      <c r="H61" t="s">
        <v>84</v>
      </c>
      <c r="I61" t="s">
        <v>186</v>
      </c>
      <c r="J61" t="s">
        <v>187</v>
      </c>
      <c r="K61" t="s">
        <v>41</v>
      </c>
      <c r="L61" t="s">
        <v>40</v>
      </c>
      <c r="M61" t="s">
        <v>188</v>
      </c>
      <c r="N61" s="7">
        <v>20.818247646632873</v>
      </c>
      <c r="O61" s="7">
        <v>0.74249849143134738</v>
      </c>
      <c r="P61" s="7">
        <v>4</v>
      </c>
      <c r="Q61" s="7">
        <v>22.701600893072651</v>
      </c>
      <c r="R61" s="7">
        <v>1.1396765628771333</v>
      </c>
      <c r="S61" s="7">
        <v>4</v>
      </c>
      <c r="T61" s="7">
        <v>1.4849969828626948</v>
      </c>
      <c r="U61" s="7">
        <v>2.2793531257542665</v>
      </c>
      <c r="V61" s="7">
        <v>8.6605553108363126E-2</v>
      </c>
      <c r="W61" s="7">
        <v>3.792334528863679E-3</v>
      </c>
      <c r="X61" t="s">
        <v>189</v>
      </c>
      <c r="Y61" t="s">
        <v>190</v>
      </c>
      <c r="Z61" t="s">
        <v>191</v>
      </c>
      <c r="AA61" t="s">
        <v>192</v>
      </c>
      <c r="AB61" t="s">
        <v>92</v>
      </c>
      <c r="AC61" t="s">
        <v>181</v>
      </c>
      <c r="AD61" t="s">
        <v>181</v>
      </c>
      <c r="AE61" t="s">
        <v>1663</v>
      </c>
      <c r="AF61" t="s">
        <v>1667</v>
      </c>
      <c r="AG61" t="s">
        <v>1663</v>
      </c>
      <c r="AH61" t="s">
        <v>1235</v>
      </c>
      <c r="AI61" t="s">
        <v>40</v>
      </c>
      <c r="AJ61" t="s">
        <v>1636</v>
      </c>
      <c r="AK61" t="s">
        <v>1637</v>
      </c>
      <c r="AL61" s="4">
        <v>60</v>
      </c>
      <c r="AM61" t="s">
        <v>185</v>
      </c>
      <c r="AN61">
        <v>60</v>
      </c>
      <c r="AO61" t="s">
        <v>1665</v>
      </c>
      <c r="AP61" t="s">
        <v>1639</v>
      </c>
      <c r="AQ61" t="s">
        <v>1640</v>
      </c>
      <c r="AR61" t="s">
        <v>1666</v>
      </c>
      <c r="AS61">
        <v>1</v>
      </c>
      <c r="AT61">
        <v>0</v>
      </c>
      <c r="AU61">
        <v>0</v>
      </c>
      <c r="AV61">
        <v>1</v>
      </c>
      <c r="AW61">
        <v>0</v>
      </c>
      <c r="AX61">
        <v>0</v>
      </c>
      <c r="AY61" t="s">
        <v>1642</v>
      </c>
    </row>
    <row r="62" spans="1:51">
      <c r="A62" t="s">
        <v>181</v>
      </c>
      <c r="B62" t="s">
        <v>194</v>
      </c>
      <c r="C62" t="s">
        <v>183</v>
      </c>
      <c r="D62" t="s">
        <v>195</v>
      </c>
      <c r="E62" t="s">
        <v>96</v>
      </c>
      <c r="F62">
        <v>30</v>
      </c>
      <c r="G62" t="s">
        <v>185</v>
      </c>
      <c r="H62" t="s">
        <v>84</v>
      </c>
      <c r="I62" t="s">
        <v>186</v>
      </c>
      <c r="J62" t="s">
        <v>187</v>
      </c>
      <c r="K62" t="s">
        <v>41</v>
      </c>
      <c r="L62" t="s">
        <v>40</v>
      </c>
      <c r="M62" t="s">
        <v>188</v>
      </c>
      <c r="N62" s="7">
        <v>20.818247646632873</v>
      </c>
      <c r="O62" s="7">
        <v>1.1408550567221818</v>
      </c>
      <c r="P62" s="7">
        <v>4</v>
      </c>
      <c r="Q62" s="7">
        <v>24.582597755249818</v>
      </c>
      <c r="R62" s="7">
        <v>0.9416769249336141</v>
      </c>
      <c r="S62" s="7">
        <v>4</v>
      </c>
      <c r="T62" s="7">
        <v>2.2817101134443636</v>
      </c>
      <c r="U62" s="7">
        <v>1.8833538498672282</v>
      </c>
      <c r="V62" s="7">
        <v>0.16620889146760232</v>
      </c>
      <c r="W62" s="7">
        <v>4.470518719879679E-3</v>
      </c>
      <c r="X62" t="s">
        <v>189</v>
      </c>
      <c r="Y62" t="s">
        <v>190</v>
      </c>
      <c r="Z62" t="s">
        <v>191</v>
      </c>
      <c r="AA62" t="s">
        <v>196</v>
      </c>
      <c r="AB62" t="s">
        <v>92</v>
      </c>
      <c r="AC62" t="s">
        <v>181</v>
      </c>
      <c r="AD62" t="s">
        <v>181</v>
      </c>
      <c r="AE62" t="s">
        <v>1668</v>
      </c>
      <c r="AF62" t="s">
        <v>1669</v>
      </c>
      <c r="AG62" t="s">
        <v>1668</v>
      </c>
      <c r="AH62" t="s">
        <v>1235</v>
      </c>
      <c r="AI62" t="s">
        <v>40</v>
      </c>
      <c r="AJ62" t="s">
        <v>1636</v>
      </c>
      <c r="AK62" t="s">
        <v>1637</v>
      </c>
      <c r="AL62" s="4">
        <v>30</v>
      </c>
      <c r="AM62" t="s">
        <v>185</v>
      </c>
      <c r="AN62">
        <v>30</v>
      </c>
      <c r="AO62" t="s">
        <v>1665</v>
      </c>
      <c r="AP62" t="s">
        <v>1639</v>
      </c>
      <c r="AQ62" t="s">
        <v>1640</v>
      </c>
      <c r="AR62" t="s">
        <v>1666</v>
      </c>
      <c r="AS62">
        <v>1</v>
      </c>
      <c r="AT62">
        <v>0</v>
      </c>
      <c r="AU62">
        <v>0</v>
      </c>
      <c r="AV62">
        <v>1</v>
      </c>
      <c r="AW62">
        <v>0</v>
      </c>
      <c r="AX62">
        <v>0</v>
      </c>
      <c r="AY62" t="s">
        <v>1642</v>
      </c>
    </row>
    <row r="63" spans="1:51">
      <c r="A63" t="s">
        <v>181</v>
      </c>
      <c r="B63" t="s">
        <v>197</v>
      </c>
      <c r="C63" t="s">
        <v>183</v>
      </c>
      <c r="D63" t="s">
        <v>195</v>
      </c>
      <c r="E63" t="s">
        <v>96</v>
      </c>
      <c r="F63">
        <v>60</v>
      </c>
      <c r="G63" t="s">
        <v>185</v>
      </c>
      <c r="H63" t="s">
        <v>84</v>
      </c>
      <c r="I63" t="s">
        <v>186</v>
      </c>
      <c r="J63" t="s">
        <v>187</v>
      </c>
      <c r="K63" t="s">
        <v>41</v>
      </c>
      <c r="L63" t="s">
        <v>40</v>
      </c>
      <c r="M63" t="s">
        <v>188</v>
      </c>
      <c r="N63" s="7">
        <v>20.818247646632873</v>
      </c>
      <c r="O63" s="7">
        <v>1.1408550567221818</v>
      </c>
      <c r="P63" s="7">
        <v>4</v>
      </c>
      <c r="Q63" s="7">
        <v>22.701600893072651</v>
      </c>
      <c r="R63" s="7">
        <v>1.1396765628771333</v>
      </c>
      <c r="S63" s="7">
        <v>4</v>
      </c>
      <c r="T63" s="7">
        <v>2.2817101134443636</v>
      </c>
      <c r="U63" s="7">
        <v>2.2793531257542665</v>
      </c>
      <c r="V63" s="7">
        <v>8.6605553108363126E-2</v>
      </c>
      <c r="W63" s="7">
        <v>5.5234079681685967E-3</v>
      </c>
      <c r="X63" t="s">
        <v>189</v>
      </c>
      <c r="Y63" t="s">
        <v>190</v>
      </c>
      <c r="Z63" t="s">
        <v>191</v>
      </c>
      <c r="AA63" t="s">
        <v>196</v>
      </c>
      <c r="AB63" t="s">
        <v>92</v>
      </c>
      <c r="AC63" t="s">
        <v>181</v>
      </c>
      <c r="AD63" t="s">
        <v>181</v>
      </c>
      <c r="AE63" t="s">
        <v>1668</v>
      </c>
      <c r="AF63" t="s">
        <v>1670</v>
      </c>
      <c r="AG63" t="s">
        <v>1668</v>
      </c>
      <c r="AH63" t="s">
        <v>1235</v>
      </c>
      <c r="AI63" t="s">
        <v>40</v>
      </c>
      <c r="AJ63" t="s">
        <v>1636</v>
      </c>
      <c r="AK63" t="s">
        <v>1637</v>
      </c>
      <c r="AL63" s="4">
        <v>60</v>
      </c>
      <c r="AM63" t="s">
        <v>185</v>
      </c>
      <c r="AN63">
        <v>60</v>
      </c>
      <c r="AO63" t="s">
        <v>1665</v>
      </c>
      <c r="AP63" t="s">
        <v>1639</v>
      </c>
      <c r="AQ63" t="s">
        <v>1640</v>
      </c>
      <c r="AR63" t="s">
        <v>1666</v>
      </c>
      <c r="AS63">
        <v>1</v>
      </c>
      <c r="AT63">
        <v>0</v>
      </c>
      <c r="AU63">
        <v>0</v>
      </c>
      <c r="AV63">
        <v>1</v>
      </c>
      <c r="AW63">
        <v>0</v>
      </c>
      <c r="AX63">
        <v>0</v>
      </c>
      <c r="AY63" t="s">
        <v>1642</v>
      </c>
    </row>
    <row r="64" spans="1:51">
      <c r="A64" t="s">
        <v>181</v>
      </c>
      <c r="B64" t="s">
        <v>198</v>
      </c>
      <c r="C64" t="s">
        <v>183</v>
      </c>
      <c r="D64" t="s">
        <v>184</v>
      </c>
      <c r="E64" t="s">
        <v>96</v>
      </c>
      <c r="F64">
        <v>30</v>
      </c>
      <c r="G64" t="s">
        <v>185</v>
      </c>
      <c r="H64" t="s">
        <v>84</v>
      </c>
      <c r="I64" t="s">
        <v>186</v>
      </c>
      <c r="J64" t="s">
        <v>187</v>
      </c>
      <c r="K64" t="s">
        <v>41</v>
      </c>
      <c r="L64" t="s">
        <v>40</v>
      </c>
      <c r="M64" t="s">
        <v>188</v>
      </c>
      <c r="N64" s="7">
        <v>17.777538619357951</v>
      </c>
      <c r="O64" s="7">
        <v>1.1219979483466087</v>
      </c>
      <c r="P64" s="7">
        <v>4</v>
      </c>
      <c r="Q64" s="7">
        <v>23.823598841419258</v>
      </c>
      <c r="R64" s="7">
        <v>1.1219979483466087</v>
      </c>
      <c r="S64" s="7">
        <v>4</v>
      </c>
      <c r="T64" s="7">
        <v>2.2439958966932174</v>
      </c>
      <c r="U64" s="7">
        <v>2.2439958966932174</v>
      </c>
      <c r="V64" s="7">
        <v>0.29274085223125074</v>
      </c>
      <c r="W64" s="7">
        <v>6.2013203447805199E-3</v>
      </c>
      <c r="X64" t="s">
        <v>189</v>
      </c>
      <c r="Y64" t="s">
        <v>190</v>
      </c>
      <c r="Z64" t="s">
        <v>191</v>
      </c>
      <c r="AA64" t="s">
        <v>199</v>
      </c>
      <c r="AB64" t="s">
        <v>92</v>
      </c>
      <c r="AC64" t="s">
        <v>181</v>
      </c>
      <c r="AD64" t="s">
        <v>181</v>
      </c>
      <c r="AE64" t="s">
        <v>1671</v>
      </c>
      <c r="AF64" t="s">
        <v>1672</v>
      </c>
      <c r="AG64" t="s">
        <v>1671</v>
      </c>
      <c r="AH64" t="s">
        <v>1242</v>
      </c>
      <c r="AI64" t="s">
        <v>40</v>
      </c>
      <c r="AJ64" t="s">
        <v>1636</v>
      </c>
      <c r="AK64" t="s">
        <v>1637</v>
      </c>
      <c r="AL64" s="4">
        <v>30</v>
      </c>
      <c r="AM64" t="s">
        <v>185</v>
      </c>
      <c r="AN64">
        <v>30</v>
      </c>
      <c r="AO64" t="s">
        <v>1665</v>
      </c>
      <c r="AP64" t="s">
        <v>1639</v>
      </c>
      <c r="AQ64" t="s">
        <v>1640</v>
      </c>
      <c r="AR64" t="s">
        <v>1666</v>
      </c>
      <c r="AS64">
        <v>1</v>
      </c>
      <c r="AT64">
        <v>0</v>
      </c>
      <c r="AU64">
        <v>0</v>
      </c>
      <c r="AV64">
        <v>1</v>
      </c>
      <c r="AW64">
        <v>0</v>
      </c>
      <c r="AX64">
        <v>0</v>
      </c>
      <c r="AY64" t="s">
        <v>1642</v>
      </c>
    </row>
    <row r="65" spans="1:51">
      <c r="A65" t="s">
        <v>181</v>
      </c>
      <c r="B65" t="s">
        <v>200</v>
      </c>
      <c r="C65" t="s">
        <v>183</v>
      </c>
      <c r="D65" t="s">
        <v>184</v>
      </c>
      <c r="E65" t="s">
        <v>96</v>
      </c>
      <c r="F65">
        <v>60</v>
      </c>
      <c r="G65" t="s">
        <v>185</v>
      </c>
      <c r="H65" t="s">
        <v>84</v>
      </c>
      <c r="I65" t="s">
        <v>186</v>
      </c>
      <c r="J65" t="s">
        <v>187</v>
      </c>
      <c r="K65" t="s">
        <v>41</v>
      </c>
      <c r="L65" t="s">
        <v>40</v>
      </c>
      <c r="M65" t="s">
        <v>188</v>
      </c>
      <c r="N65" s="7">
        <v>17.777538619357951</v>
      </c>
      <c r="O65" s="7">
        <v>1.1219979483466087</v>
      </c>
      <c r="P65" s="7">
        <v>4</v>
      </c>
      <c r="Q65" s="7">
        <v>21.940244991552014</v>
      </c>
      <c r="R65" s="7">
        <v>0.9416769249336141</v>
      </c>
      <c r="S65" s="7">
        <v>4</v>
      </c>
      <c r="T65" s="7">
        <v>2.2439958966932174</v>
      </c>
      <c r="U65" s="7">
        <v>1.8833538498672282</v>
      </c>
      <c r="V65" s="7">
        <v>0.21038683607228223</v>
      </c>
      <c r="W65" s="7">
        <v>5.8254129585573215E-3</v>
      </c>
      <c r="X65" t="s">
        <v>189</v>
      </c>
      <c r="Y65" t="s">
        <v>190</v>
      </c>
      <c r="Z65" t="s">
        <v>191</v>
      </c>
      <c r="AA65" t="s">
        <v>199</v>
      </c>
      <c r="AB65" t="s">
        <v>92</v>
      </c>
      <c r="AC65" t="s">
        <v>181</v>
      </c>
      <c r="AD65" t="s">
        <v>181</v>
      </c>
      <c r="AE65" t="s">
        <v>1671</v>
      </c>
      <c r="AF65" t="s">
        <v>1673</v>
      </c>
      <c r="AG65" t="s">
        <v>1671</v>
      </c>
      <c r="AH65" t="s">
        <v>1242</v>
      </c>
      <c r="AI65" t="s">
        <v>40</v>
      </c>
      <c r="AJ65" t="s">
        <v>1636</v>
      </c>
      <c r="AK65" t="s">
        <v>1637</v>
      </c>
      <c r="AL65" s="4">
        <v>60</v>
      </c>
      <c r="AM65" t="s">
        <v>185</v>
      </c>
      <c r="AN65">
        <v>60</v>
      </c>
      <c r="AO65" t="s">
        <v>1665</v>
      </c>
      <c r="AP65" t="s">
        <v>1639</v>
      </c>
      <c r="AQ65" t="s">
        <v>1640</v>
      </c>
      <c r="AR65" t="s">
        <v>1666</v>
      </c>
      <c r="AS65">
        <v>1</v>
      </c>
      <c r="AT65">
        <v>0</v>
      </c>
      <c r="AU65">
        <v>0</v>
      </c>
      <c r="AV65">
        <v>1</v>
      </c>
      <c r="AW65">
        <v>0</v>
      </c>
      <c r="AX65">
        <v>0</v>
      </c>
      <c r="AY65" t="s">
        <v>1642</v>
      </c>
    </row>
    <row r="66" spans="1:51">
      <c r="A66" t="s">
        <v>181</v>
      </c>
      <c r="B66" t="s">
        <v>201</v>
      </c>
      <c r="C66" t="s">
        <v>183</v>
      </c>
      <c r="D66" t="s">
        <v>195</v>
      </c>
      <c r="E66" t="s">
        <v>96</v>
      </c>
      <c r="F66">
        <v>30</v>
      </c>
      <c r="G66" t="s">
        <v>185</v>
      </c>
      <c r="H66" t="s">
        <v>84</v>
      </c>
      <c r="I66" t="s">
        <v>186</v>
      </c>
      <c r="J66" t="s">
        <v>187</v>
      </c>
      <c r="K66" t="s">
        <v>41</v>
      </c>
      <c r="L66" t="s">
        <v>40</v>
      </c>
      <c r="M66" t="s">
        <v>188</v>
      </c>
      <c r="N66" s="7">
        <v>17.777538619357951</v>
      </c>
      <c r="O66" s="7">
        <v>1.1219979483466087</v>
      </c>
      <c r="P66" s="7">
        <v>4</v>
      </c>
      <c r="Q66" s="7">
        <v>23.823598841419258</v>
      </c>
      <c r="R66" s="7">
        <v>1.1219979483466087</v>
      </c>
      <c r="S66" s="7">
        <v>4</v>
      </c>
      <c r="T66" s="7">
        <v>2.2439958966932174</v>
      </c>
      <c r="U66" s="7">
        <v>2.2439958966932174</v>
      </c>
      <c r="V66" s="7">
        <v>0.29274085223125074</v>
      </c>
      <c r="W66" s="7">
        <v>6.2013203447805199E-3</v>
      </c>
      <c r="X66" t="s">
        <v>189</v>
      </c>
      <c r="Y66" t="s">
        <v>190</v>
      </c>
      <c r="Z66" t="s">
        <v>191</v>
      </c>
      <c r="AA66" t="s">
        <v>202</v>
      </c>
      <c r="AB66" t="s">
        <v>92</v>
      </c>
      <c r="AC66" t="s">
        <v>181</v>
      </c>
      <c r="AD66" t="s">
        <v>181</v>
      </c>
      <c r="AE66" t="s">
        <v>1674</v>
      </c>
      <c r="AF66" t="s">
        <v>1675</v>
      </c>
      <c r="AG66" t="s">
        <v>1674</v>
      </c>
      <c r="AH66" t="s">
        <v>1242</v>
      </c>
      <c r="AI66" t="s">
        <v>40</v>
      </c>
      <c r="AJ66" t="s">
        <v>1636</v>
      </c>
      <c r="AK66" t="s">
        <v>1637</v>
      </c>
      <c r="AL66" s="4">
        <v>30</v>
      </c>
      <c r="AM66" t="s">
        <v>185</v>
      </c>
      <c r="AN66">
        <v>30</v>
      </c>
      <c r="AO66" t="s">
        <v>1665</v>
      </c>
      <c r="AP66" t="s">
        <v>1639</v>
      </c>
      <c r="AQ66" t="s">
        <v>1640</v>
      </c>
      <c r="AR66" t="s">
        <v>1666</v>
      </c>
      <c r="AS66">
        <v>1</v>
      </c>
      <c r="AT66">
        <v>0</v>
      </c>
      <c r="AU66">
        <v>0</v>
      </c>
      <c r="AV66">
        <v>1</v>
      </c>
      <c r="AW66">
        <v>0</v>
      </c>
      <c r="AX66">
        <v>0</v>
      </c>
      <c r="AY66" t="s">
        <v>1642</v>
      </c>
    </row>
    <row r="67" spans="1:51">
      <c r="A67" t="s">
        <v>181</v>
      </c>
      <c r="B67" t="s">
        <v>203</v>
      </c>
      <c r="C67" t="s">
        <v>183</v>
      </c>
      <c r="D67" t="s">
        <v>195</v>
      </c>
      <c r="E67" t="s">
        <v>96</v>
      </c>
      <c r="F67">
        <v>60</v>
      </c>
      <c r="G67" t="s">
        <v>185</v>
      </c>
      <c r="H67" t="s">
        <v>84</v>
      </c>
      <c r="I67" t="s">
        <v>186</v>
      </c>
      <c r="J67" t="s">
        <v>187</v>
      </c>
      <c r="K67" t="s">
        <v>41</v>
      </c>
      <c r="L67" t="s">
        <v>40</v>
      </c>
      <c r="M67" t="s">
        <v>188</v>
      </c>
      <c r="N67" s="7">
        <v>17.777538619357951</v>
      </c>
      <c r="O67" s="7">
        <v>1.1219979483466087</v>
      </c>
      <c r="P67" s="7">
        <v>4</v>
      </c>
      <c r="Q67" s="7">
        <v>21.940244991552014</v>
      </c>
      <c r="R67" s="7">
        <v>0.9416769249336141</v>
      </c>
      <c r="S67" s="7">
        <v>4</v>
      </c>
      <c r="T67" s="7">
        <v>2.2439958966932174</v>
      </c>
      <c r="U67" s="7">
        <v>1.8833538498672282</v>
      </c>
      <c r="V67" s="7">
        <v>0.21038683607228223</v>
      </c>
      <c r="W67" s="7">
        <v>5.8254129585573215E-3</v>
      </c>
      <c r="X67" t="s">
        <v>189</v>
      </c>
      <c r="Y67" t="s">
        <v>190</v>
      </c>
      <c r="Z67" t="s">
        <v>191</v>
      </c>
      <c r="AA67" t="s">
        <v>202</v>
      </c>
      <c r="AB67" t="s">
        <v>92</v>
      </c>
      <c r="AC67" t="s">
        <v>181</v>
      </c>
      <c r="AD67" t="s">
        <v>181</v>
      </c>
      <c r="AE67" t="s">
        <v>1674</v>
      </c>
      <c r="AF67" t="s">
        <v>1676</v>
      </c>
      <c r="AG67" t="s">
        <v>1674</v>
      </c>
      <c r="AH67" t="s">
        <v>1242</v>
      </c>
      <c r="AI67" t="s">
        <v>40</v>
      </c>
      <c r="AJ67" t="s">
        <v>1636</v>
      </c>
      <c r="AK67" t="s">
        <v>1637</v>
      </c>
      <c r="AL67" s="4">
        <v>60</v>
      </c>
      <c r="AM67" t="s">
        <v>185</v>
      </c>
      <c r="AN67">
        <v>60</v>
      </c>
      <c r="AO67" t="s">
        <v>1665</v>
      </c>
      <c r="AP67" t="s">
        <v>1639</v>
      </c>
      <c r="AQ67" t="s">
        <v>1640</v>
      </c>
      <c r="AR67" t="s">
        <v>1666</v>
      </c>
      <c r="AS67">
        <v>1</v>
      </c>
      <c r="AT67">
        <v>0</v>
      </c>
      <c r="AU67">
        <v>0</v>
      </c>
      <c r="AV67">
        <v>1</v>
      </c>
      <c r="AW67">
        <v>0</v>
      </c>
      <c r="AX67">
        <v>0</v>
      </c>
      <c r="AY67" t="s">
        <v>1642</v>
      </c>
    </row>
    <row r="68" spans="1:51">
      <c r="A68" t="s">
        <v>181</v>
      </c>
      <c r="B68" t="s">
        <v>204</v>
      </c>
      <c r="C68" t="s">
        <v>183</v>
      </c>
      <c r="D68" t="s">
        <v>184</v>
      </c>
      <c r="E68" t="s">
        <v>96</v>
      </c>
      <c r="F68">
        <v>30</v>
      </c>
      <c r="G68" t="s">
        <v>185</v>
      </c>
      <c r="H68" t="s">
        <v>84</v>
      </c>
      <c r="I68" t="s">
        <v>186</v>
      </c>
      <c r="J68" t="s">
        <v>187</v>
      </c>
      <c r="K68" t="s">
        <v>41</v>
      </c>
      <c r="L68" t="s">
        <v>40</v>
      </c>
      <c r="M68" t="s">
        <v>188</v>
      </c>
      <c r="N68" s="7">
        <v>17.777538619357951</v>
      </c>
      <c r="O68" s="7">
        <v>1.1219979483466087</v>
      </c>
      <c r="P68" s="7">
        <v>4</v>
      </c>
      <c r="Q68" s="7">
        <v>24.582597755249818</v>
      </c>
      <c r="R68" s="7">
        <v>0.9416769249336141</v>
      </c>
      <c r="S68" s="7">
        <v>4</v>
      </c>
      <c r="T68" s="7">
        <v>2.2439958966932174</v>
      </c>
      <c r="U68" s="7">
        <v>1.8833538498672282</v>
      </c>
      <c r="V68" s="7">
        <v>0.32410299913780211</v>
      </c>
      <c r="W68" s="7">
        <v>5.4506795589864508E-3</v>
      </c>
      <c r="X68" t="s">
        <v>189</v>
      </c>
      <c r="Y68" t="s">
        <v>190</v>
      </c>
      <c r="Z68" t="s">
        <v>191</v>
      </c>
      <c r="AA68" t="s">
        <v>205</v>
      </c>
      <c r="AB68" t="s">
        <v>92</v>
      </c>
      <c r="AC68" t="s">
        <v>181</v>
      </c>
      <c r="AD68" t="s">
        <v>181</v>
      </c>
      <c r="AE68" t="s">
        <v>1677</v>
      </c>
      <c r="AF68" t="s">
        <v>1678</v>
      </c>
      <c r="AG68" t="s">
        <v>1677</v>
      </c>
      <c r="AH68" t="s">
        <v>1243</v>
      </c>
      <c r="AI68" t="s">
        <v>40</v>
      </c>
      <c r="AJ68" t="s">
        <v>1636</v>
      </c>
      <c r="AK68" t="s">
        <v>1637</v>
      </c>
      <c r="AL68" s="4">
        <v>30</v>
      </c>
      <c r="AM68" t="s">
        <v>185</v>
      </c>
      <c r="AN68">
        <v>30</v>
      </c>
      <c r="AO68" t="s">
        <v>1665</v>
      </c>
      <c r="AP68" t="s">
        <v>1639</v>
      </c>
      <c r="AQ68" t="s">
        <v>1640</v>
      </c>
      <c r="AR68" t="s">
        <v>1666</v>
      </c>
      <c r="AS68">
        <v>1</v>
      </c>
      <c r="AT68">
        <v>0</v>
      </c>
      <c r="AU68">
        <v>0</v>
      </c>
      <c r="AV68">
        <v>1</v>
      </c>
      <c r="AW68">
        <v>0</v>
      </c>
      <c r="AX68">
        <v>0</v>
      </c>
      <c r="AY68" t="s">
        <v>1642</v>
      </c>
    </row>
    <row r="69" spans="1:51">
      <c r="A69" t="s">
        <v>181</v>
      </c>
      <c r="B69" t="s">
        <v>206</v>
      </c>
      <c r="C69" t="s">
        <v>183</v>
      </c>
      <c r="D69" t="s">
        <v>184</v>
      </c>
      <c r="E69" t="s">
        <v>96</v>
      </c>
      <c r="F69">
        <v>60</v>
      </c>
      <c r="G69" t="s">
        <v>185</v>
      </c>
      <c r="H69" t="s">
        <v>84</v>
      </c>
      <c r="I69" t="s">
        <v>186</v>
      </c>
      <c r="J69" t="s">
        <v>187</v>
      </c>
      <c r="K69" t="s">
        <v>41</v>
      </c>
      <c r="L69" t="s">
        <v>40</v>
      </c>
      <c r="M69" t="s">
        <v>188</v>
      </c>
      <c r="N69" s="7">
        <v>17.777538619357951</v>
      </c>
      <c r="O69" s="7">
        <v>1.1219979483466087</v>
      </c>
      <c r="P69" s="7">
        <v>4</v>
      </c>
      <c r="Q69" s="7">
        <v>19.658534878107652</v>
      </c>
      <c r="R69" s="7">
        <v>0.95935523775043985</v>
      </c>
      <c r="S69" s="7">
        <v>4</v>
      </c>
      <c r="T69" s="7">
        <v>2.2439958966932174</v>
      </c>
      <c r="U69" s="7">
        <v>1.9187104755008797</v>
      </c>
      <c r="V69" s="7">
        <v>0.10057580381067163</v>
      </c>
      <c r="W69" s="7">
        <v>6.364813279165992E-3</v>
      </c>
      <c r="X69" t="s">
        <v>189</v>
      </c>
      <c r="Y69" t="s">
        <v>190</v>
      </c>
      <c r="Z69" t="s">
        <v>191</v>
      </c>
      <c r="AA69" t="s">
        <v>205</v>
      </c>
      <c r="AB69" t="s">
        <v>92</v>
      </c>
      <c r="AC69" t="s">
        <v>181</v>
      </c>
      <c r="AD69" t="s">
        <v>181</v>
      </c>
      <c r="AE69" t="s">
        <v>1677</v>
      </c>
      <c r="AF69" t="s">
        <v>1679</v>
      </c>
      <c r="AG69" t="s">
        <v>1677</v>
      </c>
      <c r="AH69" t="s">
        <v>1243</v>
      </c>
      <c r="AI69" t="s">
        <v>40</v>
      </c>
      <c r="AJ69" t="s">
        <v>1636</v>
      </c>
      <c r="AK69" t="s">
        <v>1637</v>
      </c>
      <c r="AL69" s="4">
        <v>60</v>
      </c>
      <c r="AM69" t="s">
        <v>185</v>
      </c>
      <c r="AN69">
        <v>60</v>
      </c>
      <c r="AO69" t="s">
        <v>1665</v>
      </c>
      <c r="AP69" t="s">
        <v>1639</v>
      </c>
      <c r="AQ69" t="s">
        <v>1640</v>
      </c>
      <c r="AR69" t="s">
        <v>1666</v>
      </c>
      <c r="AS69">
        <v>1</v>
      </c>
      <c r="AT69">
        <v>0</v>
      </c>
      <c r="AU69">
        <v>0</v>
      </c>
      <c r="AV69">
        <v>1</v>
      </c>
      <c r="AW69">
        <v>0</v>
      </c>
      <c r="AX69">
        <v>0</v>
      </c>
      <c r="AY69" t="s">
        <v>1642</v>
      </c>
    </row>
    <row r="70" spans="1:51">
      <c r="A70" t="s">
        <v>181</v>
      </c>
      <c r="B70" t="s">
        <v>207</v>
      </c>
      <c r="C70" t="s">
        <v>183</v>
      </c>
      <c r="D70" t="s">
        <v>195</v>
      </c>
      <c r="E70" t="s">
        <v>96</v>
      </c>
      <c r="F70">
        <v>30</v>
      </c>
      <c r="G70" t="s">
        <v>185</v>
      </c>
      <c r="H70" t="s">
        <v>84</v>
      </c>
      <c r="I70" t="s">
        <v>186</v>
      </c>
      <c r="J70" t="s">
        <v>187</v>
      </c>
      <c r="K70" t="s">
        <v>41</v>
      </c>
      <c r="L70" t="s">
        <v>40</v>
      </c>
      <c r="M70" t="s">
        <v>188</v>
      </c>
      <c r="N70" s="7">
        <v>17.777538619357951</v>
      </c>
      <c r="O70" s="7">
        <v>1.1219979483466087</v>
      </c>
      <c r="P70" s="7">
        <v>4</v>
      </c>
      <c r="Q70" s="7">
        <v>24.582597755249818</v>
      </c>
      <c r="R70" s="7">
        <v>0.9416769249336141</v>
      </c>
      <c r="S70" s="7">
        <v>4</v>
      </c>
      <c r="T70" s="7">
        <v>2.2439958966932174</v>
      </c>
      <c r="U70" s="7">
        <v>1.8833538498672282</v>
      </c>
      <c r="V70" s="7">
        <v>0.32410299913780211</v>
      </c>
      <c r="W70" s="7">
        <v>5.4506795589864508E-3</v>
      </c>
      <c r="X70" t="s">
        <v>189</v>
      </c>
      <c r="Y70" t="s">
        <v>190</v>
      </c>
      <c r="Z70" t="s">
        <v>191</v>
      </c>
      <c r="AA70" t="s">
        <v>208</v>
      </c>
      <c r="AB70" t="s">
        <v>92</v>
      </c>
      <c r="AC70" t="s">
        <v>181</v>
      </c>
      <c r="AD70" t="s">
        <v>181</v>
      </c>
      <c r="AE70" t="s">
        <v>1680</v>
      </c>
      <c r="AF70" t="s">
        <v>1681</v>
      </c>
      <c r="AG70" t="s">
        <v>1680</v>
      </c>
      <c r="AH70" t="s">
        <v>1243</v>
      </c>
      <c r="AI70" t="s">
        <v>40</v>
      </c>
      <c r="AJ70" t="s">
        <v>1636</v>
      </c>
      <c r="AK70" t="s">
        <v>1637</v>
      </c>
      <c r="AL70" s="4">
        <v>30</v>
      </c>
      <c r="AM70" t="s">
        <v>185</v>
      </c>
      <c r="AN70">
        <v>30</v>
      </c>
      <c r="AO70" t="s">
        <v>1665</v>
      </c>
      <c r="AP70" t="s">
        <v>1639</v>
      </c>
      <c r="AQ70" t="s">
        <v>1640</v>
      </c>
      <c r="AR70" t="s">
        <v>1666</v>
      </c>
      <c r="AS70">
        <v>1</v>
      </c>
      <c r="AT70">
        <v>0</v>
      </c>
      <c r="AU70">
        <v>0</v>
      </c>
      <c r="AV70">
        <v>1</v>
      </c>
      <c r="AW70">
        <v>0</v>
      </c>
      <c r="AX70">
        <v>0</v>
      </c>
      <c r="AY70" t="s">
        <v>1642</v>
      </c>
    </row>
    <row r="71" spans="1:51">
      <c r="A71" t="s">
        <v>181</v>
      </c>
      <c r="B71" t="s">
        <v>209</v>
      </c>
      <c r="C71" t="s">
        <v>183</v>
      </c>
      <c r="D71" t="s">
        <v>195</v>
      </c>
      <c r="E71" t="s">
        <v>96</v>
      </c>
      <c r="F71">
        <v>60</v>
      </c>
      <c r="G71" t="s">
        <v>185</v>
      </c>
      <c r="H71" t="s">
        <v>84</v>
      </c>
      <c r="I71" t="s">
        <v>186</v>
      </c>
      <c r="J71" t="s">
        <v>187</v>
      </c>
      <c r="K71" t="s">
        <v>41</v>
      </c>
      <c r="L71" t="s">
        <v>40</v>
      </c>
      <c r="M71" t="s">
        <v>188</v>
      </c>
      <c r="N71" s="7">
        <v>17.777538619357951</v>
      </c>
      <c r="O71" s="7">
        <v>1.1219979483466087</v>
      </c>
      <c r="P71" s="7">
        <v>4</v>
      </c>
      <c r="Q71" s="7">
        <v>19.658534878107652</v>
      </c>
      <c r="R71" s="7">
        <v>0.95935523775043985</v>
      </c>
      <c r="S71" s="7">
        <v>4</v>
      </c>
      <c r="T71" s="7">
        <v>2.2439958966932174</v>
      </c>
      <c r="U71" s="7">
        <v>1.9187104755008797</v>
      </c>
      <c r="V71" s="7">
        <v>0.10057580381067163</v>
      </c>
      <c r="W71" s="7">
        <v>6.364813279165992E-3</v>
      </c>
      <c r="X71" t="s">
        <v>189</v>
      </c>
      <c r="Y71" t="s">
        <v>190</v>
      </c>
      <c r="Z71" t="s">
        <v>191</v>
      </c>
      <c r="AA71" t="s">
        <v>208</v>
      </c>
      <c r="AB71" t="s">
        <v>92</v>
      </c>
      <c r="AC71" t="s">
        <v>181</v>
      </c>
      <c r="AD71" t="s">
        <v>181</v>
      </c>
      <c r="AE71" t="s">
        <v>1680</v>
      </c>
      <c r="AF71" t="s">
        <v>1682</v>
      </c>
      <c r="AG71" t="s">
        <v>1680</v>
      </c>
      <c r="AH71" t="s">
        <v>1243</v>
      </c>
      <c r="AI71" t="s">
        <v>40</v>
      </c>
      <c r="AJ71" t="s">
        <v>1636</v>
      </c>
      <c r="AK71" t="s">
        <v>1637</v>
      </c>
      <c r="AL71" s="4">
        <v>60</v>
      </c>
      <c r="AM71" t="s">
        <v>185</v>
      </c>
      <c r="AN71">
        <v>60</v>
      </c>
      <c r="AO71" t="s">
        <v>1665</v>
      </c>
      <c r="AP71" t="s">
        <v>1639</v>
      </c>
      <c r="AQ71" t="s">
        <v>1640</v>
      </c>
      <c r="AR71" t="s">
        <v>1666</v>
      </c>
      <c r="AS71">
        <v>1</v>
      </c>
      <c r="AT71">
        <v>0</v>
      </c>
      <c r="AU71">
        <v>0</v>
      </c>
      <c r="AV71">
        <v>1</v>
      </c>
      <c r="AW71">
        <v>0</v>
      </c>
      <c r="AX71">
        <v>0</v>
      </c>
      <c r="AY71" t="s">
        <v>1642</v>
      </c>
    </row>
    <row r="72" spans="1:51">
      <c r="A72" t="s">
        <v>181</v>
      </c>
      <c r="B72" t="s">
        <v>210</v>
      </c>
      <c r="C72" t="s">
        <v>183</v>
      </c>
      <c r="D72" t="s">
        <v>184</v>
      </c>
      <c r="E72" t="s">
        <v>96</v>
      </c>
      <c r="F72">
        <v>30</v>
      </c>
      <c r="G72" t="s">
        <v>185</v>
      </c>
      <c r="H72" t="s">
        <v>84</v>
      </c>
      <c r="I72" t="s">
        <v>186</v>
      </c>
      <c r="J72" t="s">
        <v>187</v>
      </c>
      <c r="K72" t="s">
        <v>29</v>
      </c>
      <c r="L72" t="s">
        <v>40</v>
      </c>
      <c r="M72" t="s">
        <v>188</v>
      </c>
      <c r="N72" s="7">
        <v>15.903672343125313</v>
      </c>
      <c r="O72" s="7">
        <v>1.0149270385401665</v>
      </c>
      <c r="P72" s="7">
        <v>4</v>
      </c>
      <c r="Q72" s="7">
        <v>19.697454355028768</v>
      </c>
      <c r="R72" s="7">
        <v>1.0157139548233167</v>
      </c>
      <c r="S72" s="7">
        <v>4</v>
      </c>
      <c r="T72" s="7">
        <v>2.0298540770803331</v>
      </c>
      <c r="U72" s="7">
        <v>2.0314279096466334</v>
      </c>
      <c r="V72" s="7">
        <v>0.21393935930301528</v>
      </c>
      <c r="W72" s="7">
        <v>6.7316548949012071E-3</v>
      </c>
      <c r="X72" t="s">
        <v>189</v>
      </c>
      <c r="Y72" t="s">
        <v>190</v>
      </c>
      <c r="Z72" t="s">
        <v>191</v>
      </c>
      <c r="AA72" t="s">
        <v>211</v>
      </c>
      <c r="AB72" t="s">
        <v>92</v>
      </c>
      <c r="AC72" t="s">
        <v>181</v>
      </c>
      <c r="AD72" t="s">
        <v>181</v>
      </c>
      <c r="AE72" t="s">
        <v>1663</v>
      </c>
      <c r="AF72" t="s">
        <v>1664</v>
      </c>
      <c r="AG72" t="s">
        <v>1663</v>
      </c>
      <c r="AH72" t="s">
        <v>1235</v>
      </c>
      <c r="AI72" t="s">
        <v>40</v>
      </c>
      <c r="AJ72" t="s">
        <v>1636</v>
      </c>
      <c r="AK72" t="s">
        <v>1637</v>
      </c>
      <c r="AL72" s="4">
        <v>30</v>
      </c>
      <c r="AM72" t="s">
        <v>185</v>
      </c>
      <c r="AN72">
        <v>30</v>
      </c>
      <c r="AO72" t="s">
        <v>1665</v>
      </c>
      <c r="AP72" t="s">
        <v>1639</v>
      </c>
      <c r="AQ72" t="s">
        <v>1640</v>
      </c>
      <c r="AR72" t="s">
        <v>1666</v>
      </c>
      <c r="AS72">
        <v>1</v>
      </c>
      <c r="AT72">
        <v>0</v>
      </c>
      <c r="AU72">
        <v>0</v>
      </c>
      <c r="AV72">
        <v>1</v>
      </c>
      <c r="AW72">
        <v>0</v>
      </c>
      <c r="AX72">
        <v>0</v>
      </c>
      <c r="AY72" t="s">
        <v>1642</v>
      </c>
    </row>
    <row r="73" spans="1:51">
      <c r="A73" t="s">
        <v>181</v>
      </c>
      <c r="B73" t="s">
        <v>212</v>
      </c>
      <c r="C73" t="s">
        <v>183</v>
      </c>
      <c r="D73" t="s">
        <v>184</v>
      </c>
      <c r="E73" t="s">
        <v>96</v>
      </c>
      <c r="F73">
        <v>60</v>
      </c>
      <c r="G73" t="s">
        <v>185</v>
      </c>
      <c r="H73" t="s">
        <v>84</v>
      </c>
      <c r="I73" t="s">
        <v>186</v>
      </c>
      <c r="J73" t="s">
        <v>187</v>
      </c>
      <c r="K73" t="s">
        <v>29</v>
      </c>
      <c r="L73" t="s">
        <v>40</v>
      </c>
      <c r="M73" t="s">
        <v>188</v>
      </c>
      <c r="N73" s="7">
        <v>15.903672343125313</v>
      </c>
      <c r="O73" s="7">
        <v>1.0149270385401665</v>
      </c>
      <c r="P73" s="7">
        <v>4</v>
      </c>
      <c r="Q73" s="7">
        <v>17.426849817218709</v>
      </c>
      <c r="R73" s="7">
        <v>1.1360889837762713</v>
      </c>
      <c r="S73" s="7">
        <v>4</v>
      </c>
      <c r="T73" s="7">
        <v>2.0298540770803331</v>
      </c>
      <c r="U73" s="7">
        <v>2.2721779675525426</v>
      </c>
      <c r="V73" s="7">
        <v>9.1462062285210005E-2</v>
      </c>
      <c r="W73" s="7">
        <v>8.3226089274878491E-3</v>
      </c>
      <c r="X73" t="s">
        <v>189</v>
      </c>
      <c r="Y73" t="s">
        <v>190</v>
      </c>
      <c r="Z73" t="s">
        <v>191</v>
      </c>
      <c r="AA73" t="s">
        <v>211</v>
      </c>
      <c r="AB73" t="s">
        <v>92</v>
      </c>
      <c r="AC73" t="s">
        <v>181</v>
      </c>
      <c r="AD73" t="s">
        <v>181</v>
      </c>
      <c r="AE73" t="s">
        <v>1663</v>
      </c>
      <c r="AF73" t="s">
        <v>1667</v>
      </c>
      <c r="AG73" t="s">
        <v>1663</v>
      </c>
      <c r="AH73" t="s">
        <v>1235</v>
      </c>
      <c r="AI73" t="s">
        <v>40</v>
      </c>
      <c r="AJ73" t="s">
        <v>1636</v>
      </c>
      <c r="AK73" t="s">
        <v>1637</v>
      </c>
      <c r="AL73" s="4">
        <v>60</v>
      </c>
      <c r="AM73" t="s">
        <v>185</v>
      </c>
      <c r="AN73">
        <v>60</v>
      </c>
      <c r="AO73" t="s">
        <v>1665</v>
      </c>
      <c r="AP73" t="s">
        <v>1639</v>
      </c>
      <c r="AQ73" t="s">
        <v>1640</v>
      </c>
      <c r="AR73" t="s">
        <v>1666</v>
      </c>
      <c r="AS73">
        <v>1</v>
      </c>
      <c r="AT73">
        <v>0</v>
      </c>
      <c r="AU73">
        <v>0</v>
      </c>
      <c r="AV73">
        <v>1</v>
      </c>
      <c r="AW73">
        <v>0</v>
      </c>
      <c r="AX73">
        <v>0</v>
      </c>
      <c r="AY73" t="s">
        <v>1642</v>
      </c>
    </row>
    <row r="74" spans="1:51">
      <c r="A74" t="s">
        <v>181</v>
      </c>
      <c r="B74" t="s">
        <v>213</v>
      </c>
      <c r="C74" t="s">
        <v>183</v>
      </c>
      <c r="D74" t="s">
        <v>195</v>
      </c>
      <c r="E74" t="s">
        <v>96</v>
      </c>
      <c r="F74">
        <v>30</v>
      </c>
      <c r="G74" t="s">
        <v>185</v>
      </c>
      <c r="H74" t="s">
        <v>84</v>
      </c>
      <c r="I74" t="s">
        <v>186</v>
      </c>
      <c r="J74" t="s">
        <v>187</v>
      </c>
      <c r="K74" t="s">
        <v>29</v>
      </c>
      <c r="L74" t="s">
        <v>40</v>
      </c>
      <c r="M74" t="s">
        <v>188</v>
      </c>
      <c r="N74" s="7">
        <v>15.661348452653105</v>
      </c>
      <c r="O74" s="7">
        <v>1.0031257112357679</v>
      </c>
      <c r="P74" s="7">
        <v>4</v>
      </c>
      <c r="Q74" s="7">
        <v>18.175850310677856</v>
      </c>
      <c r="R74" s="7">
        <v>1.0149272399520632</v>
      </c>
      <c r="S74" s="7">
        <v>4</v>
      </c>
      <c r="T74" s="7">
        <v>2.0062514224715358</v>
      </c>
      <c r="U74" s="7">
        <v>2.0298544799041265</v>
      </c>
      <c r="V74" s="7">
        <v>0.14889801201348443</v>
      </c>
      <c r="W74" s="7">
        <v>7.2205665595025167E-3</v>
      </c>
      <c r="X74" t="s">
        <v>189</v>
      </c>
      <c r="Y74" t="s">
        <v>190</v>
      </c>
      <c r="Z74" t="s">
        <v>191</v>
      </c>
      <c r="AA74" t="s">
        <v>214</v>
      </c>
      <c r="AB74" t="s">
        <v>92</v>
      </c>
      <c r="AC74" t="s">
        <v>181</v>
      </c>
      <c r="AD74" t="s">
        <v>181</v>
      </c>
      <c r="AE74" t="s">
        <v>1668</v>
      </c>
      <c r="AF74" t="s">
        <v>1669</v>
      </c>
      <c r="AG74" t="s">
        <v>1668</v>
      </c>
      <c r="AH74" t="s">
        <v>1235</v>
      </c>
      <c r="AI74" t="s">
        <v>40</v>
      </c>
      <c r="AJ74" t="s">
        <v>1636</v>
      </c>
      <c r="AK74" t="s">
        <v>1637</v>
      </c>
      <c r="AL74" s="4">
        <v>30</v>
      </c>
      <c r="AM74" t="s">
        <v>185</v>
      </c>
      <c r="AN74">
        <v>30</v>
      </c>
      <c r="AO74" t="s">
        <v>1665</v>
      </c>
      <c r="AP74" t="s">
        <v>1639</v>
      </c>
      <c r="AQ74" t="s">
        <v>1640</v>
      </c>
      <c r="AR74" t="s">
        <v>1666</v>
      </c>
      <c r="AS74">
        <v>1</v>
      </c>
      <c r="AT74">
        <v>0</v>
      </c>
      <c r="AU74">
        <v>0</v>
      </c>
      <c r="AV74">
        <v>1</v>
      </c>
      <c r="AW74">
        <v>0</v>
      </c>
      <c r="AX74">
        <v>0</v>
      </c>
      <c r="AY74" t="s">
        <v>1642</v>
      </c>
    </row>
    <row r="75" spans="1:51">
      <c r="A75" t="s">
        <v>181</v>
      </c>
      <c r="B75" t="s">
        <v>215</v>
      </c>
      <c r="C75" t="s">
        <v>183</v>
      </c>
      <c r="D75" t="s">
        <v>195</v>
      </c>
      <c r="E75" t="s">
        <v>96</v>
      </c>
      <c r="F75">
        <v>60</v>
      </c>
      <c r="G75" t="s">
        <v>185</v>
      </c>
      <c r="H75" t="s">
        <v>84</v>
      </c>
      <c r="I75" t="s">
        <v>186</v>
      </c>
      <c r="J75" t="s">
        <v>187</v>
      </c>
      <c r="K75" t="s">
        <v>29</v>
      </c>
      <c r="L75" t="s">
        <v>40</v>
      </c>
      <c r="M75" t="s">
        <v>188</v>
      </c>
      <c r="N75" s="7">
        <v>15.661348452653105</v>
      </c>
      <c r="O75" s="7">
        <v>1.0031257112357679</v>
      </c>
      <c r="P75" s="7">
        <v>4</v>
      </c>
      <c r="Q75" s="7">
        <v>16.918599381665469</v>
      </c>
      <c r="R75" s="7">
        <v>1.1360889837762713</v>
      </c>
      <c r="S75" s="7">
        <v>4</v>
      </c>
      <c r="T75" s="7">
        <v>2.0062514224715358</v>
      </c>
      <c r="U75" s="7">
        <v>2.2721779675525426</v>
      </c>
      <c r="V75" s="7">
        <v>7.7217776947088562E-2</v>
      </c>
      <c r="W75" s="7">
        <v>8.6116986456159835E-3</v>
      </c>
      <c r="X75" t="s">
        <v>189</v>
      </c>
      <c r="Y75" t="s">
        <v>190</v>
      </c>
      <c r="Z75" t="s">
        <v>191</v>
      </c>
      <c r="AA75" t="s">
        <v>214</v>
      </c>
      <c r="AB75" t="s">
        <v>92</v>
      </c>
      <c r="AC75" t="s">
        <v>181</v>
      </c>
      <c r="AD75" t="s">
        <v>181</v>
      </c>
      <c r="AE75" t="s">
        <v>1668</v>
      </c>
      <c r="AF75" t="s">
        <v>1670</v>
      </c>
      <c r="AG75" t="s">
        <v>1668</v>
      </c>
      <c r="AH75" t="s">
        <v>1235</v>
      </c>
      <c r="AI75" t="s">
        <v>40</v>
      </c>
      <c r="AJ75" t="s">
        <v>1636</v>
      </c>
      <c r="AK75" t="s">
        <v>1637</v>
      </c>
      <c r="AL75" s="4">
        <v>60</v>
      </c>
      <c r="AM75" t="s">
        <v>185</v>
      </c>
      <c r="AN75">
        <v>60</v>
      </c>
      <c r="AO75" t="s">
        <v>1665</v>
      </c>
      <c r="AP75" t="s">
        <v>1639</v>
      </c>
      <c r="AQ75" t="s">
        <v>1640</v>
      </c>
      <c r="AR75" t="s">
        <v>1666</v>
      </c>
      <c r="AS75">
        <v>1</v>
      </c>
      <c r="AT75">
        <v>0</v>
      </c>
      <c r="AU75">
        <v>0</v>
      </c>
      <c r="AV75">
        <v>1</v>
      </c>
      <c r="AW75">
        <v>0</v>
      </c>
      <c r="AX75">
        <v>0</v>
      </c>
      <c r="AY75" t="s">
        <v>1642</v>
      </c>
    </row>
    <row r="76" spans="1:51">
      <c r="A76" t="s">
        <v>181</v>
      </c>
      <c r="B76" t="s">
        <v>216</v>
      </c>
      <c r="C76" t="s">
        <v>183</v>
      </c>
      <c r="D76" t="s">
        <v>184</v>
      </c>
      <c r="E76" t="s">
        <v>96</v>
      </c>
      <c r="F76">
        <v>30</v>
      </c>
      <c r="G76" t="s">
        <v>185</v>
      </c>
      <c r="H76" t="s">
        <v>84</v>
      </c>
      <c r="I76" t="s">
        <v>186</v>
      </c>
      <c r="J76" t="s">
        <v>187</v>
      </c>
      <c r="K76" t="s">
        <v>29</v>
      </c>
      <c r="L76" t="s">
        <v>40</v>
      </c>
      <c r="M76" t="s">
        <v>188</v>
      </c>
      <c r="N76" s="7">
        <v>13.897420920653778</v>
      </c>
      <c r="O76" s="7">
        <v>1.1360889837762713</v>
      </c>
      <c r="P76" s="7">
        <v>4</v>
      </c>
      <c r="Q76" s="7">
        <v>18.924850804137005</v>
      </c>
      <c r="R76" s="7">
        <v>1.1360889837762713</v>
      </c>
      <c r="S76" s="7">
        <v>4</v>
      </c>
      <c r="T76" s="7">
        <v>2.2721779675525426</v>
      </c>
      <c r="U76" s="7">
        <v>2.2721779675525426</v>
      </c>
      <c r="V76" s="7">
        <v>0.30877263811510092</v>
      </c>
      <c r="W76" s="7">
        <v>1.0286558736750316E-2</v>
      </c>
      <c r="X76" t="s">
        <v>189</v>
      </c>
      <c r="Y76" t="s">
        <v>190</v>
      </c>
      <c r="Z76" t="s">
        <v>191</v>
      </c>
      <c r="AA76" t="s">
        <v>217</v>
      </c>
      <c r="AB76" t="s">
        <v>92</v>
      </c>
      <c r="AC76" t="s">
        <v>181</v>
      </c>
      <c r="AD76" t="s">
        <v>181</v>
      </c>
      <c r="AE76" t="s">
        <v>1671</v>
      </c>
      <c r="AF76" t="s">
        <v>1672</v>
      </c>
      <c r="AG76" t="s">
        <v>1671</v>
      </c>
      <c r="AH76" t="s">
        <v>1242</v>
      </c>
      <c r="AI76" t="s">
        <v>40</v>
      </c>
      <c r="AJ76" t="s">
        <v>1636</v>
      </c>
      <c r="AK76" t="s">
        <v>1637</v>
      </c>
      <c r="AL76" s="4">
        <v>30</v>
      </c>
      <c r="AM76" t="s">
        <v>185</v>
      </c>
      <c r="AN76">
        <v>30</v>
      </c>
      <c r="AO76" t="s">
        <v>1665</v>
      </c>
      <c r="AP76" t="s">
        <v>1639</v>
      </c>
      <c r="AQ76" t="s">
        <v>1640</v>
      </c>
      <c r="AR76" t="s">
        <v>1666</v>
      </c>
      <c r="AS76">
        <v>1</v>
      </c>
      <c r="AT76">
        <v>0</v>
      </c>
      <c r="AU76">
        <v>0</v>
      </c>
      <c r="AV76">
        <v>1</v>
      </c>
      <c r="AW76">
        <v>0</v>
      </c>
      <c r="AX76">
        <v>0</v>
      </c>
      <c r="AY76" t="s">
        <v>1642</v>
      </c>
    </row>
    <row r="77" spans="1:51">
      <c r="A77" t="s">
        <v>181</v>
      </c>
      <c r="B77" t="s">
        <v>218</v>
      </c>
      <c r="C77" t="s">
        <v>183</v>
      </c>
      <c r="D77" t="s">
        <v>184</v>
      </c>
      <c r="E77" t="s">
        <v>96</v>
      </c>
      <c r="F77">
        <v>60</v>
      </c>
      <c r="G77" t="s">
        <v>185</v>
      </c>
      <c r="H77" t="s">
        <v>84</v>
      </c>
      <c r="I77" t="s">
        <v>186</v>
      </c>
      <c r="J77" t="s">
        <v>187</v>
      </c>
      <c r="K77" t="s">
        <v>29</v>
      </c>
      <c r="L77" t="s">
        <v>40</v>
      </c>
      <c r="M77" t="s">
        <v>188</v>
      </c>
      <c r="N77" s="7">
        <v>13.897420920653778</v>
      </c>
      <c r="O77" s="7">
        <v>1.1360889837762713</v>
      </c>
      <c r="P77" s="7">
        <v>4</v>
      </c>
      <c r="Q77" s="7">
        <v>16.918599381665469</v>
      </c>
      <c r="R77" s="7">
        <v>1.2572509290123874</v>
      </c>
      <c r="S77" s="7">
        <v>4</v>
      </c>
      <c r="T77" s="7">
        <v>2.2721779675525426</v>
      </c>
      <c r="U77" s="7">
        <v>2.5145018580247749</v>
      </c>
      <c r="V77" s="7">
        <v>0.1967102942460543</v>
      </c>
      <c r="W77" s="7">
        <v>1.2205004265019821E-2</v>
      </c>
      <c r="X77" t="s">
        <v>189</v>
      </c>
      <c r="Y77" t="s">
        <v>190</v>
      </c>
      <c r="Z77" t="s">
        <v>191</v>
      </c>
      <c r="AA77" t="s">
        <v>217</v>
      </c>
      <c r="AB77" t="s">
        <v>92</v>
      </c>
      <c r="AC77" t="s">
        <v>181</v>
      </c>
      <c r="AD77" t="s">
        <v>181</v>
      </c>
      <c r="AE77" t="s">
        <v>1671</v>
      </c>
      <c r="AF77" t="s">
        <v>1673</v>
      </c>
      <c r="AG77" t="s">
        <v>1671</v>
      </c>
      <c r="AH77" t="s">
        <v>1242</v>
      </c>
      <c r="AI77" t="s">
        <v>40</v>
      </c>
      <c r="AJ77" t="s">
        <v>1636</v>
      </c>
      <c r="AK77" t="s">
        <v>1637</v>
      </c>
      <c r="AL77" s="4">
        <v>60</v>
      </c>
      <c r="AM77" t="s">
        <v>185</v>
      </c>
      <c r="AN77">
        <v>60</v>
      </c>
      <c r="AO77" t="s">
        <v>1665</v>
      </c>
      <c r="AP77" t="s">
        <v>1639</v>
      </c>
      <c r="AQ77" t="s">
        <v>1640</v>
      </c>
      <c r="AR77" t="s">
        <v>1666</v>
      </c>
      <c r="AS77">
        <v>1</v>
      </c>
      <c r="AT77">
        <v>0</v>
      </c>
      <c r="AU77">
        <v>0</v>
      </c>
      <c r="AV77">
        <v>1</v>
      </c>
      <c r="AW77">
        <v>0</v>
      </c>
      <c r="AX77">
        <v>0</v>
      </c>
      <c r="AY77" t="s">
        <v>1642</v>
      </c>
    </row>
    <row r="78" spans="1:51">
      <c r="A78" t="s">
        <v>181</v>
      </c>
      <c r="B78" t="s">
        <v>219</v>
      </c>
      <c r="C78" t="s">
        <v>183</v>
      </c>
      <c r="D78" t="s">
        <v>195</v>
      </c>
      <c r="E78" t="s">
        <v>96</v>
      </c>
      <c r="F78">
        <v>30</v>
      </c>
      <c r="G78" t="s">
        <v>185</v>
      </c>
      <c r="H78" t="s">
        <v>84</v>
      </c>
      <c r="I78" t="s">
        <v>186</v>
      </c>
      <c r="J78" t="s">
        <v>187</v>
      </c>
      <c r="K78" t="s">
        <v>29</v>
      </c>
      <c r="L78" t="s">
        <v>40</v>
      </c>
      <c r="M78" t="s">
        <v>188</v>
      </c>
      <c r="N78" s="7">
        <v>13.631494375572771</v>
      </c>
      <c r="O78" s="7">
        <v>1.136089185188168</v>
      </c>
      <c r="P78" s="7">
        <v>4</v>
      </c>
      <c r="Q78" s="7">
        <v>18.441776855758864</v>
      </c>
      <c r="R78" s="7">
        <v>1.0023387949526064</v>
      </c>
      <c r="S78" s="7">
        <v>4</v>
      </c>
      <c r="T78" s="7">
        <v>2.2721783703763361</v>
      </c>
      <c r="U78" s="7">
        <v>2.0046775899052127</v>
      </c>
      <c r="V78" s="7">
        <v>0.30223569385312166</v>
      </c>
      <c r="W78" s="7">
        <v>9.9001389937601759E-3</v>
      </c>
      <c r="X78" t="s">
        <v>189</v>
      </c>
      <c r="Y78" t="s">
        <v>190</v>
      </c>
      <c r="Z78" t="s">
        <v>191</v>
      </c>
      <c r="AA78" t="s">
        <v>220</v>
      </c>
      <c r="AB78" t="s">
        <v>92</v>
      </c>
      <c r="AC78" t="s">
        <v>181</v>
      </c>
      <c r="AD78" t="s">
        <v>181</v>
      </c>
      <c r="AE78" t="s">
        <v>1674</v>
      </c>
      <c r="AF78" t="s">
        <v>1675</v>
      </c>
      <c r="AG78" t="s">
        <v>1674</v>
      </c>
      <c r="AH78" t="s">
        <v>1242</v>
      </c>
      <c r="AI78" t="s">
        <v>40</v>
      </c>
      <c r="AJ78" t="s">
        <v>1636</v>
      </c>
      <c r="AK78" t="s">
        <v>1637</v>
      </c>
      <c r="AL78" s="4">
        <v>30</v>
      </c>
      <c r="AM78" t="s">
        <v>185</v>
      </c>
      <c r="AN78">
        <v>30</v>
      </c>
      <c r="AO78" t="s">
        <v>1665</v>
      </c>
      <c r="AP78" t="s">
        <v>1639</v>
      </c>
      <c r="AQ78" t="s">
        <v>1640</v>
      </c>
      <c r="AR78" t="s">
        <v>1666</v>
      </c>
      <c r="AS78">
        <v>1</v>
      </c>
      <c r="AT78">
        <v>0</v>
      </c>
      <c r="AU78">
        <v>0</v>
      </c>
      <c r="AV78">
        <v>1</v>
      </c>
      <c r="AW78">
        <v>0</v>
      </c>
      <c r="AX78">
        <v>0</v>
      </c>
      <c r="AY78" t="s">
        <v>1642</v>
      </c>
    </row>
    <row r="79" spans="1:51">
      <c r="A79" t="s">
        <v>181</v>
      </c>
      <c r="B79" t="s">
        <v>221</v>
      </c>
      <c r="C79" t="s">
        <v>183</v>
      </c>
      <c r="D79" t="s">
        <v>195</v>
      </c>
      <c r="E79" t="s">
        <v>96</v>
      </c>
      <c r="F79">
        <v>60</v>
      </c>
      <c r="G79" t="s">
        <v>185</v>
      </c>
      <c r="H79" t="s">
        <v>84</v>
      </c>
      <c r="I79" t="s">
        <v>186</v>
      </c>
      <c r="J79" t="s">
        <v>187</v>
      </c>
      <c r="K79" t="s">
        <v>29</v>
      </c>
      <c r="L79" t="s">
        <v>40</v>
      </c>
      <c r="M79" t="s">
        <v>188</v>
      </c>
      <c r="N79" s="7">
        <v>13.631494375572771</v>
      </c>
      <c r="O79" s="7">
        <v>1.136089185188168</v>
      </c>
      <c r="P79" s="7">
        <v>4</v>
      </c>
      <c r="Q79" s="7">
        <v>16.918599381665469</v>
      </c>
      <c r="R79" s="7">
        <v>1.1360889837762713</v>
      </c>
      <c r="S79" s="7">
        <v>4</v>
      </c>
      <c r="T79" s="7">
        <v>2.2721783703763361</v>
      </c>
      <c r="U79" s="7">
        <v>2.2721779675525426</v>
      </c>
      <c r="V79" s="7">
        <v>0.21603069348504872</v>
      </c>
      <c r="W79" s="7">
        <v>1.1455212609935993E-2</v>
      </c>
      <c r="X79" t="s">
        <v>189</v>
      </c>
      <c r="Y79" t="s">
        <v>190</v>
      </c>
      <c r="Z79" t="s">
        <v>191</v>
      </c>
      <c r="AA79" t="s">
        <v>220</v>
      </c>
      <c r="AB79" t="s">
        <v>92</v>
      </c>
      <c r="AC79" t="s">
        <v>181</v>
      </c>
      <c r="AD79" t="s">
        <v>181</v>
      </c>
      <c r="AE79" t="s">
        <v>1674</v>
      </c>
      <c r="AF79" t="s">
        <v>1676</v>
      </c>
      <c r="AG79" t="s">
        <v>1674</v>
      </c>
      <c r="AH79" t="s">
        <v>1242</v>
      </c>
      <c r="AI79" t="s">
        <v>40</v>
      </c>
      <c r="AJ79" t="s">
        <v>1636</v>
      </c>
      <c r="AK79" t="s">
        <v>1637</v>
      </c>
      <c r="AL79" s="4">
        <v>60</v>
      </c>
      <c r="AM79" t="s">
        <v>185</v>
      </c>
      <c r="AN79">
        <v>60</v>
      </c>
      <c r="AO79" t="s">
        <v>1665</v>
      </c>
      <c r="AP79" t="s">
        <v>1639</v>
      </c>
      <c r="AQ79" t="s">
        <v>1640</v>
      </c>
      <c r="AR79" t="s">
        <v>1666</v>
      </c>
      <c r="AS79">
        <v>1</v>
      </c>
      <c r="AT79">
        <v>0</v>
      </c>
      <c r="AU79">
        <v>0</v>
      </c>
      <c r="AV79">
        <v>1</v>
      </c>
      <c r="AW79">
        <v>0</v>
      </c>
      <c r="AX79">
        <v>0</v>
      </c>
      <c r="AY79" t="s">
        <v>1642</v>
      </c>
    </row>
    <row r="80" spans="1:51">
      <c r="A80" t="s">
        <v>181</v>
      </c>
      <c r="B80" t="s">
        <v>222</v>
      </c>
      <c r="C80" t="s">
        <v>183</v>
      </c>
      <c r="D80" t="s">
        <v>184</v>
      </c>
      <c r="E80" t="s">
        <v>96</v>
      </c>
      <c r="F80">
        <v>30</v>
      </c>
      <c r="G80" t="s">
        <v>185</v>
      </c>
      <c r="H80" t="s">
        <v>84</v>
      </c>
      <c r="I80" t="s">
        <v>186</v>
      </c>
      <c r="J80" t="s">
        <v>187</v>
      </c>
      <c r="K80" t="s">
        <v>29</v>
      </c>
      <c r="L80" t="s">
        <v>40</v>
      </c>
      <c r="M80" t="s">
        <v>188</v>
      </c>
      <c r="N80" s="7">
        <v>12.616567337032617</v>
      </c>
      <c r="O80" s="7">
        <v>1.0031257112357679</v>
      </c>
      <c r="P80" s="7">
        <v>4</v>
      </c>
      <c r="Q80" s="7">
        <v>18.441776855758864</v>
      </c>
      <c r="R80" s="7">
        <v>1.1353022689050178</v>
      </c>
      <c r="S80" s="7">
        <v>4</v>
      </c>
      <c r="T80" s="7">
        <v>2.0062514224715358</v>
      </c>
      <c r="U80" s="7">
        <v>2.2706045378100357</v>
      </c>
      <c r="V80" s="7">
        <v>0.37960775396446889</v>
      </c>
      <c r="W80" s="7">
        <v>1.0111429227426756E-2</v>
      </c>
      <c r="X80" t="s">
        <v>189</v>
      </c>
      <c r="Y80" t="s">
        <v>190</v>
      </c>
      <c r="Z80" t="s">
        <v>191</v>
      </c>
      <c r="AA80" t="s">
        <v>223</v>
      </c>
      <c r="AB80" t="s">
        <v>92</v>
      </c>
      <c r="AC80" t="s">
        <v>181</v>
      </c>
      <c r="AD80" t="s">
        <v>181</v>
      </c>
      <c r="AE80" t="s">
        <v>1677</v>
      </c>
      <c r="AF80" t="s">
        <v>1678</v>
      </c>
      <c r="AG80" t="s">
        <v>1677</v>
      </c>
      <c r="AH80" t="s">
        <v>1243</v>
      </c>
      <c r="AI80" t="s">
        <v>40</v>
      </c>
      <c r="AJ80" t="s">
        <v>1636</v>
      </c>
      <c r="AK80" t="s">
        <v>1637</v>
      </c>
      <c r="AL80" s="4">
        <v>30</v>
      </c>
      <c r="AM80" t="s">
        <v>185</v>
      </c>
      <c r="AN80">
        <v>30</v>
      </c>
      <c r="AO80" t="s">
        <v>1665</v>
      </c>
      <c r="AP80" t="s">
        <v>1639</v>
      </c>
      <c r="AQ80" t="s">
        <v>1640</v>
      </c>
      <c r="AR80" t="s">
        <v>1666</v>
      </c>
      <c r="AS80">
        <v>1</v>
      </c>
      <c r="AT80">
        <v>0</v>
      </c>
      <c r="AU80">
        <v>0</v>
      </c>
      <c r="AV80">
        <v>1</v>
      </c>
      <c r="AW80">
        <v>0</v>
      </c>
      <c r="AX80">
        <v>0</v>
      </c>
      <c r="AY80" t="s">
        <v>1642</v>
      </c>
    </row>
    <row r="81" spans="1:51">
      <c r="A81" t="s">
        <v>181</v>
      </c>
      <c r="B81" t="s">
        <v>224</v>
      </c>
      <c r="C81" t="s">
        <v>183</v>
      </c>
      <c r="D81" t="s">
        <v>184</v>
      </c>
      <c r="E81" t="s">
        <v>96</v>
      </c>
      <c r="F81">
        <v>60</v>
      </c>
      <c r="G81" t="s">
        <v>185</v>
      </c>
      <c r="H81" t="s">
        <v>84</v>
      </c>
      <c r="I81" t="s">
        <v>186</v>
      </c>
      <c r="J81" t="s">
        <v>187</v>
      </c>
      <c r="K81" t="s">
        <v>29</v>
      </c>
      <c r="L81" t="s">
        <v>40</v>
      </c>
      <c r="M81" t="s">
        <v>188</v>
      </c>
      <c r="N81" s="7">
        <v>12.616567337032617</v>
      </c>
      <c r="O81" s="7">
        <v>1.0031257112357679</v>
      </c>
      <c r="P81" s="7">
        <v>4</v>
      </c>
      <c r="Q81" s="7">
        <v>15.395421907572075</v>
      </c>
      <c r="R81" s="7">
        <v>1.014927038540155</v>
      </c>
      <c r="S81" s="7">
        <v>4</v>
      </c>
      <c r="T81" s="7">
        <v>2.0062514224715358</v>
      </c>
      <c r="U81" s="7">
        <v>2.02985407708031</v>
      </c>
      <c r="V81" s="7">
        <v>0.19905936820047357</v>
      </c>
      <c r="W81" s="7">
        <v>1.0667586110773938E-2</v>
      </c>
      <c r="X81" t="s">
        <v>189</v>
      </c>
      <c r="Y81" t="s">
        <v>190</v>
      </c>
      <c r="Z81" t="s">
        <v>191</v>
      </c>
      <c r="AA81" t="s">
        <v>223</v>
      </c>
      <c r="AB81" t="s">
        <v>92</v>
      </c>
      <c r="AC81" t="s">
        <v>181</v>
      </c>
      <c r="AD81" t="s">
        <v>181</v>
      </c>
      <c r="AE81" t="s">
        <v>1677</v>
      </c>
      <c r="AF81" t="s">
        <v>1679</v>
      </c>
      <c r="AG81" t="s">
        <v>1677</v>
      </c>
      <c r="AH81" t="s">
        <v>1243</v>
      </c>
      <c r="AI81" t="s">
        <v>40</v>
      </c>
      <c r="AJ81" t="s">
        <v>1636</v>
      </c>
      <c r="AK81" t="s">
        <v>1637</v>
      </c>
      <c r="AL81" s="4">
        <v>60</v>
      </c>
      <c r="AM81" t="s">
        <v>185</v>
      </c>
      <c r="AN81">
        <v>60</v>
      </c>
      <c r="AO81" t="s">
        <v>1665</v>
      </c>
      <c r="AP81" t="s">
        <v>1639</v>
      </c>
      <c r="AQ81" t="s">
        <v>1640</v>
      </c>
      <c r="AR81" t="s">
        <v>1666</v>
      </c>
      <c r="AS81">
        <v>1</v>
      </c>
      <c r="AT81">
        <v>0</v>
      </c>
      <c r="AU81">
        <v>0</v>
      </c>
      <c r="AV81">
        <v>1</v>
      </c>
      <c r="AW81">
        <v>0</v>
      </c>
      <c r="AX81">
        <v>0</v>
      </c>
      <c r="AY81" t="s">
        <v>1642</v>
      </c>
    </row>
    <row r="82" spans="1:51">
      <c r="A82" t="s">
        <v>181</v>
      </c>
      <c r="B82" t="s">
        <v>225</v>
      </c>
      <c r="C82" t="s">
        <v>183</v>
      </c>
      <c r="D82" t="s">
        <v>195</v>
      </c>
      <c r="E82" t="s">
        <v>96</v>
      </c>
      <c r="F82">
        <v>30</v>
      </c>
      <c r="G82" t="s">
        <v>185</v>
      </c>
      <c r="H82" t="s">
        <v>84</v>
      </c>
      <c r="I82" t="s">
        <v>186</v>
      </c>
      <c r="J82" t="s">
        <v>187</v>
      </c>
      <c r="K82" t="s">
        <v>29</v>
      </c>
      <c r="L82" t="s">
        <v>40</v>
      </c>
      <c r="M82" t="s">
        <v>188</v>
      </c>
      <c r="N82" s="7">
        <v>13.631494375572771</v>
      </c>
      <c r="O82" s="7">
        <v>1.0149272399520632</v>
      </c>
      <c r="P82" s="7">
        <v>4</v>
      </c>
      <c r="Q82" s="7">
        <v>18.441776855758864</v>
      </c>
      <c r="R82" s="7">
        <v>1.0023387949526064</v>
      </c>
      <c r="S82" s="7">
        <v>4</v>
      </c>
      <c r="T82" s="7">
        <v>2.0298544799041265</v>
      </c>
      <c r="U82" s="7">
        <v>2.0046775899052127</v>
      </c>
      <c r="V82" s="7">
        <v>0.30223569385312166</v>
      </c>
      <c r="W82" s="7">
        <v>8.4975738991232268E-3</v>
      </c>
      <c r="X82" t="s">
        <v>189</v>
      </c>
      <c r="Y82" t="s">
        <v>190</v>
      </c>
      <c r="Z82" t="s">
        <v>191</v>
      </c>
      <c r="AA82" t="s">
        <v>226</v>
      </c>
      <c r="AB82" t="s">
        <v>92</v>
      </c>
      <c r="AC82" t="s">
        <v>181</v>
      </c>
      <c r="AD82" t="s">
        <v>181</v>
      </c>
      <c r="AE82" t="s">
        <v>1680</v>
      </c>
      <c r="AF82" t="s">
        <v>1681</v>
      </c>
      <c r="AG82" t="s">
        <v>1680</v>
      </c>
      <c r="AH82" t="s">
        <v>1243</v>
      </c>
      <c r="AI82" t="s">
        <v>40</v>
      </c>
      <c r="AJ82" t="s">
        <v>1636</v>
      </c>
      <c r="AK82" t="s">
        <v>1637</v>
      </c>
      <c r="AL82" s="4">
        <v>30</v>
      </c>
      <c r="AM82" t="s">
        <v>185</v>
      </c>
      <c r="AN82">
        <v>30</v>
      </c>
      <c r="AO82" t="s">
        <v>1665</v>
      </c>
      <c r="AP82" t="s">
        <v>1639</v>
      </c>
      <c r="AQ82" t="s">
        <v>1640</v>
      </c>
      <c r="AR82" t="s">
        <v>1666</v>
      </c>
      <c r="AS82">
        <v>1</v>
      </c>
      <c r="AT82">
        <v>0</v>
      </c>
      <c r="AU82">
        <v>0</v>
      </c>
      <c r="AV82">
        <v>1</v>
      </c>
      <c r="AW82">
        <v>0</v>
      </c>
      <c r="AX82">
        <v>0</v>
      </c>
      <c r="AY82" t="s">
        <v>1642</v>
      </c>
    </row>
    <row r="83" spans="1:51">
      <c r="A83" t="s">
        <v>181</v>
      </c>
      <c r="B83" t="s">
        <v>227</v>
      </c>
      <c r="C83" t="s">
        <v>183</v>
      </c>
      <c r="D83" t="s">
        <v>195</v>
      </c>
      <c r="E83" t="s">
        <v>96</v>
      </c>
      <c r="F83">
        <v>60</v>
      </c>
      <c r="G83" t="s">
        <v>185</v>
      </c>
      <c r="H83" t="s">
        <v>84</v>
      </c>
      <c r="I83" t="s">
        <v>186</v>
      </c>
      <c r="J83" t="s">
        <v>187</v>
      </c>
      <c r="K83" t="s">
        <v>29</v>
      </c>
      <c r="L83" t="s">
        <v>40</v>
      </c>
      <c r="M83" t="s">
        <v>188</v>
      </c>
      <c r="N83" s="7">
        <v>13.631494375572771</v>
      </c>
      <c r="O83" s="7">
        <v>1.0149272399520632</v>
      </c>
      <c r="P83" s="7">
        <v>4</v>
      </c>
      <c r="Q83" s="7">
        <v>14.646421414112925</v>
      </c>
      <c r="R83" s="7">
        <v>1.1360889837762713</v>
      </c>
      <c r="S83" s="7">
        <v>4</v>
      </c>
      <c r="T83" s="7">
        <v>2.0298544799041265</v>
      </c>
      <c r="U83" s="7">
        <v>2.2721779675525426</v>
      </c>
      <c r="V83" s="7">
        <v>7.18131551443002E-2</v>
      </c>
      <c r="W83" s="7">
        <v>1.1560230601562312E-2</v>
      </c>
      <c r="X83" t="s">
        <v>189</v>
      </c>
      <c r="Y83" t="s">
        <v>190</v>
      </c>
      <c r="Z83" t="s">
        <v>191</v>
      </c>
      <c r="AA83" t="s">
        <v>226</v>
      </c>
      <c r="AB83" t="s">
        <v>92</v>
      </c>
      <c r="AC83" t="s">
        <v>181</v>
      </c>
      <c r="AD83" t="s">
        <v>181</v>
      </c>
      <c r="AE83" t="s">
        <v>1680</v>
      </c>
      <c r="AF83" t="s">
        <v>1682</v>
      </c>
      <c r="AG83" t="s">
        <v>1680</v>
      </c>
      <c r="AH83" t="s">
        <v>1243</v>
      </c>
      <c r="AI83" t="s">
        <v>40</v>
      </c>
      <c r="AJ83" t="s">
        <v>1636</v>
      </c>
      <c r="AK83" t="s">
        <v>1637</v>
      </c>
      <c r="AL83" s="4">
        <v>60</v>
      </c>
      <c r="AM83" t="s">
        <v>185</v>
      </c>
      <c r="AN83">
        <v>60</v>
      </c>
      <c r="AO83" t="s">
        <v>1665</v>
      </c>
      <c r="AP83" t="s">
        <v>1639</v>
      </c>
      <c r="AQ83" t="s">
        <v>1640</v>
      </c>
      <c r="AR83" t="s">
        <v>1666</v>
      </c>
      <c r="AS83">
        <v>1</v>
      </c>
      <c r="AT83">
        <v>0</v>
      </c>
      <c r="AU83">
        <v>0</v>
      </c>
      <c r="AV83">
        <v>1</v>
      </c>
      <c r="AW83">
        <v>0</v>
      </c>
      <c r="AX83">
        <v>0</v>
      </c>
      <c r="AY83" t="s">
        <v>1642</v>
      </c>
    </row>
    <row r="84" spans="1:51">
      <c r="A84" t="s">
        <v>181</v>
      </c>
      <c r="B84" t="s">
        <v>228</v>
      </c>
      <c r="C84" t="s">
        <v>183</v>
      </c>
      <c r="D84" t="s">
        <v>184</v>
      </c>
      <c r="E84" t="s">
        <v>96</v>
      </c>
      <c r="F84">
        <v>30</v>
      </c>
      <c r="G84" t="s">
        <v>185</v>
      </c>
      <c r="H84" t="s">
        <v>84</v>
      </c>
      <c r="I84" t="s">
        <v>186</v>
      </c>
      <c r="J84" t="s">
        <v>187</v>
      </c>
      <c r="K84" t="s">
        <v>41</v>
      </c>
      <c r="L84" t="s">
        <v>30</v>
      </c>
      <c r="M84" t="s">
        <v>188</v>
      </c>
      <c r="N84" s="7">
        <v>5.7108955266542791</v>
      </c>
      <c r="O84" s="7">
        <v>0.49858254636603039</v>
      </c>
      <c r="P84" s="7">
        <v>4</v>
      </c>
      <c r="Q84" s="7">
        <v>6.0788414815140541</v>
      </c>
      <c r="R84" s="7">
        <v>0.30881197436263602</v>
      </c>
      <c r="S84" s="7">
        <v>4</v>
      </c>
      <c r="T84" s="7">
        <v>0.99716509273206078</v>
      </c>
      <c r="U84" s="7">
        <v>0.61762394872527204</v>
      </c>
      <c r="V84" s="7">
        <v>6.2438285857087529E-2</v>
      </c>
      <c r="W84" s="7">
        <v>1.0202697374325565E-2</v>
      </c>
      <c r="X84" t="s">
        <v>189</v>
      </c>
      <c r="Y84" t="s">
        <v>190</v>
      </c>
      <c r="Z84" t="s">
        <v>191</v>
      </c>
      <c r="AA84" t="s">
        <v>229</v>
      </c>
      <c r="AB84" t="s">
        <v>92</v>
      </c>
      <c r="AC84" t="s">
        <v>181</v>
      </c>
      <c r="AD84" t="s">
        <v>181</v>
      </c>
      <c r="AE84" t="s">
        <v>1663</v>
      </c>
      <c r="AF84" t="s">
        <v>1664</v>
      </c>
      <c r="AG84" t="s">
        <v>1663</v>
      </c>
      <c r="AH84" t="s">
        <v>1235</v>
      </c>
      <c r="AI84" t="s">
        <v>30</v>
      </c>
      <c r="AJ84" t="s">
        <v>1636</v>
      </c>
      <c r="AK84" t="s">
        <v>1637</v>
      </c>
      <c r="AL84" s="4">
        <v>30</v>
      </c>
      <c r="AM84" t="s">
        <v>185</v>
      </c>
      <c r="AN84">
        <v>30</v>
      </c>
      <c r="AO84" t="s">
        <v>1665</v>
      </c>
      <c r="AP84" t="s">
        <v>1639</v>
      </c>
      <c r="AQ84" t="s">
        <v>1640</v>
      </c>
      <c r="AR84" t="s">
        <v>1666</v>
      </c>
      <c r="AS84">
        <v>1</v>
      </c>
      <c r="AT84">
        <v>0</v>
      </c>
      <c r="AU84">
        <v>0</v>
      </c>
      <c r="AV84">
        <v>1</v>
      </c>
      <c r="AW84">
        <v>0</v>
      </c>
      <c r="AX84">
        <v>0</v>
      </c>
      <c r="AY84" t="s">
        <v>1642</v>
      </c>
    </row>
    <row r="85" spans="1:51">
      <c r="A85" t="s">
        <v>181</v>
      </c>
      <c r="B85" t="s">
        <v>230</v>
      </c>
      <c r="C85" t="s">
        <v>183</v>
      </c>
      <c r="D85" t="s">
        <v>184</v>
      </c>
      <c r="E85" t="s">
        <v>96</v>
      </c>
      <c r="F85">
        <v>60</v>
      </c>
      <c r="G85" t="s">
        <v>185</v>
      </c>
      <c r="H85" t="s">
        <v>84</v>
      </c>
      <c r="I85" t="s">
        <v>186</v>
      </c>
      <c r="J85" t="s">
        <v>187</v>
      </c>
      <c r="K85" t="s">
        <v>41</v>
      </c>
      <c r="L85" t="s">
        <v>30</v>
      </c>
      <c r="M85" t="s">
        <v>188</v>
      </c>
      <c r="N85" s="7">
        <v>5.7108955266542791</v>
      </c>
      <c r="O85" s="7">
        <v>0.49858254636603039</v>
      </c>
      <c r="P85" s="7">
        <v>4</v>
      </c>
      <c r="Q85" s="7">
        <v>7.0767795208935631</v>
      </c>
      <c r="R85" s="7">
        <v>0.12483889798924525</v>
      </c>
      <c r="S85" s="7">
        <v>4</v>
      </c>
      <c r="T85" s="7">
        <v>0.99716509273206078</v>
      </c>
      <c r="U85" s="7">
        <v>0.24967779597849049</v>
      </c>
      <c r="V85" s="7">
        <v>0.21444308812941082</v>
      </c>
      <c r="W85" s="7">
        <v>7.9331353372948769E-3</v>
      </c>
      <c r="X85" t="s">
        <v>189</v>
      </c>
      <c r="Y85" t="s">
        <v>190</v>
      </c>
      <c r="Z85" t="s">
        <v>191</v>
      </c>
      <c r="AA85" t="s">
        <v>229</v>
      </c>
      <c r="AB85" t="s">
        <v>92</v>
      </c>
      <c r="AC85" t="s">
        <v>181</v>
      </c>
      <c r="AD85" t="s">
        <v>181</v>
      </c>
      <c r="AE85" t="s">
        <v>1663</v>
      </c>
      <c r="AF85" t="s">
        <v>1667</v>
      </c>
      <c r="AG85" t="s">
        <v>1663</v>
      </c>
      <c r="AH85" t="s">
        <v>1235</v>
      </c>
      <c r="AI85" t="s">
        <v>30</v>
      </c>
      <c r="AJ85" t="s">
        <v>1636</v>
      </c>
      <c r="AK85" t="s">
        <v>1637</v>
      </c>
      <c r="AL85" s="4">
        <v>60</v>
      </c>
      <c r="AM85" t="s">
        <v>185</v>
      </c>
      <c r="AN85">
        <v>60</v>
      </c>
      <c r="AO85" t="s">
        <v>1665</v>
      </c>
      <c r="AP85" t="s">
        <v>1639</v>
      </c>
      <c r="AQ85" t="s">
        <v>1640</v>
      </c>
      <c r="AR85" t="s">
        <v>1666</v>
      </c>
      <c r="AS85">
        <v>1</v>
      </c>
      <c r="AT85">
        <v>0</v>
      </c>
      <c r="AU85">
        <v>0</v>
      </c>
      <c r="AV85">
        <v>1</v>
      </c>
      <c r="AW85">
        <v>0</v>
      </c>
      <c r="AX85">
        <v>0</v>
      </c>
      <c r="AY85" t="s">
        <v>1642</v>
      </c>
    </row>
    <row r="86" spans="1:51">
      <c r="A86" t="s">
        <v>181</v>
      </c>
      <c r="B86" t="s">
        <v>231</v>
      </c>
      <c r="C86" t="s">
        <v>183</v>
      </c>
      <c r="D86" t="s">
        <v>195</v>
      </c>
      <c r="E86" t="s">
        <v>96</v>
      </c>
      <c r="F86">
        <v>30</v>
      </c>
      <c r="G86" t="s">
        <v>185</v>
      </c>
      <c r="H86" t="s">
        <v>84</v>
      </c>
      <c r="I86" t="s">
        <v>186</v>
      </c>
      <c r="J86" t="s">
        <v>187</v>
      </c>
      <c r="K86" t="s">
        <v>41</v>
      </c>
      <c r="L86" t="s">
        <v>30</v>
      </c>
      <c r="M86" t="s">
        <v>188</v>
      </c>
      <c r="N86" s="7">
        <v>6.4467878321478418</v>
      </c>
      <c r="O86" s="7">
        <v>0.18435954969712015</v>
      </c>
      <c r="P86" s="7">
        <v>4</v>
      </c>
      <c r="Q86" s="7">
        <v>11.042249711414785</v>
      </c>
      <c r="R86" s="7">
        <v>0.12483889798925087</v>
      </c>
      <c r="S86" s="7">
        <v>4</v>
      </c>
      <c r="T86" s="7">
        <v>0.3687190993942403</v>
      </c>
      <c r="U86" s="7">
        <v>0.24967779597850173</v>
      </c>
      <c r="V86" s="7">
        <v>0.53814680205731025</v>
      </c>
      <c r="W86" s="7">
        <v>9.4561098778577998E-4</v>
      </c>
      <c r="X86" t="s">
        <v>189</v>
      </c>
      <c r="Y86" t="s">
        <v>190</v>
      </c>
      <c r="Z86" t="s">
        <v>191</v>
      </c>
      <c r="AA86" t="s">
        <v>232</v>
      </c>
      <c r="AB86" t="s">
        <v>92</v>
      </c>
      <c r="AC86" t="s">
        <v>181</v>
      </c>
      <c r="AD86" t="s">
        <v>181</v>
      </c>
      <c r="AE86" t="s">
        <v>1668</v>
      </c>
      <c r="AF86" t="s">
        <v>1669</v>
      </c>
      <c r="AG86" t="s">
        <v>1668</v>
      </c>
      <c r="AH86" t="s">
        <v>1235</v>
      </c>
      <c r="AI86" t="s">
        <v>30</v>
      </c>
      <c r="AJ86" t="s">
        <v>1636</v>
      </c>
      <c r="AK86" t="s">
        <v>1637</v>
      </c>
      <c r="AL86" s="4">
        <v>30</v>
      </c>
      <c r="AM86" t="s">
        <v>185</v>
      </c>
      <c r="AN86">
        <v>30</v>
      </c>
      <c r="AO86" t="s">
        <v>1665</v>
      </c>
      <c r="AP86" t="s">
        <v>1639</v>
      </c>
      <c r="AQ86" t="s">
        <v>1640</v>
      </c>
      <c r="AR86" t="s">
        <v>1666</v>
      </c>
      <c r="AS86">
        <v>1</v>
      </c>
      <c r="AT86">
        <v>0</v>
      </c>
      <c r="AU86">
        <v>0</v>
      </c>
      <c r="AV86">
        <v>1</v>
      </c>
      <c r="AW86">
        <v>0</v>
      </c>
      <c r="AX86">
        <v>0</v>
      </c>
      <c r="AY86" t="s">
        <v>1642</v>
      </c>
    </row>
    <row r="87" spans="1:51">
      <c r="A87" t="s">
        <v>181</v>
      </c>
      <c r="B87" t="s">
        <v>233</v>
      </c>
      <c r="C87" t="s">
        <v>183</v>
      </c>
      <c r="D87" t="s">
        <v>195</v>
      </c>
      <c r="E87" t="s">
        <v>96</v>
      </c>
      <c r="F87">
        <v>60</v>
      </c>
      <c r="G87" t="s">
        <v>185</v>
      </c>
      <c r="H87" t="s">
        <v>84</v>
      </c>
      <c r="I87" t="s">
        <v>186</v>
      </c>
      <c r="J87" t="s">
        <v>187</v>
      </c>
      <c r="K87" t="s">
        <v>41</v>
      </c>
      <c r="L87" t="s">
        <v>30</v>
      </c>
      <c r="M87" t="s">
        <v>188</v>
      </c>
      <c r="N87" s="7">
        <v>6.4467878321478418</v>
      </c>
      <c r="O87" s="7">
        <v>0.18435954969712015</v>
      </c>
      <c r="P87" s="7">
        <v>4</v>
      </c>
      <c r="Q87" s="7">
        <v>9.8070018139642183</v>
      </c>
      <c r="R87" s="7">
        <v>0.12483889798925087</v>
      </c>
      <c r="S87" s="7">
        <v>4</v>
      </c>
      <c r="T87" s="7">
        <v>0.3687190993942403</v>
      </c>
      <c r="U87" s="7">
        <v>0.24967779597850173</v>
      </c>
      <c r="V87" s="7">
        <v>0.41951460513689592</v>
      </c>
      <c r="W87" s="7">
        <v>9.7983703972754146E-4</v>
      </c>
      <c r="X87" t="s">
        <v>189</v>
      </c>
      <c r="Y87" t="s">
        <v>190</v>
      </c>
      <c r="Z87" t="s">
        <v>191</v>
      </c>
      <c r="AA87" t="s">
        <v>232</v>
      </c>
      <c r="AB87" t="s">
        <v>92</v>
      </c>
      <c r="AC87" t="s">
        <v>181</v>
      </c>
      <c r="AD87" t="s">
        <v>181</v>
      </c>
      <c r="AE87" t="s">
        <v>1668</v>
      </c>
      <c r="AF87" t="s">
        <v>1670</v>
      </c>
      <c r="AG87" t="s">
        <v>1668</v>
      </c>
      <c r="AH87" t="s">
        <v>1235</v>
      </c>
      <c r="AI87" t="s">
        <v>30</v>
      </c>
      <c r="AJ87" t="s">
        <v>1636</v>
      </c>
      <c r="AK87" t="s">
        <v>1637</v>
      </c>
      <c r="AL87" s="4">
        <v>60</v>
      </c>
      <c r="AM87" t="s">
        <v>185</v>
      </c>
      <c r="AN87">
        <v>60</v>
      </c>
      <c r="AO87" t="s">
        <v>1665</v>
      </c>
      <c r="AP87" t="s">
        <v>1639</v>
      </c>
      <c r="AQ87" t="s">
        <v>1640</v>
      </c>
      <c r="AR87" t="s">
        <v>1666</v>
      </c>
      <c r="AS87">
        <v>1</v>
      </c>
      <c r="AT87">
        <v>0</v>
      </c>
      <c r="AU87">
        <v>0</v>
      </c>
      <c r="AV87">
        <v>1</v>
      </c>
      <c r="AW87">
        <v>0</v>
      </c>
      <c r="AX87">
        <v>0</v>
      </c>
      <c r="AY87" t="s">
        <v>1642</v>
      </c>
    </row>
    <row r="88" spans="1:51">
      <c r="A88" t="s">
        <v>181</v>
      </c>
      <c r="B88" t="s">
        <v>234</v>
      </c>
      <c r="C88" t="s">
        <v>183</v>
      </c>
      <c r="D88" t="s">
        <v>184</v>
      </c>
      <c r="E88" t="s">
        <v>96</v>
      </c>
      <c r="F88">
        <v>30</v>
      </c>
      <c r="G88" t="s">
        <v>185</v>
      </c>
      <c r="H88" t="s">
        <v>84</v>
      </c>
      <c r="I88" t="s">
        <v>186</v>
      </c>
      <c r="J88" t="s">
        <v>187</v>
      </c>
      <c r="K88" t="s">
        <v>41</v>
      </c>
      <c r="L88" t="s">
        <v>30</v>
      </c>
      <c r="M88" t="s">
        <v>188</v>
      </c>
      <c r="N88" s="7">
        <v>6.9461432262178278</v>
      </c>
      <c r="O88" s="7">
        <v>0.24929132265476672</v>
      </c>
      <c r="P88" s="7">
        <v>4</v>
      </c>
      <c r="Q88" s="7">
        <v>8.1922129703939035</v>
      </c>
      <c r="R88" s="7">
        <v>0.19015704532711819</v>
      </c>
      <c r="S88" s="7">
        <v>4</v>
      </c>
      <c r="T88" s="7">
        <v>0.49858264530953345</v>
      </c>
      <c r="U88" s="7">
        <v>0.38031409065423638</v>
      </c>
      <c r="V88" s="7">
        <v>0.16499749125597257</v>
      </c>
      <c r="W88" s="7">
        <v>1.8268261332209925E-3</v>
      </c>
      <c r="X88" t="s">
        <v>189</v>
      </c>
      <c r="Y88" t="s">
        <v>190</v>
      </c>
      <c r="Z88" t="s">
        <v>191</v>
      </c>
      <c r="AA88" t="s">
        <v>235</v>
      </c>
      <c r="AB88" t="s">
        <v>92</v>
      </c>
      <c r="AC88" t="s">
        <v>181</v>
      </c>
      <c r="AD88" t="s">
        <v>181</v>
      </c>
      <c r="AE88" t="s">
        <v>1671</v>
      </c>
      <c r="AF88" t="s">
        <v>1672</v>
      </c>
      <c r="AG88" t="s">
        <v>1671</v>
      </c>
      <c r="AH88" t="s">
        <v>1242</v>
      </c>
      <c r="AI88" t="s">
        <v>30</v>
      </c>
      <c r="AJ88" t="s">
        <v>1636</v>
      </c>
      <c r="AK88" t="s">
        <v>1637</v>
      </c>
      <c r="AL88" s="4">
        <v>30</v>
      </c>
      <c r="AM88" t="s">
        <v>185</v>
      </c>
      <c r="AN88">
        <v>30</v>
      </c>
      <c r="AO88" t="s">
        <v>1665</v>
      </c>
      <c r="AP88" t="s">
        <v>1639</v>
      </c>
      <c r="AQ88" t="s">
        <v>1640</v>
      </c>
      <c r="AR88" t="s">
        <v>1666</v>
      </c>
      <c r="AS88">
        <v>1</v>
      </c>
      <c r="AT88">
        <v>0</v>
      </c>
      <c r="AU88">
        <v>0</v>
      </c>
      <c r="AV88">
        <v>1</v>
      </c>
      <c r="AW88">
        <v>0</v>
      </c>
      <c r="AX88">
        <v>0</v>
      </c>
      <c r="AY88" t="s">
        <v>1642</v>
      </c>
    </row>
    <row r="89" spans="1:51">
      <c r="A89" t="s">
        <v>181</v>
      </c>
      <c r="B89" t="s">
        <v>236</v>
      </c>
      <c r="C89" t="s">
        <v>183</v>
      </c>
      <c r="D89" t="s">
        <v>184</v>
      </c>
      <c r="E89" t="s">
        <v>96</v>
      </c>
      <c r="F89">
        <v>60</v>
      </c>
      <c r="G89" t="s">
        <v>185</v>
      </c>
      <c r="H89" t="s">
        <v>84</v>
      </c>
      <c r="I89" t="s">
        <v>186</v>
      </c>
      <c r="J89" t="s">
        <v>187</v>
      </c>
      <c r="K89" t="s">
        <v>41</v>
      </c>
      <c r="L89" t="s">
        <v>30</v>
      </c>
      <c r="M89" t="s">
        <v>188</v>
      </c>
      <c r="N89" s="7">
        <v>6.9461432262178278</v>
      </c>
      <c r="O89" s="7">
        <v>0.24929132265476672</v>
      </c>
      <c r="P89" s="7">
        <v>4</v>
      </c>
      <c r="Q89" s="7">
        <v>7.8126718263871258</v>
      </c>
      <c r="R89" s="7">
        <v>0.37413012170050897</v>
      </c>
      <c r="S89" s="7">
        <v>4</v>
      </c>
      <c r="T89" s="7">
        <v>0.49858264530953345</v>
      </c>
      <c r="U89" s="7">
        <v>0.74826024340101793</v>
      </c>
      <c r="V89" s="7">
        <v>0.11756043453242151</v>
      </c>
      <c r="W89" s="7">
        <v>3.5812550601366723E-3</v>
      </c>
      <c r="X89" t="s">
        <v>189</v>
      </c>
      <c r="Y89" t="s">
        <v>190</v>
      </c>
      <c r="Z89" t="s">
        <v>191</v>
      </c>
      <c r="AA89" t="s">
        <v>235</v>
      </c>
      <c r="AB89" t="s">
        <v>92</v>
      </c>
      <c r="AC89" t="s">
        <v>181</v>
      </c>
      <c r="AD89" t="s">
        <v>181</v>
      </c>
      <c r="AE89" t="s">
        <v>1671</v>
      </c>
      <c r="AF89" t="s">
        <v>1673</v>
      </c>
      <c r="AG89" t="s">
        <v>1671</v>
      </c>
      <c r="AH89" t="s">
        <v>1242</v>
      </c>
      <c r="AI89" t="s">
        <v>30</v>
      </c>
      <c r="AJ89" t="s">
        <v>1636</v>
      </c>
      <c r="AK89" t="s">
        <v>1637</v>
      </c>
      <c r="AL89" s="4">
        <v>60</v>
      </c>
      <c r="AM89" t="s">
        <v>185</v>
      </c>
      <c r="AN89">
        <v>60</v>
      </c>
      <c r="AO89" t="s">
        <v>1665</v>
      </c>
      <c r="AP89" t="s">
        <v>1639</v>
      </c>
      <c r="AQ89" t="s">
        <v>1640</v>
      </c>
      <c r="AR89" t="s">
        <v>1666</v>
      </c>
      <c r="AS89">
        <v>1</v>
      </c>
      <c r="AT89">
        <v>0</v>
      </c>
      <c r="AU89">
        <v>0</v>
      </c>
      <c r="AV89">
        <v>1</v>
      </c>
      <c r="AW89">
        <v>0</v>
      </c>
      <c r="AX89">
        <v>0</v>
      </c>
      <c r="AY89" t="s">
        <v>1642</v>
      </c>
    </row>
    <row r="90" spans="1:51">
      <c r="A90" t="s">
        <v>181</v>
      </c>
      <c r="B90" t="s">
        <v>237</v>
      </c>
      <c r="C90" t="s">
        <v>183</v>
      </c>
      <c r="D90" t="s">
        <v>195</v>
      </c>
      <c r="E90" t="s">
        <v>96</v>
      </c>
      <c r="F90">
        <v>30</v>
      </c>
      <c r="G90" t="s">
        <v>185</v>
      </c>
      <c r="H90" t="s">
        <v>84</v>
      </c>
      <c r="I90" t="s">
        <v>186</v>
      </c>
      <c r="J90" t="s">
        <v>187</v>
      </c>
      <c r="K90" t="s">
        <v>41</v>
      </c>
      <c r="L90" t="s">
        <v>30</v>
      </c>
      <c r="M90" t="s">
        <v>188</v>
      </c>
      <c r="N90" s="7">
        <v>8.0615766757181682</v>
      </c>
      <c r="O90" s="7">
        <v>0.12483889798925087</v>
      </c>
      <c r="P90" s="7">
        <v>4</v>
      </c>
      <c r="Q90" s="7">
        <v>11.2911543628588</v>
      </c>
      <c r="R90" s="7">
        <v>0.12483889798925087</v>
      </c>
      <c r="S90" s="7">
        <v>4</v>
      </c>
      <c r="T90" s="7">
        <v>0.24967779597850173</v>
      </c>
      <c r="U90" s="7">
        <v>0.24967779597850173</v>
      </c>
      <c r="V90" s="7">
        <v>0.33691046470085545</v>
      </c>
      <c r="W90" s="7">
        <v>3.620486704209533E-4</v>
      </c>
      <c r="X90" t="s">
        <v>189</v>
      </c>
      <c r="Y90" t="s">
        <v>190</v>
      </c>
      <c r="Z90" t="s">
        <v>191</v>
      </c>
      <c r="AA90" t="s">
        <v>238</v>
      </c>
      <c r="AB90" t="s">
        <v>92</v>
      </c>
      <c r="AC90" t="s">
        <v>181</v>
      </c>
      <c r="AD90" t="s">
        <v>181</v>
      </c>
      <c r="AE90" t="s">
        <v>1674</v>
      </c>
      <c r="AF90" t="s">
        <v>1675</v>
      </c>
      <c r="AG90" t="s">
        <v>1674</v>
      </c>
      <c r="AH90" t="s">
        <v>1242</v>
      </c>
      <c r="AI90" t="s">
        <v>30</v>
      </c>
      <c r="AJ90" t="s">
        <v>1636</v>
      </c>
      <c r="AK90" t="s">
        <v>1637</v>
      </c>
      <c r="AL90" s="4">
        <v>30</v>
      </c>
      <c r="AM90" t="s">
        <v>185</v>
      </c>
      <c r="AN90">
        <v>30</v>
      </c>
      <c r="AO90" t="s">
        <v>1665</v>
      </c>
      <c r="AP90" t="s">
        <v>1639</v>
      </c>
      <c r="AQ90" t="s">
        <v>1640</v>
      </c>
      <c r="AR90" t="s">
        <v>1666</v>
      </c>
      <c r="AS90">
        <v>1</v>
      </c>
      <c r="AT90">
        <v>0</v>
      </c>
      <c r="AU90">
        <v>0</v>
      </c>
      <c r="AV90">
        <v>1</v>
      </c>
      <c r="AW90">
        <v>0</v>
      </c>
      <c r="AX90">
        <v>0</v>
      </c>
      <c r="AY90" t="s">
        <v>1642</v>
      </c>
    </row>
    <row r="91" spans="1:51">
      <c r="A91" t="s">
        <v>181</v>
      </c>
      <c r="B91" t="s">
        <v>239</v>
      </c>
      <c r="C91" t="s">
        <v>183</v>
      </c>
      <c r="D91" t="s">
        <v>195</v>
      </c>
      <c r="E91" t="s">
        <v>96</v>
      </c>
      <c r="F91">
        <v>60</v>
      </c>
      <c r="G91" t="s">
        <v>185</v>
      </c>
      <c r="H91" t="s">
        <v>84</v>
      </c>
      <c r="I91" t="s">
        <v>186</v>
      </c>
      <c r="J91" t="s">
        <v>187</v>
      </c>
      <c r="K91" t="s">
        <v>41</v>
      </c>
      <c r="L91" t="s">
        <v>30</v>
      </c>
      <c r="M91" t="s">
        <v>188</v>
      </c>
      <c r="N91" s="7">
        <v>8.0615766757181682</v>
      </c>
      <c r="O91" s="7">
        <v>0.12483889798925087</v>
      </c>
      <c r="P91" s="7">
        <v>4</v>
      </c>
      <c r="Q91" s="7">
        <v>10.293989468013768</v>
      </c>
      <c r="R91" s="7">
        <v>0.12483889798925087</v>
      </c>
      <c r="S91" s="7">
        <v>4</v>
      </c>
      <c r="T91" s="7">
        <v>0.24967779597850173</v>
      </c>
      <c r="U91" s="7">
        <v>0.24967779597850173</v>
      </c>
      <c r="V91" s="7">
        <v>0.24445102338839139</v>
      </c>
      <c r="W91" s="7">
        <v>3.8687872370964755E-4</v>
      </c>
      <c r="X91" t="s">
        <v>189</v>
      </c>
      <c r="Y91" t="s">
        <v>190</v>
      </c>
      <c r="Z91" t="s">
        <v>191</v>
      </c>
      <c r="AA91" t="s">
        <v>238</v>
      </c>
      <c r="AB91" t="s">
        <v>92</v>
      </c>
      <c r="AC91" t="s">
        <v>181</v>
      </c>
      <c r="AD91" t="s">
        <v>181</v>
      </c>
      <c r="AE91" t="s">
        <v>1674</v>
      </c>
      <c r="AF91" t="s">
        <v>1676</v>
      </c>
      <c r="AG91" t="s">
        <v>1674</v>
      </c>
      <c r="AH91" t="s">
        <v>1242</v>
      </c>
      <c r="AI91" t="s">
        <v>30</v>
      </c>
      <c r="AJ91" t="s">
        <v>1636</v>
      </c>
      <c r="AK91" t="s">
        <v>1637</v>
      </c>
      <c r="AL91" s="4">
        <v>60</v>
      </c>
      <c r="AM91" t="s">
        <v>185</v>
      </c>
      <c r="AN91">
        <v>60</v>
      </c>
      <c r="AO91" t="s">
        <v>1665</v>
      </c>
      <c r="AP91" t="s">
        <v>1639</v>
      </c>
      <c r="AQ91" t="s">
        <v>1640</v>
      </c>
      <c r="AR91" t="s">
        <v>1666</v>
      </c>
      <c r="AS91">
        <v>1</v>
      </c>
      <c r="AT91">
        <v>0</v>
      </c>
      <c r="AU91">
        <v>0</v>
      </c>
      <c r="AV91">
        <v>1</v>
      </c>
      <c r="AW91">
        <v>0</v>
      </c>
      <c r="AX91">
        <v>0</v>
      </c>
      <c r="AY91" t="s">
        <v>1642</v>
      </c>
    </row>
    <row r="92" spans="1:51">
      <c r="A92" t="s">
        <v>181</v>
      </c>
      <c r="B92" t="s">
        <v>240</v>
      </c>
      <c r="C92" t="s">
        <v>183</v>
      </c>
      <c r="D92" t="s">
        <v>184</v>
      </c>
      <c r="E92" t="s">
        <v>96</v>
      </c>
      <c r="F92">
        <v>30</v>
      </c>
      <c r="G92" t="s">
        <v>185</v>
      </c>
      <c r="H92" t="s">
        <v>84</v>
      </c>
      <c r="I92" t="s">
        <v>186</v>
      </c>
      <c r="J92" t="s">
        <v>187</v>
      </c>
      <c r="K92" t="s">
        <v>41</v>
      </c>
      <c r="L92" t="s">
        <v>30</v>
      </c>
      <c r="M92" t="s">
        <v>188</v>
      </c>
      <c r="N92" s="7">
        <v>7.3256843702246055</v>
      </c>
      <c r="O92" s="7">
        <v>0.12445232572201284</v>
      </c>
      <c r="P92" s="7">
        <v>4</v>
      </c>
      <c r="Q92" s="7">
        <v>8.0615766757181682</v>
      </c>
      <c r="R92" s="7">
        <v>0.12483889798925087</v>
      </c>
      <c r="S92" s="7">
        <v>4</v>
      </c>
      <c r="T92" s="7">
        <v>0.24890465144402568</v>
      </c>
      <c r="U92" s="7">
        <v>0.24967779597850173</v>
      </c>
      <c r="V92" s="7">
        <v>9.5722574801644367E-2</v>
      </c>
      <c r="W92" s="7">
        <v>5.2841474496471876E-4</v>
      </c>
      <c r="X92" t="s">
        <v>189</v>
      </c>
      <c r="Y92" t="s">
        <v>190</v>
      </c>
      <c r="Z92" t="s">
        <v>191</v>
      </c>
      <c r="AA92" t="s">
        <v>241</v>
      </c>
      <c r="AB92" t="s">
        <v>92</v>
      </c>
      <c r="AC92" t="s">
        <v>181</v>
      </c>
      <c r="AD92" t="s">
        <v>181</v>
      </c>
      <c r="AE92" t="s">
        <v>1677</v>
      </c>
      <c r="AF92" t="s">
        <v>1678</v>
      </c>
      <c r="AG92" t="s">
        <v>1677</v>
      </c>
      <c r="AH92" t="s">
        <v>1243</v>
      </c>
      <c r="AI92" t="s">
        <v>30</v>
      </c>
      <c r="AJ92" t="s">
        <v>1636</v>
      </c>
      <c r="AK92" t="s">
        <v>1637</v>
      </c>
      <c r="AL92" s="4">
        <v>30</v>
      </c>
      <c r="AM92" t="s">
        <v>185</v>
      </c>
      <c r="AN92">
        <v>30</v>
      </c>
      <c r="AO92" t="s">
        <v>1665</v>
      </c>
      <c r="AP92" t="s">
        <v>1639</v>
      </c>
      <c r="AQ92" t="s">
        <v>1640</v>
      </c>
      <c r="AR92" t="s">
        <v>1666</v>
      </c>
      <c r="AS92">
        <v>1</v>
      </c>
      <c r="AT92">
        <v>0</v>
      </c>
      <c r="AU92">
        <v>0</v>
      </c>
      <c r="AV92">
        <v>1</v>
      </c>
      <c r="AW92">
        <v>0</v>
      </c>
      <c r="AX92">
        <v>0</v>
      </c>
      <c r="AY92" t="s">
        <v>1642</v>
      </c>
    </row>
    <row r="93" spans="1:51">
      <c r="A93" t="s">
        <v>181</v>
      </c>
      <c r="B93" t="s">
        <v>242</v>
      </c>
      <c r="C93" t="s">
        <v>183</v>
      </c>
      <c r="D93" t="s">
        <v>184</v>
      </c>
      <c r="E93" t="s">
        <v>96</v>
      </c>
      <c r="F93">
        <v>60</v>
      </c>
      <c r="G93" t="s">
        <v>185</v>
      </c>
      <c r="H93" t="s">
        <v>84</v>
      </c>
      <c r="I93" t="s">
        <v>186</v>
      </c>
      <c r="J93" t="s">
        <v>187</v>
      </c>
      <c r="K93" t="s">
        <v>41</v>
      </c>
      <c r="L93" t="s">
        <v>30</v>
      </c>
      <c r="M93" t="s">
        <v>188</v>
      </c>
      <c r="N93" s="7">
        <v>7.3256843702246055</v>
      </c>
      <c r="O93" s="7">
        <v>0.12445232572201284</v>
      </c>
      <c r="P93" s="7">
        <v>4</v>
      </c>
      <c r="Q93" s="7">
        <v>7.6936305229713868</v>
      </c>
      <c r="R93" s="7">
        <v>5.9134178384139896E-2</v>
      </c>
      <c r="S93" s="7">
        <v>4</v>
      </c>
      <c r="T93" s="7">
        <v>0.24890465144402568</v>
      </c>
      <c r="U93" s="7">
        <v>0.11826835676827979</v>
      </c>
      <c r="V93" s="7">
        <v>4.9006201806958923E-2</v>
      </c>
      <c r="W93" s="7">
        <v>3.4768530164805319E-4</v>
      </c>
      <c r="X93" t="s">
        <v>189</v>
      </c>
      <c r="Y93" t="s">
        <v>190</v>
      </c>
      <c r="Z93" t="s">
        <v>191</v>
      </c>
      <c r="AA93" t="s">
        <v>241</v>
      </c>
      <c r="AB93" t="s">
        <v>92</v>
      </c>
      <c r="AC93" t="s">
        <v>181</v>
      </c>
      <c r="AD93" t="s">
        <v>181</v>
      </c>
      <c r="AE93" t="s">
        <v>1677</v>
      </c>
      <c r="AF93" t="s">
        <v>1679</v>
      </c>
      <c r="AG93" t="s">
        <v>1677</v>
      </c>
      <c r="AH93" t="s">
        <v>1243</v>
      </c>
      <c r="AI93" t="s">
        <v>30</v>
      </c>
      <c r="AJ93" t="s">
        <v>1636</v>
      </c>
      <c r="AK93" t="s">
        <v>1637</v>
      </c>
      <c r="AL93" s="4">
        <v>60</v>
      </c>
      <c r="AM93" t="s">
        <v>185</v>
      </c>
      <c r="AN93">
        <v>60</v>
      </c>
      <c r="AO93" t="s">
        <v>1665</v>
      </c>
      <c r="AP93" t="s">
        <v>1639</v>
      </c>
      <c r="AQ93" t="s">
        <v>1640</v>
      </c>
      <c r="AR93" t="s">
        <v>1666</v>
      </c>
      <c r="AS93">
        <v>1</v>
      </c>
      <c r="AT93">
        <v>0</v>
      </c>
      <c r="AU93">
        <v>0</v>
      </c>
      <c r="AV93">
        <v>1</v>
      </c>
      <c r="AW93">
        <v>0</v>
      </c>
      <c r="AX93">
        <v>0</v>
      </c>
      <c r="AY93" t="s">
        <v>1642</v>
      </c>
    </row>
    <row r="94" spans="1:51">
      <c r="A94" t="s">
        <v>181</v>
      </c>
      <c r="B94" t="s">
        <v>243</v>
      </c>
      <c r="C94" t="s">
        <v>183</v>
      </c>
      <c r="D94" t="s">
        <v>195</v>
      </c>
      <c r="E94" t="s">
        <v>96</v>
      </c>
      <c r="F94">
        <v>30</v>
      </c>
      <c r="G94" t="s">
        <v>185</v>
      </c>
      <c r="H94" t="s">
        <v>84</v>
      </c>
      <c r="I94" t="s">
        <v>186</v>
      </c>
      <c r="J94" t="s">
        <v>187</v>
      </c>
      <c r="K94" t="s">
        <v>41</v>
      </c>
      <c r="L94" t="s">
        <v>30</v>
      </c>
      <c r="M94" t="s">
        <v>188</v>
      </c>
      <c r="N94" s="7">
        <v>7.9433083189498781</v>
      </c>
      <c r="O94" s="7">
        <v>0.12483889798925087</v>
      </c>
      <c r="P94" s="7">
        <v>4</v>
      </c>
      <c r="Q94" s="7">
        <v>11.789737008168334</v>
      </c>
      <c r="R94" s="7">
        <v>0.12483889798925087</v>
      </c>
      <c r="S94" s="7">
        <v>4</v>
      </c>
      <c r="T94" s="7">
        <v>0.24967779597850173</v>
      </c>
      <c r="U94" s="7">
        <v>0.24967779597850173</v>
      </c>
      <c r="V94" s="7">
        <v>0.39489955461994702</v>
      </c>
      <c r="W94" s="7">
        <v>3.5912223556211899E-4</v>
      </c>
      <c r="X94" t="s">
        <v>189</v>
      </c>
      <c r="Y94" t="s">
        <v>190</v>
      </c>
      <c r="Z94" t="s">
        <v>191</v>
      </c>
      <c r="AA94" t="s">
        <v>244</v>
      </c>
      <c r="AB94" t="s">
        <v>92</v>
      </c>
      <c r="AC94" t="s">
        <v>181</v>
      </c>
      <c r="AD94" t="s">
        <v>181</v>
      </c>
      <c r="AE94" t="s">
        <v>1680</v>
      </c>
      <c r="AF94" t="s">
        <v>1681</v>
      </c>
      <c r="AG94" t="s">
        <v>1680</v>
      </c>
      <c r="AH94" t="s">
        <v>1243</v>
      </c>
      <c r="AI94" t="s">
        <v>30</v>
      </c>
      <c r="AJ94" t="s">
        <v>1636</v>
      </c>
      <c r="AK94" t="s">
        <v>1637</v>
      </c>
      <c r="AL94" s="4">
        <v>30</v>
      </c>
      <c r="AM94" t="s">
        <v>185</v>
      </c>
      <c r="AN94">
        <v>30</v>
      </c>
      <c r="AO94" t="s">
        <v>1665</v>
      </c>
      <c r="AP94" t="s">
        <v>1639</v>
      </c>
      <c r="AQ94" t="s">
        <v>1640</v>
      </c>
      <c r="AR94" t="s">
        <v>1666</v>
      </c>
      <c r="AS94">
        <v>1</v>
      </c>
      <c r="AT94">
        <v>0</v>
      </c>
      <c r="AU94">
        <v>0</v>
      </c>
      <c r="AV94">
        <v>1</v>
      </c>
      <c r="AW94">
        <v>0</v>
      </c>
      <c r="AX94">
        <v>0</v>
      </c>
      <c r="AY94" t="s">
        <v>1642</v>
      </c>
    </row>
    <row r="95" spans="1:51">
      <c r="A95" t="s">
        <v>181</v>
      </c>
      <c r="B95" t="s">
        <v>245</v>
      </c>
      <c r="C95" t="s">
        <v>183</v>
      </c>
      <c r="D95" t="s">
        <v>195</v>
      </c>
      <c r="E95" t="s">
        <v>96</v>
      </c>
      <c r="F95">
        <v>60</v>
      </c>
      <c r="G95" t="s">
        <v>185</v>
      </c>
      <c r="H95" t="s">
        <v>84</v>
      </c>
      <c r="I95" t="s">
        <v>186</v>
      </c>
      <c r="J95" t="s">
        <v>187</v>
      </c>
      <c r="K95" t="s">
        <v>41</v>
      </c>
      <c r="L95" t="s">
        <v>30</v>
      </c>
      <c r="M95" t="s">
        <v>188</v>
      </c>
      <c r="N95" s="7">
        <v>7.9433083189498781</v>
      </c>
      <c r="O95" s="7">
        <v>0.12483889798925087</v>
      </c>
      <c r="P95" s="7">
        <v>4</v>
      </c>
      <c r="Q95" s="7">
        <v>11.042249711414785</v>
      </c>
      <c r="R95" s="7">
        <v>0.12483889798925087</v>
      </c>
      <c r="S95" s="7">
        <v>4</v>
      </c>
      <c r="T95" s="7">
        <v>0.24967779597850173</v>
      </c>
      <c r="U95" s="7">
        <v>0.24967779597850173</v>
      </c>
      <c r="V95" s="7">
        <v>0.3293989449633547</v>
      </c>
      <c r="W95" s="7">
        <v>3.7481588723225882E-4</v>
      </c>
      <c r="X95" t="s">
        <v>189</v>
      </c>
      <c r="Y95" t="s">
        <v>190</v>
      </c>
      <c r="Z95" t="s">
        <v>191</v>
      </c>
      <c r="AA95" t="s">
        <v>244</v>
      </c>
      <c r="AB95" t="s">
        <v>92</v>
      </c>
      <c r="AC95" t="s">
        <v>181</v>
      </c>
      <c r="AD95" t="s">
        <v>181</v>
      </c>
      <c r="AE95" t="s">
        <v>1680</v>
      </c>
      <c r="AF95" t="s">
        <v>1682</v>
      </c>
      <c r="AG95" t="s">
        <v>1680</v>
      </c>
      <c r="AH95" t="s">
        <v>1243</v>
      </c>
      <c r="AI95" t="s">
        <v>30</v>
      </c>
      <c r="AJ95" t="s">
        <v>1636</v>
      </c>
      <c r="AK95" t="s">
        <v>1637</v>
      </c>
      <c r="AL95" s="4">
        <v>60</v>
      </c>
      <c r="AM95" t="s">
        <v>185</v>
      </c>
      <c r="AN95">
        <v>60</v>
      </c>
      <c r="AO95" t="s">
        <v>1665</v>
      </c>
      <c r="AP95" t="s">
        <v>1639</v>
      </c>
      <c r="AQ95" t="s">
        <v>1640</v>
      </c>
      <c r="AR95" t="s">
        <v>1666</v>
      </c>
      <c r="AS95">
        <v>1</v>
      </c>
      <c r="AT95">
        <v>0</v>
      </c>
      <c r="AU95">
        <v>0</v>
      </c>
      <c r="AV95">
        <v>1</v>
      </c>
      <c r="AW95">
        <v>0</v>
      </c>
      <c r="AX95">
        <v>0</v>
      </c>
      <c r="AY95" t="s">
        <v>1642</v>
      </c>
    </row>
    <row r="96" spans="1:51">
      <c r="A96" t="s">
        <v>181</v>
      </c>
      <c r="B96" t="s">
        <v>246</v>
      </c>
      <c r="C96" t="s">
        <v>183</v>
      </c>
      <c r="D96" t="s">
        <v>184</v>
      </c>
      <c r="E96" t="s">
        <v>96</v>
      </c>
      <c r="F96">
        <v>30</v>
      </c>
      <c r="G96" t="s">
        <v>185</v>
      </c>
      <c r="H96" t="s">
        <v>84</v>
      </c>
      <c r="I96" t="s">
        <v>186</v>
      </c>
      <c r="J96" t="s">
        <v>187</v>
      </c>
      <c r="K96" t="s">
        <v>29</v>
      </c>
      <c r="L96" t="s">
        <v>30</v>
      </c>
      <c r="M96" t="s">
        <v>188</v>
      </c>
      <c r="N96" s="7">
        <v>4.7177849707012571</v>
      </c>
      <c r="O96" s="7">
        <v>0.54482415377020288</v>
      </c>
      <c r="P96" s="7">
        <v>4</v>
      </c>
      <c r="Q96" s="7">
        <v>5.6791504861662698</v>
      </c>
      <c r="R96" s="7">
        <v>0.23770024040009441</v>
      </c>
      <c r="S96" s="7">
        <v>4</v>
      </c>
      <c r="T96" s="7">
        <v>1.0896483075404058</v>
      </c>
      <c r="U96" s="7">
        <v>0.47540048080018882</v>
      </c>
      <c r="V96" s="7">
        <v>0.18546225567282293</v>
      </c>
      <c r="W96" s="7">
        <v>1.5088164822515689E-2</v>
      </c>
      <c r="X96" t="s">
        <v>189</v>
      </c>
      <c r="Y96" t="s">
        <v>190</v>
      </c>
      <c r="Z96" t="s">
        <v>191</v>
      </c>
      <c r="AA96" t="s">
        <v>247</v>
      </c>
      <c r="AB96" t="s">
        <v>92</v>
      </c>
      <c r="AC96" t="s">
        <v>181</v>
      </c>
      <c r="AD96" t="s">
        <v>181</v>
      </c>
      <c r="AE96" t="s">
        <v>1663</v>
      </c>
      <c r="AF96" t="s">
        <v>1664</v>
      </c>
      <c r="AG96" t="s">
        <v>1663</v>
      </c>
      <c r="AH96" t="s">
        <v>1235</v>
      </c>
      <c r="AI96" t="s">
        <v>30</v>
      </c>
      <c r="AJ96" t="s">
        <v>1636</v>
      </c>
      <c r="AK96" t="s">
        <v>1637</v>
      </c>
      <c r="AL96" s="4">
        <v>30</v>
      </c>
      <c r="AM96" t="s">
        <v>185</v>
      </c>
      <c r="AN96">
        <v>30</v>
      </c>
      <c r="AO96" t="s">
        <v>1665</v>
      </c>
      <c r="AP96" t="s">
        <v>1639</v>
      </c>
      <c r="AQ96" t="s">
        <v>1640</v>
      </c>
      <c r="AR96" t="s">
        <v>1666</v>
      </c>
      <c r="AS96">
        <v>1</v>
      </c>
      <c r="AT96">
        <v>0</v>
      </c>
      <c r="AU96">
        <v>0</v>
      </c>
      <c r="AV96">
        <v>1</v>
      </c>
      <c r="AW96">
        <v>0</v>
      </c>
      <c r="AX96">
        <v>0</v>
      </c>
      <c r="AY96" t="s">
        <v>1642</v>
      </c>
    </row>
    <row r="97" spans="1:51">
      <c r="A97" t="s">
        <v>181</v>
      </c>
      <c r="B97" t="s">
        <v>248</v>
      </c>
      <c r="C97" t="s">
        <v>183</v>
      </c>
      <c r="D97" t="s">
        <v>184</v>
      </c>
      <c r="E97" t="s">
        <v>96</v>
      </c>
      <c r="F97">
        <v>60</v>
      </c>
      <c r="G97" t="s">
        <v>185</v>
      </c>
      <c r="H97" t="s">
        <v>84</v>
      </c>
      <c r="I97" t="s">
        <v>186</v>
      </c>
      <c r="J97" t="s">
        <v>187</v>
      </c>
      <c r="K97" t="s">
        <v>29</v>
      </c>
      <c r="L97" t="s">
        <v>30</v>
      </c>
      <c r="M97" t="s">
        <v>188</v>
      </c>
      <c r="N97" s="7">
        <v>4.7177849707012571</v>
      </c>
      <c r="O97" s="7">
        <v>0.54482415377020288</v>
      </c>
      <c r="P97" s="7">
        <v>4</v>
      </c>
      <c r="Q97" s="7">
        <v>5.3199589388053043</v>
      </c>
      <c r="R97" s="7">
        <v>0.12149130696087039</v>
      </c>
      <c r="S97" s="7">
        <v>4</v>
      </c>
      <c r="T97" s="7">
        <v>1.0896483075404058</v>
      </c>
      <c r="U97" s="7">
        <v>0.24298261392174078</v>
      </c>
      <c r="V97" s="7">
        <v>0.1201261814740766</v>
      </c>
      <c r="W97" s="7">
        <v>1.3857856146486448E-2</v>
      </c>
      <c r="X97" t="s">
        <v>189</v>
      </c>
      <c r="Y97" t="s">
        <v>190</v>
      </c>
      <c r="Z97" t="s">
        <v>191</v>
      </c>
      <c r="AA97" t="s">
        <v>247</v>
      </c>
      <c r="AB97" t="s">
        <v>92</v>
      </c>
      <c r="AC97" t="s">
        <v>181</v>
      </c>
      <c r="AD97" t="s">
        <v>181</v>
      </c>
      <c r="AE97" t="s">
        <v>1663</v>
      </c>
      <c r="AF97" t="s">
        <v>1667</v>
      </c>
      <c r="AG97" t="s">
        <v>1663</v>
      </c>
      <c r="AH97" t="s">
        <v>1235</v>
      </c>
      <c r="AI97" t="s">
        <v>30</v>
      </c>
      <c r="AJ97" t="s">
        <v>1636</v>
      </c>
      <c r="AK97" t="s">
        <v>1637</v>
      </c>
      <c r="AL97" s="4">
        <v>60</v>
      </c>
      <c r="AM97" t="s">
        <v>185</v>
      </c>
      <c r="AN97">
        <v>60</v>
      </c>
      <c r="AO97" t="s">
        <v>1665</v>
      </c>
      <c r="AP97" t="s">
        <v>1639</v>
      </c>
      <c r="AQ97" t="s">
        <v>1640</v>
      </c>
      <c r="AR97" t="s">
        <v>1666</v>
      </c>
      <c r="AS97">
        <v>1</v>
      </c>
      <c r="AT97">
        <v>0</v>
      </c>
      <c r="AU97">
        <v>0</v>
      </c>
      <c r="AV97">
        <v>1</v>
      </c>
      <c r="AW97">
        <v>0</v>
      </c>
      <c r="AX97">
        <v>0</v>
      </c>
      <c r="AY97" t="s">
        <v>1642</v>
      </c>
    </row>
    <row r="98" spans="1:51">
      <c r="A98" t="s">
        <v>181</v>
      </c>
      <c r="B98" t="s">
        <v>249</v>
      </c>
      <c r="C98" t="s">
        <v>183</v>
      </c>
      <c r="D98" t="s">
        <v>195</v>
      </c>
      <c r="E98" t="s">
        <v>96</v>
      </c>
      <c r="F98">
        <v>30</v>
      </c>
      <c r="G98" t="s">
        <v>185</v>
      </c>
      <c r="H98" t="s">
        <v>84</v>
      </c>
      <c r="I98" t="s">
        <v>186</v>
      </c>
      <c r="J98" t="s">
        <v>187</v>
      </c>
      <c r="K98" t="s">
        <v>29</v>
      </c>
      <c r="L98" t="s">
        <v>30</v>
      </c>
      <c r="M98" t="s">
        <v>188</v>
      </c>
      <c r="N98" s="7">
        <v>5.5636961085234731</v>
      </c>
      <c r="O98" s="7">
        <v>0.11583175213033106</v>
      </c>
      <c r="P98" s="7">
        <v>4</v>
      </c>
      <c r="Q98" s="7">
        <v>6.6533444160638782</v>
      </c>
      <c r="R98" s="7">
        <v>0.17959577368048241</v>
      </c>
      <c r="S98" s="7">
        <v>4</v>
      </c>
      <c r="T98" s="7">
        <v>0.23166350426066212</v>
      </c>
      <c r="U98" s="7">
        <v>0.35919154736096481</v>
      </c>
      <c r="V98" s="7">
        <v>0.17885699283253031</v>
      </c>
      <c r="W98" s="7">
        <v>1.1620781292906784E-3</v>
      </c>
      <c r="X98" t="s">
        <v>189</v>
      </c>
      <c r="Y98" t="s">
        <v>190</v>
      </c>
      <c r="Z98" t="s">
        <v>191</v>
      </c>
      <c r="AA98" t="s">
        <v>250</v>
      </c>
      <c r="AB98" t="s">
        <v>92</v>
      </c>
      <c r="AC98" t="s">
        <v>181</v>
      </c>
      <c r="AD98" t="s">
        <v>181</v>
      </c>
      <c r="AE98" t="s">
        <v>1668</v>
      </c>
      <c r="AF98" t="s">
        <v>1669</v>
      </c>
      <c r="AG98" t="s">
        <v>1668</v>
      </c>
      <c r="AH98" t="s">
        <v>1235</v>
      </c>
      <c r="AI98" t="s">
        <v>30</v>
      </c>
      <c r="AJ98" t="s">
        <v>1636</v>
      </c>
      <c r="AK98" t="s">
        <v>1637</v>
      </c>
      <c r="AL98" s="4">
        <v>30</v>
      </c>
      <c r="AM98" t="s">
        <v>185</v>
      </c>
      <c r="AN98">
        <v>30</v>
      </c>
      <c r="AO98" t="s">
        <v>1665</v>
      </c>
      <c r="AP98" t="s">
        <v>1639</v>
      </c>
      <c r="AQ98" t="s">
        <v>1640</v>
      </c>
      <c r="AR98" t="s">
        <v>1666</v>
      </c>
      <c r="AS98">
        <v>1</v>
      </c>
      <c r="AT98">
        <v>0</v>
      </c>
      <c r="AU98">
        <v>0</v>
      </c>
      <c r="AV98">
        <v>1</v>
      </c>
      <c r="AW98">
        <v>0</v>
      </c>
      <c r="AX98">
        <v>0</v>
      </c>
      <c r="AY98" t="s">
        <v>1642</v>
      </c>
    </row>
    <row r="99" spans="1:51">
      <c r="A99" t="s">
        <v>181</v>
      </c>
      <c r="B99" t="s">
        <v>251</v>
      </c>
      <c r="C99" t="s">
        <v>183</v>
      </c>
      <c r="D99" t="s">
        <v>195</v>
      </c>
      <c r="E99" t="s">
        <v>96</v>
      </c>
      <c r="F99">
        <v>60</v>
      </c>
      <c r="G99" t="s">
        <v>185</v>
      </c>
      <c r="H99" t="s">
        <v>84</v>
      </c>
      <c r="I99" t="s">
        <v>186</v>
      </c>
      <c r="J99" t="s">
        <v>187</v>
      </c>
      <c r="K99" t="s">
        <v>29</v>
      </c>
      <c r="L99" t="s">
        <v>30</v>
      </c>
      <c r="M99" t="s">
        <v>188</v>
      </c>
      <c r="N99" s="7">
        <v>5.5636961085234731</v>
      </c>
      <c r="O99" s="7">
        <v>0.11583175213033106</v>
      </c>
      <c r="P99" s="7">
        <v>4</v>
      </c>
      <c r="Q99" s="7">
        <v>6.1666248256026277</v>
      </c>
      <c r="R99" s="7">
        <v>0.17959577368048241</v>
      </c>
      <c r="S99" s="7">
        <v>4</v>
      </c>
      <c r="T99" s="7">
        <v>0.23166350426066212</v>
      </c>
      <c r="U99" s="7">
        <v>0.35919154736096481</v>
      </c>
      <c r="V99" s="7">
        <v>0.10288900323338496</v>
      </c>
      <c r="W99" s="7">
        <v>1.28163732087174E-3</v>
      </c>
      <c r="X99" t="s">
        <v>189</v>
      </c>
      <c r="Y99" t="s">
        <v>190</v>
      </c>
      <c r="Z99" t="s">
        <v>191</v>
      </c>
      <c r="AA99" t="s">
        <v>250</v>
      </c>
      <c r="AB99" t="s">
        <v>92</v>
      </c>
      <c r="AC99" t="s">
        <v>181</v>
      </c>
      <c r="AD99" t="s">
        <v>181</v>
      </c>
      <c r="AE99" t="s">
        <v>1668</v>
      </c>
      <c r="AF99" t="s">
        <v>1670</v>
      </c>
      <c r="AG99" t="s">
        <v>1668</v>
      </c>
      <c r="AH99" t="s">
        <v>1235</v>
      </c>
      <c r="AI99" t="s">
        <v>30</v>
      </c>
      <c r="AJ99" t="s">
        <v>1636</v>
      </c>
      <c r="AK99" t="s">
        <v>1637</v>
      </c>
      <c r="AL99" s="4">
        <v>60</v>
      </c>
      <c r="AM99" t="s">
        <v>185</v>
      </c>
      <c r="AN99">
        <v>60</v>
      </c>
      <c r="AO99" t="s">
        <v>1665</v>
      </c>
      <c r="AP99" t="s">
        <v>1639</v>
      </c>
      <c r="AQ99" t="s">
        <v>1640</v>
      </c>
      <c r="AR99" t="s">
        <v>1666</v>
      </c>
      <c r="AS99">
        <v>1</v>
      </c>
      <c r="AT99">
        <v>0</v>
      </c>
      <c r="AU99">
        <v>0</v>
      </c>
      <c r="AV99">
        <v>1</v>
      </c>
      <c r="AW99">
        <v>0</v>
      </c>
      <c r="AX99">
        <v>0</v>
      </c>
      <c r="AY99" t="s">
        <v>1642</v>
      </c>
    </row>
    <row r="100" spans="1:51">
      <c r="A100" t="s">
        <v>181</v>
      </c>
      <c r="B100" t="s">
        <v>252</v>
      </c>
      <c r="C100" t="s">
        <v>183</v>
      </c>
      <c r="D100" t="s">
        <v>184</v>
      </c>
      <c r="E100" t="s">
        <v>96</v>
      </c>
      <c r="F100">
        <v>30</v>
      </c>
      <c r="G100" t="s">
        <v>185</v>
      </c>
      <c r="H100" t="s">
        <v>84</v>
      </c>
      <c r="I100" t="s">
        <v>186</v>
      </c>
      <c r="J100" t="s">
        <v>187</v>
      </c>
      <c r="K100" t="s">
        <v>29</v>
      </c>
      <c r="L100" t="s">
        <v>30</v>
      </c>
      <c r="M100" t="s">
        <v>188</v>
      </c>
      <c r="N100" s="7">
        <v>4.4740478009830671</v>
      </c>
      <c r="O100" s="7">
        <v>0.17959577368048241</v>
      </c>
      <c r="P100" s="7">
        <v>4</v>
      </c>
      <c r="Q100" s="7">
        <v>6.4096072463457103</v>
      </c>
      <c r="R100" s="7">
        <v>5.8104563308935424E-2</v>
      </c>
      <c r="S100" s="7">
        <v>4</v>
      </c>
      <c r="T100" s="7">
        <v>0.35919154736096481</v>
      </c>
      <c r="U100" s="7">
        <v>0.11620912661787085</v>
      </c>
      <c r="V100" s="7">
        <v>0.35950444985210928</v>
      </c>
      <c r="W100" s="7">
        <v>1.6935324815828161E-3</v>
      </c>
      <c r="X100" t="s">
        <v>189</v>
      </c>
      <c r="Y100" t="s">
        <v>190</v>
      </c>
      <c r="Z100" t="s">
        <v>191</v>
      </c>
      <c r="AA100" t="s">
        <v>253</v>
      </c>
      <c r="AB100" t="s">
        <v>92</v>
      </c>
      <c r="AC100" t="s">
        <v>181</v>
      </c>
      <c r="AD100" t="s">
        <v>181</v>
      </c>
      <c r="AE100" t="s">
        <v>1671</v>
      </c>
      <c r="AF100" t="s">
        <v>1672</v>
      </c>
      <c r="AG100" t="s">
        <v>1671</v>
      </c>
      <c r="AH100" t="s">
        <v>1242</v>
      </c>
      <c r="AI100" t="s">
        <v>30</v>
      </c>
      <c r="AJ100" t="s">
        <v>1636</v>
      </c>
      <c r="AK100" t="s">
        <v>1637</v>
      </c>
      <c r="AL100" s="4">
        <v>30</v>
      </c>
      <c r="AM100" t="s">
        <v>185</v>
      </c>
      <c r="AN100">
        <v>30</v>
      </c>
      <c r="AO100" t="s">
        <v>1665</v>
      </c>
      <c r="AP100" t="s">
        <v>1639</v>
      </c>
      <c r="AQ100" t="s">
        <v>1640</v>
      </c>
      <c r="AR100" t="s">
        <v>1666</v>
      </c>
      <c r="AS100">
        <v>1</v>
      </c>
      <c r="AT100">
        <v>0</v>
      </c>
      <c r="AU100">
        <v>0</v>
      </c>
      <c r="AV100">
        <v>1</v>
      </c>
      <c r="AW100">
        <v>0</v>
      </c>
      <c r="AX100">
        <v>0</v>
      </c>
      <c r="AY100" t="s">
        <v>1642</v>
      </c>
    </row>
    <row r="101" spans="1:51">
      <c r="A101" t="s">
        <v>181</v>
      </c>
      <c r="B101" t="s">
        <v>254</v>
      </c>
      <c r="C101" t="s">
        <v>183</v>
      </c>
      <c r="D101" t="s">
        <v>184</v>
      </c>
      <c r="E101" t="s">
        <v>96</v>
      </c>
      <c r="F101">
        <v>60</v>
      </c>
      <c r="G101" t="s">
        <v>185</v>
      </c>
      <c r="H101" t="s">
        <v>84</v>
      </c>
      <c r="I101" t="s">
        <v>186</v>
      </c>
      <c r="J101" t="s">
        <v>187</v>
      </c>
      <c r="K101" t="s">
        <v>29</v>
      </c>
      <c r="L101" t="s">
        <v>30</v>
      </c>
      <c r="M101" t="s">
        <v>188</v>
      </c>
      <c r="N101" s="7">
        <v>4.4740478009830671</v>
      </c>
      <c r="O101" s="7">
        <v>0.17959577368048241</v>
      </c>
      <c r="P101" s="7">
        <v>4</v>
      </c>
      <c r="Q101" s="7">
        <v>5.8066785292665779</v>
      </c>
      <c r="R101" s="7">
        <v>0.35919154736096481</v>
      </c>
      <c r="S101" s="7">
        <v>4</v>
      </c>
      <c r="T101" s="7">
        <v>0.35919154736096481</v>
      </c>
      <c r="U101" s="7">
        <v>0.71838309472192963</v>
      </c>
      <c r="V101" s="7">
        <v>0.26071517849950188</v>
      </c>
      <c r="W101" s="7">
        <v>5.4378094371160951E-3</v>
      </c>
      <c r="X101" t="s">
        <v>189</v>
      </c>
      <c r="Y101" t="s">
        <v>190</v>
      </c>
      <c r="Z101" t="s">
        <v>191</v>
      </c>
      <c r="AA101" t="s">
        <v>253</v>
      </c>
      <c r="AB101" t="s">
        <v>92</v>
      </c>
      <c r="AC101" t="s">
        <v>181</v>
      </c>
      <c r="AD101" t="s">
        <v>181</v>
      </c>
      <c r="AE101" t="s">
        <v>1671</v>
      </c>
      <c r="AF101" t="s">
        <v>1673</v>
      </c>
      <c r="AG101" t="s">
        <v>1671</v>
      </c>
      <c r="AH101" t="s">
        <v>1242</v>
      </c>
      <c r="AI101" t="s">
        <v>30</v>
      </c>
      <c r="AJ101" t="s">
        <v>1636</v>
      </c>
      <c r="AK101" t="s">
        <v>1637</v>
      </c>
      <c r="AL101" s="4">
        <v>60</v>
      </c>
      <c r="AM101" t="s">
        <v>185</v>
      </c>
      <c r="AN101">
        <v>60</v>
      </c>
      <c r="AO101" t="s">
        <v>1665</v>
      </c>
      <c r="AP101" t="s">
        <v>1639</v>
      </c>
      <c r="AQ101" t="s">
        <v>1640</v>
      </c>
      <c r="AR101" t="s">
        <v>1666</v>
      </c>
      <c r="AS101">
        <v>1</v>
      </c>
      <c r="AT101">
        <v>0</v>
      </c>
      <c r="AU101">
        <v>0</v>
      </c>
      <c r="AV101">
        <v>1</v>
      </c>
      <c r="AW101">
        <v>0</v>
      </c>
      <c r="AX101">
        <v>0</v>
      </c>
      <c r="AY101" t="s">
        <v>1642</v>
      </c>
    </row>
    <row r="102" spans="1:51">
      <c r="A102" t="s">
        <v>181</v>
      </c>
      <c r="B102" t="s">
        <v>255</v>
      </c>
      <c r="C102" t="s">
        <v>183</v>
      </c>
      <c r="D102" t="s">
        <v>195</v>
      </c>
      <c r="E102" t="s">
        <v>96</v>
      </c>
      <c r="F102">
        <v>30</v>
      </c>
      <c r="G102" t="s">
        <v>185</v>
      </c>
      <c r="H102" t="s">
        <v>84</v>
      </c>
      <c r="I102" t="s">
        <v>186</v>
      </c>
      <c r="J102" t="s">
        <v>187</v>
      </c>
      <c r="K102" t="s">
        <v>29</v>
      </c>
      <c r="L102" t="s">
        <v>30</v>
      </c>
      <c r="M102" t="s">
        <v>188</v>
      </c>
      <c r="N102" s="7">
        <v>5.2045045611625076</v>
      </c>
      <c r="O102" s="7">
        <v>0.18525532851102172</v>
      </c>
      <c r="P102" s="7">
        <v>4</v>
      </c>
      <c r="Q102" s="7">
        <v>6.2933983129064979</v>
      </c>
      <c r="R102" s="7">
        <v>0.12186858485908676</v>
      </c>
      <c r="S102" s="7">
        <v>4</v>
      </c>
      <c r="T102" s="7">
        <v>0.37051065702204344</v>
      </c>
      <c r="U102" s="7">
        <v>0.24373716971817352</v>
      </c>
      <c r="V102" s="7">
        <v>0.18997668477875679</v>
      </c>
      <c r="W102" s="7">
        <v>1.6420018593018078E-3</v>
      </c>
      <c r="X102" t="s">
        <v>189</v>
      </c>
      <c r="Y102" t="s">
        <v>190</v>
      </c>
      <c r="Z102" t="s">
        <v>191</v>
      </c>
      <c r="AA102" t="s">
        <v>256</v>
      </c>
      <c r="AB102" t="s">
        <v>92</v>
      </c>
      <c r="AC102" t="s">
        <v>181</v>
      </c>
      <c r="AD102" t="s">
        <v>181</v>
      </c>
      <c r="AE102" t="s">
        <v>1674</v>
      </c>
      <c r="AF102" t="s">
        <v>1675</v>
      </c>
      <c r="AG102" t="s">
        <v>1674</v>
      </c>
      <c r="AH102" t="s">
        <v>1242</v>
      </c>
      <c r="AI102" t="s">
        <v>30</v>
      </c>
      <c r="AJ102" t="s">
        <v>1636</v>
      </c>
      <c r="AK102" t="s">
        <v>1637</v>
      </c>
      <c r="AL102" s="4">
        <v>30</v>
      </c>
      <c r="AM102" t="s">
        <v>185</v>
      </c>
      <c r="AN102">
        <v>30</v>
      </c>
      <c r="AO102" t="s">
        <v>1665</v>
      </c>
      <c r="AP102" t="s">
        <v>1639</v>
      </c>
      <c r="AQ102" t="s">
        <v>1640</v>
      </c>
      <c r="AR102" t="s">
        <v>1666</v>
      </c>
      <c r="AS102">
        <v>1</v>
      </c>
      <c r="AT102">
        <v>0</v>
      </c>
      <c r="AU102">
        <v>0</v>
      </c>
      <c r="AV102">
        <v>1</v>
      </c>
      <c r="AW102">
        <v>0</v>
      </c>
      <c r="AX102">
        <v>0</v>
      </c>
      <c r="AY102" t="s">
        <v>1642</v>
      </c>
    </row>
    <row r="103" spans="1:51">
      <c r="A103" t="s">
        <v>181</v>
      </c>
      <c r="B103" t="s">
        <v>257</v>
      </c>
      <c r="C103" t="s">
        <v>183</v>
      </c>
      <c r="D103" t="s">
        <v>195</v>
      </c>
      <c r="E103" t="s">
        <v>96</v>
      </c>
      <c r="F103">
        <v>60</v>
      </c>
      <c r="G103" t="s">
        <v>185</v>
      </c>
      <c r="H103" t="s">
        <v>84</v>
      </c>
      <c r="I103" t="s">
        <v>186</v>
      </c>
      <c r="J103" t="s">
        <v>187</v>
      </c>
      <c r="K103" t="s">
        <v>29</v>
      </c>
      <c r="L103" t="s">
        <v>30</v>
      </c>
      <c r="M103" t="s">
        <v>188</v>
      </c>
      <c r="N103" s="7">
        <v>5.2045045611625076</v>
      </c>
      <c r="O103" s="7">
        <v>0.18525532851102172</v>
      </c>
      <c r="P103" s="7">
        <v>4</v>
      </c>
      <c r="Q103" s="7">
        <v>6.2933983129064979</v>
      </c>
      <c r="R103" s="7">
        <v>0.18563260640923812</v>
      </c>
      <c r="S103" s="7">
        <v>4</v>
      </c>
      <c r="T103" s="7">
        <v>0.37051065702204344</v>
      </c>
      <c r="U103" s="7">
        <v>0.37126521281847624</v>
      </c>
      <c r="V103" s="7">
        <v>0.18997668477875679</v>
      </c>
      <c r="W103" s="7">
        <v>2.137055277719319E-3</v>
      </c>
      <c r="X103" t="s">
        <v>189</v>
      </c>
      <c r="Y103" t="s">
        <v>190</v>
      </c>
      <c r="Z103" t="s">
        <v>191</v>
      </c>
      <c r="AA103" t="s">
        <v>256</v>
      </c>
      <c r="AB103" t="s">
        <v>92</v>
      </c>
      <c r="AC103" t="s">
        <v>181</v>
      </c>
      <c r="AD103" t="s">
        <v>181</v>
      </c>
      <c r="AE103" t="s">
        <v>1674</v>
      </c>
      <c r="AF103" t="s">
        <v>1676</v>
      </c>
      <c r="AG103" t="s">
        <v>1674</v>
      </c>
      <c r="AH103" t="s">
        <v>1242</v>
      </c>
      <c r="AI103" t="s">
        <v>30</v>
      </c>
      <c r="AJ103" t="s">
        <v>1636</v>
      </c>
      <c r="AK103" t="s">
        <v>1637</v>
      </c>
      <c r="AL103" s="4">
        <v>60</v>
      </c>
      <c r="AM103" t="s">
        <v>185</v>
      </c>
      <c r="AN103">
        <v>60</v>
      </c>
      <c r="AO103" t="s">
        <v>1665</v>
      </c>
      <c r="AP103" t="s">
        <v>1639</v>
      </c>
      <c r="AQ103" t="s">
        <v>1640</v>
      </c>
      <c r="AR103" t="s">
        <v>1666</v>
      </c>
      <c r="AS103">
        <v>1</v>
      </c>
      <c r="AT103">
        <v>0</v>
      </c>
      <c r="AU103">
        <v>0</v>
      </c>
      <c r="AV103">
        <v>1</v>
      </c>
      <c r="AW103">
        <v>0</v>
      </c>
      <c r="AX103">
        <v>0</v>
      </c>
      <c r="AY103" t="s">
        <v>1642</v>
      </c>
    </row>
    <row r="104" spans="1:51">
      <c r="A104" t="s">
        <v>181</v>
      </c>
      <c r="B104" t="s">
        <v>258</v>
      </c>
      <c r="C104" t="s">
        <v>183</v>
      </c>
      <c r="D104" t="s">
        <v>184</v>
      </c>
      <c r="E104" t="s">
        <v>96</v>
      </c>
      <c r="F104">
        <v>30</v>
      </c>
      <c r="G104" t="s">
        <v>185</v>
      </c>
      <c r="H104" t="s">
        <v>84</v>
      </c>
      <c r="I104" t="s">
        <v>186</v>
      </c>
      <c r="J104" t="s">
        <v>187</v>
      </c>
      <c r="K104" t="s">
        <v>29</v>
      </c>
      <c r="L104" t="s">
        <v>30</v>
      </c>
      <c r="M104" t="s">
        <v>188</v>
      </c>
      <c r="N104" s="7">
        <v>4.5902567344223018</v>
      </c>
      <c r="O104" s="7">
        <v>0.12149130696087039</v>
      </c>
      <c r="P104" s="7">
        <v>4</v>
      </c>
      <c r="Q104" s="7">
        <v>6.5371352894460184</v>
      </c>
      <c r="R104" s="7">
        <v>0.17959577368048241</v>
      </c>
      <c r="S104" s="7">
        <v>4</v>
      </c>
      <c r="T104" s="7">
        <v>0.24298261392174078</v>
      </c>
      <c r="U104" s="7">
        <v>0.35919154736096481</v>
      </c>
      <c r="V104" s="7">
        <v>0.35356308443605045</v>
      </c>
      <c r="W104" s="7">
        <v>1.4552880168202016E-3</v>
      </c>
      <c r="X104" t="s">
        <v>189</v>
      </c>
      <c r="Y104" t="s">
        <v>190</v>
      </c>
      <c r="Z104" t="s">
        <v>191</v>
      </c>
      <c r="AA104" t="s">
        <v>259</v>
      </c>
      <c r="AB104" t="s">
        <v>92</v>
      </c>
      <c r="AC104" t="s">
        <v>181</v>
      </c>
      <c r="AD104" t="s">
        <v>181</v>
      </c>
      <c r="AE104" t="s">
        <v>1677</v>
      </c>
      <c r="AF104" t="s">
        <v>1678</v>
      </c>
      <c r="AG104" t="s">
        <v>1677</v>
      </c>
      <c r="AH104" t="s">
        <v>1243</v>
      </c>
      <c r="AI104" t="s">
        <v>30</v>
      </c>
      <c r="AJ104" t="s">
        <v>1636</v>
      </c>
      <c r="AK104" t="s">
        <v>1637</v>
      </c>
      <c r="AL104" s="4">
        <v>30</v>
      </c>
      <c r="AM104" t="s">
        <v>185</v>
      </c>
      <c r="AN104">
        <v>30</v>
      </c>
      <c r="AO104" t="s">
        <v>1665</v>
      </c>
      <c r="AP104" t="s">
        <v>1639</v>
      </c>
      <c r="AQ104" t="s">
        <v>1640</v>
      </c>
      <c r="AR104" t="s">
        <v>1666</v>
      </c>
      <c r="AS104">
        <v>1</v>
      </c>
      <c r="AT104">
        <v>0</v>
      </c>
      <c r="AU104">
        <v>0</v>
      </c>
      <c r="AV104">
        <v>1</v>
      </c>
      <c r="AW104">
        <v>0</v>
      </c>
      <c r="AX104">
        <v>0</v>
      </c>
      <c r="AY104" t="s">
        <v>1642</v>
      </c>
    </row>
    <row r="105" spans="1:51">
      <c r="A105" t="s">
        <v>181</v>
      </c>
      <c r="B105" t="s">
        <v>260</v>
      </c>
      <c r="C105" t="s">
        <v>183</v>
      </c>
      <c r="D105" t="s">
        <v>184</v>
      </c>
      <c r="E105" t="s">
        <v>96</v>
      </c>
      <c r="F105">
        <v>60</v>
      </c>
      <c r="G105" t="s">
        <v>185</v>
      </c>
      <c r="H105" t="s">
        <v>84</v>
      </c>
      <c r="I105" t="s">
        <v>186</v>
      </c>
      <c r="J105" t="s">
        <v>187</v>
      </c>
      <c r="K105" t="s">
        <v>29</v>
      </c>
      <c r="L105" t="s">
        <v>30</v>
      </c>
      <c r="M105" t="s">
        <v>188</v>
      </c>
      <c r="N105" s="7">
        <v>4.5902567344223018</v>
      </c>
      <c r="O105" s="7">
        <v>0.12149130696087039</v>
      </c>
      <c r="P105" s="7">
        <v>4</v>
      </c>
      <c r="Q105" s="7">
        <v>6.1666248256026277</v>
      </c>
      <c r="R105" s="7">
        <v>0.17959577368048241</v>
      </c>
      <c r="S105" s="7">
        <v>4</v>
      </c>
      <c r="T105" s="7">
        <v>0.24298261392174078</v>
      </c>
      <c r="U105" s="7">
        <v>0.35919154736096481</v>
      </c>
      <c r="V105" s="7">
        <v>0.29521570242216311</v>
      </c>
      <c r="W105" s="7">
        <v>1.5487112701824271E-3</v>
      </c>
      <c r="X105" t="s">
        <v>189</v>
      </c>
      <c r="Y105" t="s">
        <v>190</v>
      </c>
      <c r="Z105" t="s">
        <v>191</v>
      </c>
      <c r="AA105" t="s">
        <v>259</v>
      </c>
      <c r="AB105" t="s">
        <v>92</v>
      </c>
      <c r="AC105" t="s">
        <v>181</v>
      </c>
      <c r="AD105" t="s">
        <v>181</v>
      </c>
      <c r="AE105" t="s">
        <v>1677</v>
      </c>
      <c r="AF105" t="s">
        <v>1679</v>
      </c>
      <c r="AG105" t="s">
        <v>1677</v>
      </c>
      <c r="AH105" t="s">
        <v>1243</v>
      </c>
      <c r="AI105" t="s">
        <v>30</v>
      </c>
      <c r="AJ105" t="s">
        <v>1636</v>
      </c>
      <c r="AK105" t="s">
        <v>1637</v>
      </c>
      <c r="AL105" s="4">
        <v>60</v>
      </c>
      <c r="AM105" t="s">
        <v>185</v>
      </c>
      <c r="AN105">
        <v>60</v>
      </c>
      <c r="AO105" t="s">
        <v>1665</v>
      </c>
      <c r="AP105" t="s">
        <v>1639</v>
      </c>
      <c r="AQ105" t="s">
        <v>1640</v>
      </c>
      <c r="AR105" t="s">
        <v>1666</v>
      </c>
      <c r="AS105">
        <v>1</v>
      </c>
      <c r="AT105">
        <v>0</v>
      </c>
      <c r="AU105">
        <v>0</v>
      </c>
      <c r="AV105">
        <v>1</v>
      </c>
      <c r="AW105">
        <v>0</v>
      </c>
      <c r="AX105">
        <v>0</v>
      </c>
      <c r="AY105" t="s">
        <v>1642</v>
      </c>
    </row>
    <row r="106" spans="1:51">
      <c r="A106" t="s">
        <v>181</v>
      </c>
      <c r="B106" t="s">
        <v>261</v>
      </c>
      <c r="C106" t="s">
        <v>183</v>
      </c>
      <c r="D106" t="s">
        <v>195</v>
      </c>
      <c r="E106" t="s">
        <v>96</v>
      </c>
      <c r="F106">
        <v>30</v>
      </c>
      <c r="G106" t="s">
        <v>185</v>
      </c>
      <c r="H106" t="s">
        <v>84</v>
      </c>
      <c r="I106" t="s">
        <v>186</v>
      </c>
      <c r="J106" t="s">
        <v>187</v>
      </c>
      <c r="K106" t="s">
        <v>29</v>
      </c>
      <c r="L106" t="s">
        <v>30</v>
      </c>
      <c r="M106" t="s">
        <v>188</v>
      </c>
      <c r="N106" s="7">
        <v>5.9228876558844377</v>
      </c>
      <c r="O106" s="7">
        <v>0.12186858485908676</v>
      </c>
      <c r="P106" s="7">
        <v>4</v>
      </c>
      <c r="Q106" s="7">
        <v>6.7687987937066749</v>
      </c>
      <c r="R106" s="7">
        <v>0.17959587026980581</v>
      </c>
      <c r="S106" s="7">
        <v>4</v>
      </c>
      <c r="T106" s="7">
        <v>0.24373716971817352</v>
      </c>
      <c r="U106" s="7">
        <v>0.35919174053961161</v>
      </c>
      <c r="V106" s="7">
        <v>0.13349953073410234</v>
      </c>
      <c r="W106" s="7">
        <v>1.1273614053433079E-3</v>
      </c>
      <c r="X106" t="s">
        <v>189</v>
      </c>
      <c r="Y106" t="s">
        <v>190</v>
      </c>
      <c r="Z106" t="s">
        <v>191</v>
      </c>
      <c r="AA106" t="s">
        <v>262</v>
      </c>
      <c r="AB106" t="s">
        <v>92</v>
      </c>
      <c r="AC106" t="s">
        <v>181</v>
      </c>
      <c r="AD106" t="s">
        <v>181</v>
      </c>
      <c r="AE106" t="s">
        <v>1680</v>
      </c>
      <c r="AF106" t="s">
        <v>1681</v>
      </c>
      <c r="AG106" t="s">
        <v>1680</v>
      </c>
      <c r="AH106" t="s">
        <v>1243</v>
      </c>
      <c r="AI106" t="s">
        <v>30</v>
      </c>
      <c r="AJ106" t="s">
        <v>1636</v>
      </c>
      <c r="AK106" t="s">
        <v>1637</v>
      </c>
      <c r="AL106" s="4">
        <v>30</v>
      </c>
      <c r="AM106" t="s">
        <v>185</v>
      </c>
      <c r="AN106">
        <v>30</v>
      </c>
      <c r="AO106" t="s">
        <v>1665</v>
      </c>
      <c r="AP106" t="s">
        <v>1639</v>
      </c>
      <c r="AQ106" t="s">
        <v>1640</v>
      </c>
      <c r="AR106" t="s">
        <v>1666</v>
      </c>
      <c r="AS106">
        <v>1</v>
      </c>
      <c r="AT106">
        <v>0</v>
      </c>
      <c r="AU106">
        <v>0</v>
      </c>
      <c r="AV106">
        <v>1</v>
      </c>
      <c r="AW106">
        <v>0</v>
      </c>
      <c r="AX106">
        <v>0</v>
      </c>
      <c r="AY106" t="s">
        <v>1642</v>
      </c>
    </row>
    <row r="107" spans="1:51">
      <c r="A107" t="s">
        <v>181</v>
      </c>
      <c r="B107" t="s">
        <v>263</v>
      </c>
      <c r="C107" t="s">
        <v>183</v>
      </c>
      <c r="D107" t="s">
        <v>195</v>
      </c>
      <c r="E107" t="s">
        <v>96</v>
      </c>
      <c r="F107">
        <v>60</v>
      </c>
      <c r="G107" t="s">
        <v>185</v>
      </c>
      <c r="H107" t="s">
        <v>84</v>
      </c>
      <c r="I107" t="s">
        <v>186</v>
      </c>
      <c r="J107" t="s">
        <v>187</v>
      </c>
      <c r="K107" t="s">
        <v>29</v>
      </c>
      <c r="L107" t="s">
        <v>30</v>
      </c>
      <c r="M107" t="s">
        <v>188</v>
      </c>
      <c r="N107" s="7">
        <v>5.9228876558844377</v>
      </c>
      <c r="O107" s="7">
        <v>0.12186858485908676</v>
      </c>
      <c r="P107" s="7">
        <v>4</v>
      </c>
      <c r="Q107" s="7">
        <v>6.1666248256026277</v>
      </c>
      <c r="R107" s="7">
        <v>0.12149121037154698</v>
      </c>
      <c r="S107" s="7">
        <v>4</v>
      </c>
      <c r="T107" s="7">
        <v>0.24373716971817352</v>
      </c>
      <c r="U107" s="7">
        <v>0.24298242074309395</v>
      </c>
      <c r="V107" s="7">
        <v>4.0327548675467173E-2</v>
      </c>
      <c r="W107" s="7">
        <v>8.1151215095218816E-4</v>
      </c>
      <c r="X107" t="s">
        <v>189</v>
      </c>
      <c r="Y107" t="s">
        <v>190</v>
      </c>
      <c r="Z107" t="s">
        <v>191</v>
      </c>
      <c r="AA107" t="s">
        <v>262</v>
      </c>
      <c r="AB107" t="s">
        <v>92</v>
      </c>
      <c r="AC107" t="s">
        <v>181</v>
      </c>
      <c r="AD107" t="s">
        <v>181</v>
      </c>
      <c r="AE107" t="s">
        <v>1680</v>
      </c>
      <c r="AF107" t="s">
        <v>1682</v>
      </c>
      <c r="AG107" t="s">
        <v>1680</v>
      </c>
      <c r="AH107" t="s">
        <v>1243</v>
      </c>
      <c r="AI107" t="s">
        <v>30</v>
      </c>
      <c r="AJ107" t="s">
        <v>1636</v>
      </c>
      <c r="AK107" t="s">
        <v>1637</v>
      </c>
      <c r="AL107" s="4">
        <v>60</v>
      </c>
      <c r="AM107" t="s">
        <v>185</v>
      </c>
      <c r="AN107">
        <v>60</v>
      </c>
      <c r="AO107" t="s">
        <v>1665</v>
      </c>
      <c r="AP107" t="s">
        <v>1639</v>
      </c>
      <c r="AQ107" t="s">
        <v>1640</v>
      </c>
      <c r="AR107" t="s">
        <v>1666</v>
      </c>
      <c r="AS107">
        <v>1</v>
      </c>
      <c r="AT107">
        <v>0</v>
      </c>
      <c r="AU107">
        <v>0</v>
      </c>
      <c r="AV107">
        <v>1</v>
      </c>
      <c r="AW107">
        <v>0</v>
      </c>
      <c r="AX107">
        <v>0</v>
      </c>
      <c r="AY107" t="s">
        <v>1642</v>
      </c>
    </row>
    <row r="108" spans="1:51">
      <c r="A108" t="s">
        <v>181</v>
      </c>
      <c r="B108" t="s">
        <v>264</v>
      </c>
      <c r="C108" t="s">
        <v>183</v>
      </c>
      <c r="D108" t="s">
        <v>184</v>
      </c>
      <c r="E108" t="s">
        <v>96</v>
      </c>
      <c r="F108">
        <v>30</v>
      </c>
      <c r="G108" t="s">
        <v>185</v>
      </c>
      <c r="H108" t="s">
        <v>84</v>
      </c>
      <c r="I108" t="s">
        <v>186</v>
      </c>
      <c r="J108" t="s">
        <v>187</v>
      </c>
      <c r="K108" t="s">
        <v>41</v>
      </c>
      <c r="L108" t="s">
        <v>42</v>
      </c>
      <c r="M108" t="s">
        <v>188</v>
      </c>
      <c r="N108" s="7">
        <v>15.782917172174134</v>
      </c>
      <c r="O108" s="7">
        <v>0.56086418642428748</v>
      </c>
      <c r="P108" s="7">
        <v>4</v>
      </c>
      <c r="Q108" s="7">
        <v>19.173405338158794</v>
      </c>
      <c r="R108" s="7">
        <v>0.78858369661326122</v>
      </c>
      <c r="S108" s="7">
        <v>4</v>
      </c>
      <c r="T108" s="7">
        <v>1.121728372848575</v>
      </c>
      <c r="U108" s="7">
        <v>1.5771673932265224</v>
      </c>
      <c r="V108" s="7">
        <v>0.19459601671582261</v>
      </c>
      <c r="W108" s="7">
        <v>2.9544159721041586E-3</v>
      </c>
      <c r="X108" t="s">
        <v>189</v>
      </c>
      <c r="Y108" t="s">
        <v>190</v>
      </c>
      <c r="Z108" t="s">
        <v>191</v>
      </c>
      <c r="AA108" t="s">
        <v>265</v>
      </c>
      <c r="AB108" t="s">
        <v>92</v>
      </c>
      <c r="AC108" t="s">
        <v>181</v>
      </c>
      <c r="AD108" t="s">
        <v>181</v>
      </c>
      <c r="AE108" t="s">
        <v>1663</v>
      </c>
      <c r="AF108" t="s">
        <v>1664</v>
      </c>
      <c r="AG108" t="s">
        <v>1663</v>
      </c>
      <c r="AH108" t="s">
        <v>1235</v>
      </c>
      <c r="AI108" t="s">
        <v>42</v>
      </c>
      <c r="AJ108" t="s">
        <v>1636</v>
      </c>
      <c r="AK108" t="s">
        <v>1637</v>
      </c>
      <c r="AL108" s="4">
        <v>30</v>
      </c>
      <c r="AM108" t="s">
        <v>185</v>
      </c>
      <c r="AN108">
        <v>30</v>
      </c>
      <c r="AO108" t="s">
        <v>1665</v>
      </c>
      <c r="AP108" t="s">
        <v>1639</v>
      </c>
      <c r="AQ108" t="s">
        <v>1640</v>
      </c>
      <c r="AR108" t="s">
        <v>1666</v>
      </c>
      <c r="AS108">
        <v>1</v>
      </c>
      <c r="AT108">
        <v>0</v>
      </c>
      <c r="AU108">
        <v>0</v>
      </c>
      <c r="AV108">
        <v>1</v>
      </c>
      <c r="AW108">
        <v>0</v>
      </c>
      <c r="AX108">
        <v>0</v>
      </c>
      <c r="AY108" t="s">
        <v>1642</v>
      </c>
    </row>
    <row r="109" spans="1:51">
      <c r="A109" t="s">
        <v>181</v>
      </c>
      <c r="B109" t="s">
        <v>266</v>
      </c>
      <c r="C109" t="s">
        <v>183</v>
      </c>
      <c r="D109" t="s">
        <v>184</v>
      </c>
      <c r="E109" t="s">
        <v>96</v>
      </c>
      <c r="F109">
        <v>60</v>
      </c>
      <c r="G109" t="s">
        <v>185</v>
      </c>
      <c r="H109" t="s">
        <v>84</v>
      </c>
      <c r="I109" t="s">
        <v>186</v>
      </c>
      <c r="J109" t="s">
        <v>187</v>
      </c>
      <c r="K109" t="s">
        <v>41</v>
      </c>
      <c r="L109" t="s">
        <v>42</v>
      </c>
      <c r="M109" t="s">
        <v>188</v>
      </c>
      <c r="N109" s="7">
        <v>15.782917172174134</v>
      </c>
      <c r="O109" s="7">
        <v>0.56086418642428748</v>
      </c>
      <c r="P109" s="7">
        <v>4</v>
      </c>
      <c r="Q109" s="7">
        <v>17.143610454237017</v>
      </c>
      <c r="R109" s="7">
        <v>0.56156715880818309</v>
      </c>
      <c r="S109" s="7">
        <v>4</v>
      </c>
      <c r="T109" s="7">
        <v>1.121728372848575</v>
      </c>
      <c r="U109" s="7">
        <v>1.1231343176163662</v>
      </c>
      <c r="V109" s="7">
        <v>8.2697372436026234E-2</v>
      </c>
      <c r="W109" s="7">
        <v>2.3358160723861102E-3</v>
      </c>
      <c r="X109" t="s">
        <v>189</v>
      </c>
      <c r="Y109" t="s">
        <v>190</v>
      </c>
      <c r="Z109" t="s">
        <v>191</v>
      </c>
      <c r="AA109" t="s">
        <v>265</v>
      </c>
      <c r="AB109" t="s">
        <v>92</v>
      </c>
      <c r="AC109" t="s">
        <v>181</v>
      </c>
      <c r="AD109" t="s">
        <v>181</v>
      </c>
      <c r="AE109" t="s">
        <v>1663</v>
      </c>
      <c r="AF109" t="s">
        <v>1667</v>
      </c>
      <c r="AG109" t="s">
        <v>1663</v>
      </c>
      <c r="AH109" t="s">
        <v>1235</v>
      </c>
      <c r="AI109" t="s">
        <v>42</v>
      </c>
      <c r="AJ109" t="s">
        <v>1636</v>
      </c>
      <c r="AK109" t="s">
        <v>1637</v>
      </c>
      <c r="AL109" s="4">
        <v>60</v>
      </c>
      <c r="AM109" t="s">
        <v>185</v>
      </c>
      <c r="AN109">
        <v>60</v>
      </c>
      <c r="AO109" t="s">
        <v>1665</v>
      </c>
      <c r="AP109" t="s">
        <v>1639</v>
      </c>
      <c r="AQ109" t="s">
        <v>1640</v>
      </c>
      <c r="AR109" t="s">
        <v>1666</v>
      </c>
      <c r="AS109">
        <v>1</v>
      </c>
      <c r="AT109">
        <v>0</v>
      </c>
      <c r="AU109">
        <v>0</v>
      </c>
      <c r="AV109">
        <v>1</v>
      </c>
      <c r="AW109">
        <v>0</v>
      </c>
      <c r="AX109">
        <v>0</v>
      </c>
      <c r="AY109" t="s">
        <v>1642</v>
      </c>
    </row>
    <row r="110" spans="1:51">
      <c r="A110" t="s">
        <v>181</v>
      </c>
      <c r="B110" t="s">
        <v>267</v>
      </c>
      <c r="C110" t="s">
        <v>183</v>
      </c>
      <c r="D110" t="s">
        <v>195</v>
      </c>
      <c r="E110" t="s">
        <v>96</v>
      </c>
      <c r="F110">
        <v>30</v>
      </c>
      <c r="G110" t="s">
        <v>185</v>
      </c>
      <c r="H110" t="s">
        <v>84</v>
      </c>
      <c r="I110" t="s">
        <v>186</v>
      </c>
      <c r="J110" t="s">
        <v>187</v>
      </c>
      <c r="K110" t="s">
        <v>41</v>
      </c>
      <c r="L110" t="s">
        <v>42</v>
      </c>
      <c r="M110" t="s">
        <v>188</v>
      </c>
      <c r="N110" s="7">
        <v>15.113816290020774</v>
      </c>
      <c r="O110" s="7">
        <v>0.66910124200612797</v>
      </c>
      <c r="P110" s="7">
        <v>4</v>
      </c>
      <c r="Q110" s="7">
        <v>18.719372262548585</v>
      </c>
      <c r="R110" s="7">
        <v>0.90666020645266454</v>
      </c>
      <c r="S110" s="7">
        <v>4</v>
      </c>
      <c r="T110" s="7">
        <v>1.3382024840122559</v>
      </c>
      <c r="U110" s="7">
        <v>1.8133204129053291</v>
      </c>
      <c r="V110" s="7">
        <v>0.21394962593332681</v>
      </c>
      <c r="W110" s="7">
        <v>4.3057907628213975E-3</v>
      </c>
      <c r="X110" t="s">
        <v>189</v>
      </c>
      <c r="Y110" t="s">
        <v>190</v>
      </c>
      <c r="Z110" t="s">
        <v>191</v>
      </c>
      <c r="AA110" t="s">
        <v>268</v>
      </c>
      <c r="AB110" t="s">
        <v>92</v>
      </c>
      <c r="AC110" t="s">
        <v>181</v>
      </c>
      <c r="AD110" t="s">
        <v>181</v>
      </c>
      <c r="AE110" t="s">
        <v>1668</v>
      </c>
      <c r="AF110" t="s">
        <v>1669</v>
      </c>
      <c r="AG110" t="s">
        <v>1668</v>
      </c>
      <c r="AH110" t="s">
        <v>1235</v>
      </c>
      <c r="AI110" t="s">
        <v>42</v>
      </c>
      <c r="AJ110" t="s">
        <v>1636</v>
      </c>
      <c r="AK110" t="s">
        <v>1637</v>
      </c>
      <c r="AL110" s="4">
        <v>30</v>
      </c>
      <c r="AM110" t="s">
        <v>185</v>
      </c>
      <c r="AN110">
        <v>30</v>
      </c>
      <c r="AO110" t="s">
        <v>1665</v>
      </c>
      <c r="AP110" t="s">
        <v>1639</v>
      </c>
      <c r="AQ110" t="s">
        <v>1640</v>
      </c>
      <c r="AR110" t="s">
        <v>1666</v>
      </c>
      <c r="AS110">
        <v>1</v>
      </c>
      <c r="AT110">
        <v>0</v>
      </c>
      <c r="AU110">
        <v>0</v>
      </c>
      <c r="AV110">
        <v>1</v>
      </c>
      <c r="AW110">
        <v>0</v>
      </c>
      <c r="AX110">
        <v>0</v>
      </c>
      <c r="AY110" t="s">
        <v>1642</v>
      </c>
    </row>
    <row r="111" spans="1:51">
      <c r="A111" t="s">
        <v>181</v>
      </c>
      <c r="B111" t="s">
        <v>269</v>
      </c>
      <c r="C111" t="s">
        <v>183</v>
      </c>
      <c r="D111" t="s">
        <v>195</v>
      </c>
      <c r="E111" t="s">
        <v>96</v>
      </c>
      <c r="F111">
        <v>60</v>
      </c>
      <c r="G111" t="s">
        <v>185</v>
      </c>
      <c r="H111" t="s">
        <v>84</v>
      </c>
      <c r="I111" t="s">
        <v>186</v>
      </c>
      <c r="J111" t="s">
        <v>187</v>
      </c>
      <c r="K111" t="s">
        <v>41</v>
      </c>
      <c r="L111" t="s">
        <v>42</v>
      </c>
      <c r="M111" t="s">
        <v>188</v>
      </c>
      <c r="N111" s="7">
        <v>15.113816290020774</v>
      </c>
      <c r="O111" s="7">
        <v>0.66910124200612797</v>
      </c>
      <c r="P111" s="7">
        <v>4</v>
      </c>
      <c r="Q111" s="7">
        <v>17.358678980485706</v>
      </c>
      <c r="R111" s="7">
        <v>0.45333028315272644</v>
      </c>
      <c r="S111" s="7">
        <v>4</v>
      </c>
      <c r="T111" s="7">
        <v>1.3382024840122559</v>
      </c>
      <c r="U111" s="7">
        <v>0.90666056630545289</v>
      </c>
      <c r="V111" s="7">
        <v>0.13848329917228583</v>
      </c>
      <c r="W111" s="7">
        <v>2.6419251283334687E-3</v>
      </c>
      <c r="X111" t="s">
        <v>189</v>
      </c>
      <c r="Y111" t="s">
        <v>190</v>
      </c>
      <c r="Z111" t="s">
        <v>191</v>
      </c>
      <c r="AA111" t="s">
        <v>268</v>
      </c>
      <c r="AB111" t="s">
        <v>92</v>
      </c>
      <c r="AC111" t="s">
        <v>181</v>
      </c>
      <c r="AD111" t="s">
        <v>181</v>
      </c>
      <c r="AE111" t="s">
        <v>1668</v>
      </c>
      <c r="AF111" t="s">
        <v>1670</v>
      </c>
      <c r="AG111" t="s">
        <v>1668</v>
      </c>
      <c r="AH111" t="s">
        <v>1235</v>
      </c>
      <c r="AI111" t="s">
        <v>42</v>
      </c>
      <c r="AJ111" t="s">
        <v>1636</v>
      </c>
      <c r="AK111" t="s">
        <v>1637</v>
      </c>
      <c r="AL111" s="4">
        <v>60</v>
      </c>
      <c r="AM111" t="s">
        <v>185</v>
      </c>
      <c r="AN111">
        <v>60</v>
      </c>
      <c r="AO111" t="s">
        <v>1665</v>
      </c>
      <c r="AP111" t="s">
        <v>1639</v>
      </c>
      <c r="AQ111" t="s">
        <v>1640</v>
      </c>
      <c r="AR111" t="s">
        <v>1666</v>
      </c>
      <c r="AS111">
        <v>1</v>
      </c>
      <c r="AT111">
        <v>0</v>
      </c>
      <c r="AU111">
        <v>0</v>
      </c>
      <c r="AV111">
        <v>1</v>
      </c>
      <c r="AW111">
        <v>0</v>
      </c>
      <c r="AX111">
        <v>0</v>
      </c>
      <c r="AY111" t="s">
        <v>1642</v>
      </c>
    </row>
    <row r="112" spans="1:51">
      <c r="A112" t="s">
        <v>181</v>
      </c>
      <c r="B112" t="s">
        <v>270</v>
      </c>
      <c r="C112" t="s">
        <v>183</v>
      </c>
      <c r="D112" t="s">
        <v>184</v>
      </c>
      <c r="E112" t="s">
        <v>96</v>
      </c>
      <c r="F112">
        <v>30</v>
      </c>
      <c r="G112" t="s">
        <v>185</v>
      </c>
      <c r="H112" t="s">
        <v>84</v>
      </c>
      <c r="I112" t="s">
        <v>186</v>
      </c>
      <c r="J112" t="s">
        <v>187</v>
      </c>
      <c r="K112" t="s">
        <v>41</v>
      </c>
      <c r="L112" t="s">
        <v>42</v>
      </c>
      <c r="M112" t="s">
        <v>188</v>
      </c>
      <c r="N112" s="7">
        <v>16.236950247784343</v>
      </c>
      <c r="O112" s="7">
        <v>0.45333028315272644</v>
      </c>
      <c r="P112" s="7">
        <v>4</v>
      </c>
      <c r="Q112" s="7">
        <v>20.532692675453937</v>
      </c>
      <c r="R112" s="7">
        <v>0.78788072422940647</v>
      </c>
      <c r="S112" s="7">
        <v>4</v>
      </c>
      <c r="T112" s="7">
        <v>0.90666056630545289</v>
      </c>
      <c r="U112" s="7">
        <v>1.5757614484588129</v>
      </c>
      <c r="V112" s="7">
        <v>0.23472885603968499</v>
      </c>
      <c r="W112" s="7">
        <v>2.2519192243418929E-3</v>
      </c>
      <c r="X112" t="s">
        <v>189</v>
      </c>
      <c r="Y112" t="s">
        <v>190</v>
      </c>
      <c r="Z112" t="s">
        <v>191</v>
      </c>
      <c r="AA112" t="s">
        <v>271</v>
      </c>
      <c r="AB112" t="s">
        <v>92</v>
      </c>
      <c r="AC112" t="s">
        <v>181</v>
      </c>
      <c r="AD112" t="s">
        <v>181</v>
      </c>
      <c r="AE112" t="s">
        <v>1671</v>
      </c>
      <c r="AF112" t="s">
        <v>1672</v>
      </c>
      <c r="AG112" t="s">
        <v>1671</v>
      </c>
      <c r="AH112" t="s">
        <v>1242</v>
      </c>
      <c r="AI112" t="s">
        <v>42</v>
      </c>
      <c r="AJ112" t="s">
        <v>1636</v>
      </c>
      <c r="AK112" t="s">
        <v>1637</v>
      </c>
      <c r="AL112" s="4">
        <v>30</v>
      </c>
      <c r="AM112" t="s">
        <v>185</v>
      </c>
      <c r="AN112">
        <v>30</v>
      </c>
      <c r="AO112" t="s">
        <v>1665</v>
      </c>
      <c r="AP112" t="s">
        <v>1639</v>
      </c>
      <c r="AQ112" t="s">
        <v>1640</v>
      </c>
      <c r="AR112" t="s">
        <v>1666</v>
      </c>
      <c r="AS112">
        <v>1</v>
      </c>
      <c r="AT112">
        <v>0</v>
      </c>
      <c r="AU112">
        <v>0</v>
      </c>
      <c r="AV112">
        <v>1</v>
      </c>
      <c r="AW112">
        <v>0</v>
      </c>
      <c r="AX112">
        <v>0</v>
      </c>
      <c r="AY112" t="s">
        <v>1642</v>
      </c>
    </row>
    <row r="113" spans="1:51">
      <c r="A113" t="s">
        <v>181</v>
      </c>
      <c r="B113" t="s">
        <v>272</v>
      </c>
      <c r="C113" t="s">
        <v>183</v>
      </c>
      <c r="D113" t="s">
        <v>184</v>
      </c>
      <c r="E113" t="s">
        <v>96</v>
      </c>
      <c r="F113">
        <v>60</v>
      </c>
      <c r="G113" t="s">
        <v>185</v>
      </c>
      <c r="H113" t="s">
        <v>84</v>
      </c>
      <c r="I113" t="s">
        <v>186</v>
      </c>
      <c r="J113" t="s">
        <v>187</v>
      </c>
      <c r="K113" t="s">
        <v>41</v>
      </c>
      <c r="L113" t="s">
        <v>42</v>
      </c>
      <c r="M113" t="s">
        <v>188</v>
      </c>
      <c r="N113" s="7">
        <v>16.236950247784343</v>
      </c>
      <c r="O113" s="7">
        <v>0.45333028315272644</v>
      </c>
      <c r="P113" s="7">
        <v>4</v>
      </c>
      <c r="Q113" s="7">
        <v>18.050271020542461</v>
      </c>
      <c r="R113" s="7">
        <v>0.57210958544962098</v>
      </c>
      <c r="S113" s="7">
        <v>4</v>
      </c>
      <c r="T113" s="7">
        <v>0.90666056630545289</v>
      </c>
      <c r="U113" s="7">
        <v>1.144219170899242</v>
      </c>
      <c r="V113" s="7">
        <v>0.10587117518049569</v>
      </c>
      <c r="W113" s="7">
        <v>1.7841028982606669E-3</v>
      </c>
      <c r="X113" t="s">
        <v>189</v>
      </c>
      <c r="Y113" t="s">
        <v>190</v>
      </c>
      <c r="Z113" t="s">
        <v>191</v>
      </c>
      <c r="AA113" t="s">
        <v>271</v>
      </c>
      <c r="AB113" t="s">
        <v>92</v>
      </c>
      <c r="AC113" t="s">
        <v>181</v>
      </c>
      <c r="AD113" t="s">
        <v>181</v>
      </c>
      <c r="AE113" t="s">
        <v>1671</v>
      </c>
      <c r="AF113" t="s">
        <v>1673</v>
      </c>
      <c r="AG113" t="s">
        <v>1671</v>
      </c>
      <c r="AH113" t="s">
        <v>1242</v>
      </c>
      <c r="AI113" t="s">
        <v>42</v>
      </c>
      <c r="AJ113" t="s">
        <v>1636</v>
      </c>
      <c r="AK113" t="s">
        <v>1637</v>
      </c>
      <c r="AL113" s="4">
        <v>60</v>
      </c>
      <c r="AM113" t="s">
        <v>185</v>
      </c>
      <c r="AN113">
        <v>60</v>
      </c>
      <c r="AO113" t="s">
        <v>1665</v>
      </c>
      <c r="AP113" t="s">
        <v>1639</v>
      </c>
      <c r="AQ113" t="s">
        <v>1640</v>
      </c>
      <c r="AR113" t="s">
        <v>1666</v>
      </c>
      <c r="AS113">
        <v>1</v>
      </c>
      <c r="AT113">
        <v>0</v>
      </c>
      <c r="AU113">
        <v>0</v>
      </c>
      <c r="AV113">
        <v>1</v>
      </c>
      <c r="AW113">
        <v>0</v>
      </c>
      <c r="AX113">
        <v>0</v>
      </c>
      <c r="AY113" t="s">
        <v>1642</v>
      </c>
    </row>
    <row r="114" spans="1:51">
      <c r="A114" t="s">
        <v>181</v>
      </c>
      <c r="B114" t="s">
        <v>273</v>
      </c>
      <c r="C114" t="s">
        <v>183</v>
      </c>
      <c r="D114" t="s">
        <v>195</v>
      </c>
      <c r="E114" t="s">
        <v>96</v>
      </c>
      <c r="F114">
        <v>30</v>
      </c>
      <c r="G114" t="s">
        <v>185</v>
      </c>
      <c r="H114" t="s">
        <v>84</v>
      </c>
      <c r="I114" t="s">
        <v>186</v>
      </c>
      <c r="J114" t="s">
        <v>187</v>
      </c>
      <c r="K114" t="s">
        <v>41</v>
      </c>
      <c r="L114" t="s">
        <v>42</v>
      </c>
      <c r="M114" t="s">
        <v>188</v>
      </c>
      <c r="N114" s="7">
        <v>15.330290041331667</v>
      </c>
      <c r="O114" s="7">
        <v>0.56156697888177864</v>
      </c>
      <c r="P114" s="7">
        <v>4</v>
      </c>
      <c r="Q114" s="7">
        <v>19.388473504554714</v>
      </c>
      <c r="R114" s="7">
        <v>0.45403289568381322</v>
      </c>
      <c r="S114" s="7">
        <v>4</v>
      </c>
      <c r="T114" s="7">
        <v>1.1231339577635573</v>
      </c>
      <c r="U114" s="7">
        <v>0.90806579136762644</v>
      </c>
      <c r="V114" s="7">
        <v>0.23484812768613694</v>
      </c>
      <c r="W114" s="7">
        <v>1.8902324119496263E-3</v>
      </c>
      <c r="X114" t="s">
        <v>189</v>
      </c>
      <c r="Y114" t="s">
        <v>190</v>
      </c>
      <c r="Z114" t="s">
        <v>191</v>
      </c>
      <c r="AA114" t="s">
        <v>274</v>
      </c>
      <c r="AB114" t="s">
        <v>92</v>
      </c>
      <c r="AC114" t="s">
        <v>181</v>
      </c>
      <c r="AD114" t="s">
        <v>181</v>
      </c>
      <c r="AE114" t="s">
        <v>1674</v>
      </c>
      <c r="AF114" t="s">
        <v>1675</v>
      </c>
      <c r="AG114" t="s">
        <v>1674</v>
      </c>
      <c r="AH114" t="s">
        <v>1242</v>
      </c>
      <c r="AI114" t="s">
        <v>42</v>
      </c>
      <c r="AJ114" t="s">
        <v>1636</v>
      </c>
      <c r="AK114" t="s">
        <v>1637</v>
      </c>
      <c r="AL114" s="4">
        <v>30</v>
      </c>
      <c r="AM114" t="s">
        <v>185</v>
      </c>
      <c r="AN114">
        <v>30</v>
      </c>
      <c r="AO114" t="s">
        <v>1665</v>
      </c>
      <c r="AP114" t="s">
        <v>1639</v>
      </c>
      <c r="AQ114" t="s">
        <v>1640</v>
      </c>
      <c r="AR114" t="s">
        <v>1666</v>
      </c>
      <c r="AS114">
        <v>1</v>
      </c>
      <c r="AT114">
        <v>0</v>
      </c>
      <c r="AU114">
        <v>0</v>
      </c>
      <c r="AV114">
        <v>1</v>
      </c>
      <c r="AW114">
        <v>0</v>
      </c>
      <c r="AX114">
        <v>0</v>
      </c>
      <c r="AY114" t="s">
        <v>1642</v>
      </c>
    </row>
    <row r="115" spans="1:51">
      <c r="A115" t="s">
        <v>181</v>
      </c>
      <c r="B115" t="s">
        <v>275</v>
      </c>
      <c r="C115" t="s">
        <v>183</v>
      </c>
      <c r="D115" t="s">
        <v>195</v>
      </c>
      <c r="E115" t="s">
        <v>96</v>
      </c>
      <c r="F115">
        <v>60</v>
      </c>
      <c r="G115" t="s">
        <v>185</v>
      </c>
      <c r="H115" t="s">
        <v>84</v>
      </c>
      <c r="I115" t="s">
        <v>186</v>
      </c>
      <c r="J115" t="s">
        <v>187</v>
      </c>
      <c r="K115" t="s">
        <v>41</v>
      </c>
      <c r="L115" t="s">
        <v>42</v>
      </c>
      <c r="M115" t="s">
        <v>188</v>
      </c>
      <c r="N115" s="7">
        <v>15.330290041331667</v>
      </c>
      <c r="O115" s="7">
        <v>0.56156697888177864</v>
      </c>
      <c r="P115" s="7">
        <v>4</v>
      </c>
      <c r="Q115" s="7">
        <v>17.143610454237017</v>
      </c>
      <c r="R115" s="7">
        <v>0.78858369661326122</v>
      </c>
      <c r="S115" s="7">
        <v>4</v>
      </c>
      <c r="T115" s="7">
        <v>1.1231339577635573</v>
      </c>
      <c r="U115" s="7">
        <v>1.5771673932265224</v>
      </c>
      <c r="V115" s="7">
        <v>0.11179492336830849</v>
      </c>
      <c r="W115" s="7">
        <v>3.4577249701513873E-3</v>
      </c>
      <c r="X115" t="s">
        <v>189</v>
      </c>
      <c r="Y115" t="s">
        <v>190</v>
      </c>
      <c r="Z115" t="s">
        <v>191</v>
      </c>
      <c r="AA115" t="s">
        <v>274</v>
      </c>
      <c r="AB115" t="s">
        <v>92</v>
      </c>
      <c r="AC115" t="s">
        <v>181</v>
      </c>
      <c r="AD115" t="s">
        <v>181</v>
      </c>
      <c r="AE115" t="s">
        <v>1674</v>
      </c>
      <c r="AF115" t="s">
        <v>1676</v>
      </c>
      <c r="AG115" t="s">
        <v>1674</v>
      </c>
      <c r="AH115" t="s">
        <v>1242</v>
      </c>
      <c r="AI115" t="s">
        <v>42</v>
      </c>
      <c r="AJ115" t="s">
        <v>1636</v>
      </c>
      <c r="AK115" t="s">
        <v>1637</v>
      </c>
      <c r="AL115" s="4">
        <v>60</v>
      </c>
      <c r="AM115" t="s">
        <v>185</v>
      </c>
      <c r="AN115">
        <v>60</v>
      </c>
      <c r="AO115" t="s">
        <v>1665</v>
      </c>
      <c r="AP115" t="s">
        <v>1639</v>
      </c>
      <c r="AQ115" t="s">
        <v>1640</v>
      </c>
      <c r="AR115" t="s">
        <v>1666</v>
      </c>
      <c r="AS115">
        <v>1</v>
      </c>
      <c r="AT115">
        <v>0</v>
      </c>
      <c r="AU115">
        <v>0</v>
      </c>
      <c r="AV115">
        <v>1</v>
      </c>
      <c r="AW115">
        <v>0</v>
      </c>
      <c r="AX115">
        <v>0</v>
      </c>
      <c r="AY115" t="s">
        <v>1642</v>
      </c>
    </row>
    <row r="116" spans="1:51">
      <c r="A116" t="s">
        <v>181</v>
      </c>
      <c r="B116" t="s">
        <v>276</v>
      </c>
      <c r="C116" t="s">
        <v>183</v>
      </c>
      <c r="D116" t="s">
        <v>184</v>
      </c>
      <c r="E116" t="s">
        <v>96</v>
      </c>
      <c r="F116">
        <v>30</v>
      </c>
      <c r="G116" t="s">
        <v>185</v>
      </c>
      <c r="H116" t="s">
        <v>84</v>
      </c>
      <c r="I116" t="s">
        <v>186</v>
      </c>
      <c r="J116" t="s">
        <v>187</v>
      </c>
      <c r="K116" t="s">
        <v>41</v>
      </c>
      <c r="L116" t="s">
        <v>42</v>
      </c>
      <c r="M116" t="s">
        <v>188</v>
      </c>
      <c r="N116" s="7">
        <v>16.020476496473449</v>
      </c>
      <c r="O116" s="7">
        <v>0.68034664103144105</v>
      </c>
      <c r="P116" s="7">
        <v>4</v>
      </c>
      <c r="Q116" s="7">
        <v>19.842506220312156</v>
      </c>
      <c r="R116" s="7">
        <v>0.79912612325471954</v>
      </c>
      <c r="S116" s="7">
        <v>4</v>
      </c>
      <c r="T116" s="7">
        <v>1.3606932820628821</v>
      </c>
      <c r="U116" s="7">
        <v>1.5982522465094391</v>
      </c>
      <c r="V116" s="7">
        <v>0.21395873041948901</v>
      </c>
      <c r="W116" s="7">
        <v>3.4254234810054606E-3</v>
      </c>
      <c r="X116" t="s">
        <v>189</v>
      </c>
      <c r="Y116" t="s">
        <v>190</v>
      </c>
      <c r="Z116" t="s">
        <v>191</v>
      </c>
      <c r="AA116" t="s">
        <v>277</v>
      </c>
      <c r="AB116" t="s">
        <v>92</v>
      </c>
      <c r="AC116" t="s">
        <v>181</v>
      </c>
      <c r="AD116" t="s">
        <v>181</v>
      </c>
      <c r="AE116" t="s">
        <v>1677</v>
      </c>
      <c r="AF116" t="s">
        <v>1678</v>
      </c>
      <c r="AG116" t="s">
        <v>1677</v>
      </c>
      <c r="AH116" t="s">
        <v>1243</v>
      </c>
      <c r="AI116" t="s">
        <v>42</v>
      </c>
      <c r="AJ116" t="s">
        <v>1636</v>
      </c>
      <c r="AK116" t="s">
        <v>1637</v>
      </c>
      <c r="AL116" s="4">
        <v>30</v>
      </c>
      <c r="AM116" t="s">
        <v>185</v>
      </c>
      <c r="AN116">
        <v>30</v>
      </c>
      <c r="AO116" t="s">
        <v>1665</v>
      </c>
      <c r="AP116" t="s">
        <v>1639</v>
      </c>
      <c r="AQ116" t="s">
        <v>1640</v>
      </c>
      <c r="AR116" t="s">
        <v>1666</v>
      </c>
      <c r="AS116">
        <v>1</v>
      </c>
      <c r="AT116">
        <v>0</v>
      </c>
      <c r="AU116">
        <v>0</v>
      </c>
      <c r="AV116">
        <v>1</v>
      </c>
      <c r="AW116">
        <v>0</v>
      </c>
      <c r="AX116">
        <v>0</v>
      </c>
      <c r="AY116" t="s">
        <v>1642</v>
      </c>
    </row>
    <row r="117" spans="1:51">
      <c r="A117" t="s">
        <v>181</v>
      </c>
      <c r="B117" t="s">
        <v>278</v>
      </c>
      <c r="C117" t="s">
        <v>183</v>
      </c>
      <c r="D117" t="s">
        <v>184</v>
      </c>
      <c r="E117" t="s">
        <v>96</v>
      </c>
      <c r="F117">
        <v>60</v>
      </c>
      <c r="G117" t="s">
        <v>185</v>
      </c>
      <c r="H117" t="s">
        <v>84</v>
      </c>
      <c r="I117" t="s">
        <v>186</v>
      </c>
      <c r="J117" t="s">
        <v>187</v>
      </c>
      <c r="K117" t="s">
        <v>41</v>
      </c>
      <c r="L117" t="s">
        <v>42</v>
      </c>
      <c r="M117" t="s">
        <v>188</v>
      </c>
      <c r="N117" s="7">
        <v>16.020476496473449</v>
      </c>
      <c r="O117" s="7">
        <v>0.68034664103144105</v>
      </c>
      <c r="P117" s="7">
        <v>4</v>
      </c>
      <c r="Q117" s="7">
        <v>17.812712056095911</v>
      </c>
      <c r="R117" s="7">
        <v>0.67964384857397031</v>
      </c>
      <c r="S117" s="7">
        <v>4</v>
      </c>
      <c r="T117" s="7">
        <v>1.3606932820628821</v>
      </c>
      <c r="U117" s="7">
        <v>1.3592876971479406</v>
      </c>
      <c r="V117" s="7">
        <v>0.10604467781398465</v>
      </c>
      <c r="W117" s="7">
        <v>3.2592761993223227E-3</v>
      </c>
      <c r="X117" t="s">
        <v>189</v>
      </c>
      <c r="Y117" t="s">
        <v>190</v>
      </c>
      <c r="Z117" t="s">
        <v>191</v>
      </c>
      <c r="AA117" t="s">
        <v>277</v>
      </c>
      <c r="AB117" t="s">
        <v>92</v>
      </c>
      <c r="AC117" t="s">
        <v>181</v>
      </c>
      <c r="AD117" t="s">
        <v>181</v>
      </c>
      <c r="AE117" t="s">
        <v>1677</v>
      </c>
      <c r="AF117" t="s">
        <v>1679</v>
      </c>
      <c r="AG117" t="s">
        <v>1677</v>
      </c>
      <c r="AH117" t="s">
        <v>1243</v>
      </c>
      <c r="AI117" t="s">
        <v>42</v>
      </c>
      <c r="AJ117" t="s">
        <v>1636</v>
      </c>
      <c r="AK117" t="s">
        <v>1637</v>
      </c>
      <c r="AL117" s="4">
        <v>60</v>
      </c>
      <c r="AM117" t="s">
        <v>185</v>
      </c>
      <c r="AN117">
        <v>60</v>
      </c>
      <c r="AO117" t="s">
        <v>1665</v>
      </c>
      <c r="AP117" t="s">
        <v>1639</v>
      </c>
      <c r="AQ117" t="s">
        <v>1640</v>
      </c>
      <c r="AR117" t="s">
        <v>1666</v>
      </c>
      <c r="AS117">
        <v>1</v>
      </c>
      <c r="AT117">
        <v>0</v>
      </c>
      <c r="AU117">
        <v>0</v>
      </c>
      <c r="AV117">
        <v>1</v>
      </c>
      <c r="AW117">
        <v>0</v>
      </c>
      <c r="AX117">
        <v>0</v>
      </c>
      <c r="AY117" t="s">
        <v>1642</v>
      </c>
    </row>
    <row r="118" spans="1:51">
      <c r="A118" t="s">
        <v>181</v>
      </c>
      <c r="B118" t="s">
        <v>279</v>
      </c>
      <c r="C118" t="s">
        <v>183</v>
      </c>
      <c r="D118" t="s">
        <v>195</v>
      </c>
      <c r="E118" t="s">
        <v>96</v>
      </c>
      <c r="F118">
        <v>30</v>
      </c>
      <c r="G118" t="s">
        <v>185</v>
      </c>
      <c r="H118" t="s">
        <v>84</v>
      </c>
      <c r="I118" t="s">
        <v>186</v>
      </c>
      <c r="J118" t="s">
        <v>187</v>
      </c>
      <c r="K118" t="s">
        <v>41</v>
      </c>
      <c r="L118" t="s">
        <v>42</v>
      </c>
      <c r="M118" t="s">
        <v>188</v>
      </c>
      <c r="N118" s="7">
        <v>16.474509572083655</v>
      </c>
      <c r="O118" s="7">
        <v>0.44278749665852063</v>
      </c>
      <c r="P118" s="7">
        <v>4</v>
      </c>
      <c r="Q118" s="7">
        <v>20.080065544611468</v>
      </c>
      <c r="R118" s="7">
        <v>0.89611777981122664</v>
      </c>
      <c r="S118" s="7">
        <v>4</v>
      </c>
      <c r="T118" s="7">
        <v>0.88557499331704126</v>
      </c>
      <c r="U118" s="7">
        <v>1.7922355596224533</v>
      </c>
      <c r="V118" s="7">
        <v>0.19791324705364588</v>
      </c>
      <c r="W118" s="7">
        <v>2.7139699872328494E-3</v>
      </c>
      <c r="X118" t="s">
        <v>189</v>
      </c>
      <c r="Y118" t="s">
        <v>190</v>
      </c>
      <c r="Z118" t="s">
        <v>191</v>
      </c>
      <c r="AA118" t="s">
        <v>280</v>
      </c>
      <c r="AB118" t="s">
        <v>92</v>
      </c>
      <c r="AC118" t="s">
        <v>181</v>
      </c>
      <c r="AD118" t="s">
        <v>181</v>
      </c>
      <c r="AE118" t="s">
        <v>1680</v>
      </c>
      <c r="AF118" t="s">
        <v>1681</v>
      </c>
      <c r="AG118" t="s">
        <v>1680</v>
      </c>
      <c r="AH118" t="s">
        <v>1243</v>
      </c>
      <c r="AI118" t="s">
        <v>42</v>
      </c>
      <c r="AJ118" t="s">
        <v>1636</v>
      </c>
      <c r="AK118" t="s">
        <v>1637</v>
      </c>
      <c r="AL118" s="4">
        <v>30</v>
      </c>
      <c r="AM118" t="s">
        <v>185</v>
      </c>
      <c r="AN118">
        <v>30</v>
      </c>
      <c r="AO118" t="s">
        <v>1665</v>
      </c>
      <c r="AP118" t="s">
        <v>1639</v>
      </c>
      <c r="AQ118" t="s">
        <v>1640</v>
      </c>
      <c r="AR118" t="s">
        <v>1666</v>
      </c>
      <c r="AS118">
        <v>1</v>
      </c>
      <c r="AT118">
        <v>0</v>
      </c>
      <c r="AU118">
        <v>0</v>
      </c>
      <c r="AV118">
        <v>1</v>
      </c>
      <c r="AW118">
        <v>0</v>
      </c>
      <c r="AX118">
        <v>0</v>
      </c>
      <c r="AY118" t="s">
        <v>1642</v>
      </c>
    </row>
    <row r="119" spans="1:51">
      <c r="A119" t="s">
        <v>181</v>
      </c>
      <c r="B119" t="s">
        <v>281</v>
      </c>
      <c r="C119" t="s">
        <v>183</v>
      </c>
      <c r="D119" t="s">
        <v>195</v>
      </c>
      <c r="E119" t="s">
        <v>96</v>
      </c>
      <c r="F119">
        <v>60</v>
      </c>
      <c r="G119" t="s">
        <v>185</v>
      </c>
      <c r="H119" t="s">
        <v>84</v>
      </c>
      <c r="I119" t="s">
        <v>186</v>
      </c>
      <c r="J119" t="s">
        <v>187</v>
      </c>
      <c r="K119" t="s">
        <v>41</v>
      </c>
      <c r="L119" t="s">
        <v>42</v>
      </c>
      <c r="M119" t="s">
        <v>188</v>
      </c>
      <c r="N119" s="7">
        <v>16.474509572083655</v>
      </c>
      <c r="O119" s="7">
        <v>0.44278749665852063</v>
      </c>
      <c r="P119" s="7">
        <v>4</v>
      </c>
      <c r="Q119" s="7">
        <v>17.812712056095911</v>
      </c>
      <c r="R119" s="7">
        <v>0.67964384857397031</v>
      </c>
      <c r="S119" s="7">
        <v>4</v>
      </c>
      <c r="T119" s="7">
        <v>0.88557499331704126</v>
      </c>
      <c r="U119" s="7">
        <v>1.3592876971479406</v>
      </c>
      <c r="V119" s="7">
        <v>7.8098050923203613E-2</v>
      </c>
      <c r="W119" s="7">
        <v>2.178183244640496E-3</v>
      </c>
      <c r="X119" t="s">
        <v>189</v>
      </c>
      <c r="Y119" t="s">
        <v>190</v>
      </c>
      <c r="Z119" t="s">
        <v>191</v>
      </c>
      <c r="AA119" t="s">
        <v>280</v>
      </c>
      <c r="AB119" t="s">
        <v>92</v>
      </c>
      <c r="AC119" t="s">
        <v>181</v>
      </c>
      <c r="AD119" t="s">
        <v>181</v>
      </c>
      <c r="AE119" t="s">
        <v>1680</v>
      </c>
      <c r="AF119" t="s">
        <v>1682</v>
      </c>
      <c r="AG119" t="s">
        <v>1680</v>
      </c>
      <c r="AH119" t="s">
        <v>1243</v>
      </c>
      <c r="AI119" t="s">
        <v>42</v>
      </c>
      <c r="AJ119" t="s">
        <v>1636</v>
      </c>
      <c r="AK119" t="s">
        <v>1637</v>
      </c>
      <c r="AL119" s="4">
        <v>60</v>
      </c>
      <c r="AM119" t="s">
        <v>185</v>
      </c>
      <c r="AN119">
        <v>60</v>
      </c>
      <c r="AO119" t="s">
        <v>1665</v>
      </c>
      <c r="AP119" t="s">
        <v>1639</v>
      </c>
      <c r="AQ119" t="s">
        <v>1640</v>
      </c>
      <c r="AR119" t="s">
        <v>1666</v>
      </c>
      <c r="AS119">
        <v>1</v>
      </c>
      <c r="AT119">
        <v>0</v>
      </c>
      <c r="AU119">
        <v>0</v>
      </c>
      <c r="AV119">
        <v>1</v>
      </c>
      <c r="AW119">
        <v>0</v>
      </c>
      <c r="AX119">
        <v>0</v>
      </c>
      <c r="AY119" t="s">
        <v>1642</v>
      </c>
    </row>
    <row r="120" spans="1:51">
      <c r="A120" t="s">
        <v>181</v>
      </c>
      <c r="B120" t="s">
        <v>282</v>
      </c>
      <c r="C120" t="s">
        <v>183</v>
      </c>
      <c r="D120" t="s">
        <v>184</v>
      </c>
      <c r="E120" t="s">
        <v>96</v>
      </c>
      <c r="F120">
        <v>30</v>
      </c>
      <c r="G120" t="s">
        <v>185</v>
      </c>
      <c r="H120" t="s">
        <v>84</v>
      </c>
      <c r="I120" t="s">
        <v>186</v>
      </c>
      <c r="J120" t="s">
        <v>187</v>
      </c>
      <c r="K120" t="s">
        <v>29</v>
      </c>
      <c r="L120" t="s">
        <v>42</v>
      </c>
      <c r="M120" t="s">
        <v>188</v>
      </c>
      <c r="N120" s="7">
        <v>12.008869154449576</v>
      </c>
      <c r="O120" s="7">
        <v>0.95265494867813094</v>
      </c>
      <c r="P120" s="7">
        <v>4</v>
      </c>
      <c r="Q120" s="7">
        <v>14.065816259654351</v>
      </c>
      <c r="R120" s="7">
        <v>0.95265507471414668</v>
      </c>
      <c r="S120" s="7">
        <v>4</v>
      </c>
      <c r="T120" s="7">
        <v>1.9053098973562619</v>
      </c>
      <c r="U120" s="7">
        <v>1.9053101494282934</v>
      </c>
      <c r="V120" s="7">
        <v>0.15810200207650354</v>
      </c>
      <c r="W120" s="7">
        <v>1.0880269403430731E-2</v>
      </c>
      <c r="X120" t="s">
        <v>189</v>
      </c>
      <c r="Y120" t="s">
        <v>190</v>
      </c>
      <c r="Z120" t="s">
        <v>191</v>
      </c>
      <c r="AA120" t="s">
        <v>283</v>
      </c>
      <c r="AB120" t="s">
        <v>92</v>
      </c>
      <c r="AC120" t="s">
        <v>181</v>
      </c>
      <c r="AD120" t="s">
        <v>181</v>
      </c>
      <c r="AE120" t="s">
        <v>1663</v>
      </c>
      <c r="AF120" t="s">
        <v>1664</v>
      </c>
      <c r="AG120" t="s">
        <v>1663</v>
      </c>
      <c r="AH120" t="s">
        <v>1235</v>
      </c>
      <c r="AI120" t="s">
        <v>42</v>
      </c>
      <c r="AJ120" t="s">
        <v>1636</v>
      </c>
      <c r="AK120" t="s">
        <v>1637</v>
      </c>
      <c r="AL120" s="4">
        <v>30</v>
      </c>
      <c r="AM120" t="s">
        <v>185</v>
      </c>
      <c r="AN120">
        <v>30</v>
      </c>
      <c r="AO120" t="s">
        <v>1665</v>
      </c>
      <c r="AP120" t="s">
        <v>1639</v>
      </c>
      <c r="AQ120" t="s">
        <v>1640</v>
      </c>
      <c r="AR120" t="s">
        <v>1666</v>
      </c>
      <c r="AS120">
        <v>1</v>
      </c>
      <c r="AT120">
        <v>0</v>
      </c>
      <c r="AU120">
        <v>0</v>
      </c>
      <c r="AV120">
        <v>1</v>
      </c>
      <c r="AW120">
        <v>0</v>
      </c>
      <c r="AX120">
        <v>0</v>
      </c>
      <c r="AY120" t="s">
        <v>1642</v>
      </c>
    </row>
    <row r="121" spans="1:51">
      <c r="A121" t="s">
        <v>181</v>
      </c>
      <c r="B121" t="s">
        <v>284</v>
      </c>
      <c r="C121" t="s">
        <v>183</v>
      </c>
      <c r="D121" t="s">
        <v>184</v>
      </c>
      <c r="E121" t="s">
        <v>96</v>
      </c>
      <c r="F121">
        <v>60</v>
      </c>
      <c r="G121" t="s">
        <v>185</v>
      </c>
      <c r="H121" t="s">
        <v>84</v>
      </c>
      <c r="I121" t="s">
        <v>186</v>
      </c>
      <c r="J121" t="s">
        <v>187</v>
      </c>
      <c r="K121" t="s">
        <v>29</v>
      </c>
      <c r="L121" t="s">
        <v>42</v>
      </c>
      <c r="M121" t="s">
        <v>188</v>
      </c>
      <c r="N121" s="7">
        <v>12.008869154449576</v>
      </c>
      <c r="O121" s="7">
        <v>0.95265494867813094</v>
      </c>
      <c r="P121" s="7">
        <v>4</v>
      </c>
      <c r="Q121" s="7">
        <v>13.112668888261503</v>
      </c>
      <c r="R121" s="7">
        <v>0.86994393918006363</v>
      </c>
      <c r="S121" s="7">
        <v>4</v>
      </c>
      <c r="T121" s="7">
        <v>1.9053098973562619</v>
      </c>
      <c r="U121" s="7">
        <v>1.7398878783601273</v>
      </c>
      <c r="V121" s="7">
        <v>8.7933380588111801E-2</v>
      </c>
      <c r="W121" s="7">
        <v>1.0694631059444416E-2</v>
      </c>
      <c r="X121" t="s">
        <v>189</v>
      </c>
      <c r="Y121" t="s">
        <v>190</v>
      </c>
      <c r="Z121" t="s">
        <v>191</v>
      </c>
      <c r="AA121" t="s">
        <v>283</v>
      </c>
      <c r="AB121" t="s">
        <v>92</v>
      </c>
      <c r="AC121" t="s">
        <v>181</v>
      </c>
      <c r="AD121" t="s">
        <v>181</v>
      </c>
      <c r="AE121" t="s">
        <v>1663</v>
      </c>
      <c r="AF121" t="s">
        <v>1667</v>
      </c>
      <c r="AG121" t="s">
        <v>1663</v>
      </c>
      <c r="AH121" t="s">
        <v>1235</v>
      </c>
      <c r="AI121" t="s">
        <v>42</v>
      </c>
      <c r="AJ121" t="s">
        <v>1636</v>
      </c>
      <c r="AK121" t="s">
        <v>1637</v>
      </c>
      <c r="AL121" s="4">
        <v>60</v>
      </c>
      <c r="AM121" t="s">
        <v>185</v>
      </c>
      <c r="AN121">
        <v>60</v>
      </c>
      <c r="AO121" t="s">
        <v>1665</v>
      </c>
      <c r="AP121" t="s">
        <v>1639</v>
      </c>
      <c r="AQ121" t="s">
        <v>1640</v>
      </c>
      <c r="AR121" t="s">
        <v>1666</v>
      </c>
      <c r="AS121">
        <v>1</v>
      </c>
      <c r="AT121">
        <v>0</v>
      </c>
      <c r="AU121">
        <v>0</v>
      </c>
      <c r="AV121">
        <v>1</v>
      </c>
      <c r="AW121">
        <v>0</v>
      </c>
      <c r="AX121">
        <v>0</v>
      </c>
      <c r="AY121" t="s">
        <v>1642</v>
      </c>
    </row>
    <row r="122" spans="1:51">
      <c r="A122" t="s">
        <v>181</v>
      </c>
      <c r="B122" t="s">
        <v>285</v>
      </c>
      <c r="C122" t="s">
        <v>183</v>
      </c>
      <c r="D122" t="s">
        <v>195</v>
      </c>
      <c r="E122" t="s">
        <v>96</v>
      </c>
      <c r="F122">
        <v>30</v>
      </c>
      <c r="G122" t="s">
        <v>185</v>
      </c>
      <c r="H122" t="s">
        <v>84</v>
      </c>
      <c r="I122" t="s">
        <v>186</v>
      </c>
      <c r="J122" t="s">
        <v>187</v>
      </c>
      <c r="K122" t="s">
        <v>29</v>
      </c>
      <c r="L122" t="s">
        <v>42</v>
      </c>
      <c r="M122" t="s">
        <v>188</v>
      </c>
      <c r="N122" s="7">
        <v>12.477565589142753</v>
      </c>
      <c r="O122" s="7">
        <v>1.1116771108512038</v>
      </c>
      <c r="P122" s="7">
        <v>4</v>
      </c>
      <c r="Q122" s="7">
        <v>14.065816259654351</v>
      </c>
      <c r="R122" s="7">
        <v>0.95265507471414668</v>
      </c>
      <c r="S122" s="7">
        <v>4</v>
      </c>
      <c r="T122" s="7">
        <v>2.2233542217024076</v>
      </c>
      <c r="U122" s="7">
        <v>1.9053101494282934</v>
      </c>
      <c r="V122" s="7">
        <v>0.11981519613044193</v>
      </c>
      <c r="W122" s="7">
        <v>1.2524888106662574E-2</v>
      </c>
      <c r="X122" t="s">
        <v>189</v>
      </c>
      <c r="Y122" t="s">
        <v>190</v>
      </c>
      <c r="Z122" t="s">
        <v>191</v>
      </c>
      <c r="AA122" t="s">
        <v>286</v>
      </c>
      <c r="AB122" t="s">
        <v>92</v>
      </c>
      <c r="AC122" t="s">
        <v>181</v>
      </c>
      <c r="AD122" t="s">
        <v>181</v>
      </c>
      <c r="AE122" t="s">
        <v>1668</v>
      </c>
      <c r="AF122" t="s">
        <v>1669</v>
      </c>
      <c r="AG122" t="s">
        <v>1668</v>
      </c>
      <c r="AH122" t="s">
        <v>1235</v>
      </c>
      <c r="AI122" t="s">
        <v>42</v>
      </c>
      <c r="AJ122" t="s">
        <v>1636</v>
      </c>
      <c r="AK122" t="s">
        <v>1637</v>
      </c>
      <c r="AL122" s="4">
        <v>30</v>
      </c>
      <c r="AM122" t="s">
        <v>185</v>
      </c>
      <c r="AN122">
        <v>30</v>
      </c>
      <c r="AO122" t="s">
        <v>1665</v>
      </c>
      <c r="AP122" t="s">
        <v>1639</v>
      </c>
      <c r="AQ122" t="s">
        <v>1640</v>
      </c>
      <c r="AR122" t="s">
        <v>1666</v>
      </c>
      <c r="AS122">
        <v>1</v>
      </c>
      <c r="AT122">
        <v>0</v>
      </c>
      <c r="AU122">
        <v>0</v>
      </c>
      <c r="AV122">
        <v>1</v>
      </c>
      <c r="AW122">
        <v>0</v>
      </c>
      <c r="AX122">
        <v>0</v>
      </c>
      <c r="AY122" t="s">
        <v>1642</v>
      </c>
    </row>
    <row r="123" spans="1:51">
      <c r="A123" t="s">
        <v>181</v>
      </c>
      <c r="B123" t="s">
        <v>287</v>
      </c>
      <c r="C123" t="s">
        <v>183</v>
      </c>
      <c r="D123" t="s">
        <v>195</v>
      </c>
      <c r="E123" t="s">
        <v>96</v>
      </c>
      <c r="F123">
        <v>60</v>
      </c>
      <c r="G123" t="s">
        <v>185</v>
      </c>
      <c r="H123" t="s">
        <v>84</v>
      </c>
      <c r="I123" t="s">
        <v>186</v>
      </c>
      <c r="J123" t="s">
        <v>187</v>
      </c>
      <c r="K123" t="s">
        <v>29</v>
      </c>
      <c r="L123" t="s">
        <v>42</v>
      </c>
      <c r="M123" t="s">
        <v>188</v>
      </c>
      <c r="N123" s="7">
        <v>12.477565589142753</v>
      </c>
      <c r="O123" s="7">
        <v>1.1116771108512038</v>
      </c>
      <c r="P123" s="7">
        <v>4</v>
      </c>
      <c r="Q123" s="7">
        <v>13.279075752687074</v>
      </c>
      <c r="R123" s="7">
        <v>1.103799733811927</v>
      </c>
      <c r="S123" s="7">
        <v>4</v>
      </c>
      <c r="T123" s="7">
        <v>2.2233542217024076</v>
      </c>
      <c r="U123" s="7">
        <v>2.207599467623854</v>
      </c>
      <c r="V123" s="7">
        <v>6.2257265748994851E-2</v>
      </c>
      <c r="W123" s="7">
        <v>1.4847225624992397E-2</v>
      </c>
      <c r="X123" t="s">
        <v>189</v>
      </c>
      <c r="Y123" t="s">
        <v>190</v>
      </c>
      <c r="Z123" t="s">
        <v>191</v>
      </c>
      <c r="AA123" t="s">
        <v>286</v>
      </c>
      <c r="AB123" t="s">
        <v>92</v>
      </c>
      <c r="AC123" t="s">
        <v>181</v>
      </c>
      <c r="AD123" t="s">
        <v>181</v>
      </c>
      <c r="AE123" t="s">
        <v>1668</v>
      </c>
      <c r="AF123" t="s">
        <v>1670</v>
      </c>
      <c r="AG123" t="s">
        <v>1668</v>
      </c>
      <c r="AH123" t="s">
        <v>1235</v>
      </c>
      <c r="AI123" t="s">
        <v>42</v>
      </c>
      <c r="AJ123" t="s">
        <v>1636</v>
      </c>
      <c r="AK123" t="s">
        <v>1637</v>
      </c>
      <c r="AL123" s="4">
        <v>60</v>
      </c>
      <c r="AM123" t="s">
        <v>185</v>
      </c>
      <c r="AN123">
        <v>60</v>
      </c>
      <c r="AO123" t="s">
        <v>1665</v>
      </c>
      <c r="AP123" t="s">
        <v>1639</v>
      </c>
      <c r="AQ123" t="s">
        <v>1640</v>
      </c>
      <c r="AR123" t="s">
        <v>1666</v>
      </c>
      <c r="AS123">
        <v>1</v>
      </c>
      <c r="AT123">
        <v>0</v>
      </c>
      <c r="AU123">
        <v>0</v>
      </c>
      <c r="AV123">
        <v>1</v>
      </c>
      <c r="AW123">
        <v>0</v>
      </c>
      <c r="AX123">
        <v>0</v>
      </c>
      <c r="AY123" t="s">
        <v>1642</v>
      </c>
    </row>
    <row r="124" spans="1:51">
      <c r="A124" t="s">
        <v>181</v>
      </c>
      <c r="B124" t="s">
        <v>288</v>
      </c>
      <c r="C124" t="s">
        <v>183</v>
      </c>
      <c r="D124" t="s">
        <v>184</v>
      </c>
      <c r="E124" t="s">
        <v>96</v>
      </c>
      <c r="F124">
        <v>30</v>
      </c>
      <c r="G124" t="s">
        <v>185</v>
      </c>
      <c r="H124" t="s">
        <v>84</v>
      </c>
      <c r="I124" t="s">
        <v>186</v>
      </c>
      <c r="J124" t="s">
        <v>187</v>
      </c>
      <c r="K124" t="s">
        <v>29</v>
      </c>
      <c r="L124" t="s">
        <v>42</v>
      </c>
      <c r="M124" t="s">
        <v>188</v>
      </c>
      <c r="N124" s="7">
        <v>13.279075752687074</v>
      </c>
      <c r="O124" s="7">
        <v>1.103799733811927</v>
      </c>
      <c r="P124" s="7">
        <v>4</v>
      </c>
      <c r="Q124" s="7">
        <v>15.336022857891864</v>
      </c>
      <c r="R124" s="7">
        <v>1.3381479511585161</v>
      </c>
      <c r="S124" s="7">
        <v>4</v>
      </c>
      <c r="T124" s="7">
        <v>2.207599467623854</v>
      </c>
      <c r="U124" s="7">
        <v>2.6762959023170323</v>
      </c>
      <c r="V124" s="7">
        <v>0.1440149515250036</v>
      </c>
      <c r="W124" s="7">
        <v>1.4522944500671165E-2</v>
      </c>
      <c r="X124" t="s">
        <v>189</v>
      </c>
      <c r="Y124" t="s">
        <v>190</v>
      </c>
      <c r="Z124" t="s">
        <v>191</v>
      </c>
      <c r="AA124" t="s">
        <v>289</v>
      </c>
      <c r="AB124" t="s">
        <v>92</v>
      </c>
      <c r="AC124" t="s">
        <v>181</v>
      </c>
      <c r="AD124" t="s">
        <v>181</v>
      </c>
      <c r="AE124" t="s">
        <v>1671</v>
      </c>
      <c r="AF124" t="s">
        <v>1672</v>
      </c>
      <c r="AG124" t="s">
        <v>1671</v>
      </c>
      <c r="AH124" t="s">
        <v>1242</v>
      </c>
      <c r="AI124" t="s">
        <v>42</v>
      </c>
      <c r="AJ124" t="s">
        <v>1636</v>
      </c>
      <c r="AK124" t="s">
        <v>1637</v>
      </c>
      <c r="AL124" s="4">
        <v>30</v>
      </c>
      <c r="AM124" t="s">
        <v>185</v>
      </c>
      <c r="AN124">
        <v>30</v>
      </c>
      <c r="AO124" t="s">
        <v>1665</v>
      </c>
      <c r="AP124" t="s">
        <v>1639</v>
      </c>
      <c r="AQ124" t="s">
        <v>1640</v>
      </c>
      <c r="AR124" t="s">
        <v>1666</v>
      </c>
      <c r="AS124">
        <v>1</v>
      </c>
      <c r="AT124">
        <v>0</v>
      </c>
      <c r="AU124">
        <v>0</v>
      </c>
      <c r="AV124">
        <v>1</v>
      </c>
      <c r="AW124">
        <v>0</v>
      </c>
      <c r="AX124">
        <v>0</v>
      </c>
      <c r="AY124" t="s">
        <v>1642</v>
      </c>
    </row>
    <row r="125" spans="1:51">
      <c r="A125" t="s">
        <v>181</v>
      </c>
      <c r="B125" t="s">
        <v>290</v>
      </c>
      <c r="C125" t="s">
        <v>183</v>
      </c>
      <c r="D125" t="s">
        <v>184</v>
      </c>
      <c r="E125" t="s">
        <v>96</v>
      </c>
      <c r="F125">
        <v>60</v>
      </c>
      <c r="G125" t="s">
        <v>185</v>
      </c>
      <c r="H125" t="s">
        <v>84</v>
      </c>
      <c r="I125" t="s">
        <v>186</v>
      </c>
      <c r="J125" t="s">
        <v>187</v>
      </c>
      <c r="K125" t="s">
        <v>29</v>
      </c>
      <c r="L125" t="s">
        <v>42</v>
      </c>
      <c r="M125" t="s">
        <v>188</v>
      </c>
      <c r="N125" s="7">
        <v>13.279075752687074</v>
      </c>
      <c r="O125" s="7">
        <v>1.103799733811927</v>
      </c>
      <c r="P125" s="7">
        <v>4</v>
      </c>
      <c r="Q125" s="7">
        <v>14.53451269434753</v>
      </c>
      <c r="R125" s="7">
        <v>0.94527012038960256</v>
      </c>
      <c r="S125" s="7">
        <v>4</v>
      </c>
      <c r="T125" s="7">
        <v>2.207599467623854</v>
      </c>
      <c r="U125" s="7">
        <v>1.8905402407792051</v>
      </c>
      <c r="V125" s="7">
        <v>9.0336462398044742E-2</v>
      </c>
      <c r="W125" s="7">
        <v>1.1139185280549642E-2</v>
      </c>
      <c r="X125" t="s">
        <v>189</v>
      </c>
      <c r="Y125" t="s">
        <v>190</v>
      </c>
      <c r="Z125" t="s">
        <v>191</v>
      </c>
      <c r="AA125" t="s">
        <v>289</v>
      </c>
      <c r="AB125" t="s">
        <v>92</v>
      </c>
      <c r="AC125" t="s">
        <v>181</v>
      </c>
      <c r="AD125" t="s">
        <v>181</v>
      </c>
      <c r="AE125" t="s">
        <v>1671</v>
      </c>
      <c r="AF125" t="s">
        <v>1673</v>
      </c>
      <c r="AG125" t="s">
        <v>1671</v>
      </c>
      <c r="AH125" t="s">
        <v>1242</v>
      </c>
      <c r="AI125" t="s">
        <v>42</v>
      </c>
      <c r="AJ125" t="s">
        <v>1636</v>
      </c>
      <c r="AK125" t="s">
        <v>1637</v>
      </c>
      <c r="AL125" s="4">
        <v>60</v>
      </c>
      <c r="AM125" t="s">
        <v>185</v>
      </c>
      <c r="AN125">
        <v>60</v>
      </c>
      <c r="AO125" t="s">
        <v>1665</v>
      </c>
      <c r="AP125" t="s">
        <v>1639</v>
      </c>
      <c r="AQ125" t="s">
        <v>1640</v>
      </c>
      <c r="AR125" t="s">
        <v>1666</v>
      </c>
      <c r="AS125">
        <v>1</v>
      </c>
      <c r="AT125">
        <v>0</v>
      </c>
      <c r="AU125">
        <v>0</v>
      </c>
      <c r="AV125">
        <v>1</v>
      </c>
      <c r="AW125">
        <v>0</v>
      </c>
      <c r="AX125">
        <v>0</v>
      </c>
      <c r="AY125" t="s">
        <v>1642</v>
      </c>
    </row>
    <row r="126" spans="1:51">
      <c r="A126" t="s">
        <v>181</v>
      </c>
      <c r="B126" t="s">
        <v>291</v>
      </c>
      <c r="C126" t="s">
        <v>183</v>
      </c>
      <c r="D126" t="s">
        <v>195</v>
      </c>
      <c r="E126" t="s">
        <v>96</v>
      </c>
      <c r="F126">
        <v>30</v>
      </c>
      <c r="G126" t="s">
        <v>185</v>
      </c>
      <c r="H126" t="s">
        <v>84</v>
      </c>
      <c r="I126" t="s">
        <v>186</v>
      </c>
      <c r="J126" t="s">
        <v>187</v>
      </c>
      <c r="K126" t="s">
        <v>29</v>
      </c>
      <c r="L126" t="s">
        <v>42</v>
      </c>
      <c r="M126" t="s">
        <v>188</v>
      </c>
      <c r="N126" s="7">
        <v>12.962016525842424</v>
      </c>
      <c r="O126" s="7">
        <v>0.86206668817680976</v>
      </c>
      <c r="P126" s="7">
        <v>4</v>
      </c>
      <c r="Q126" s="7">
        <v>15.017979037689811</v>
      </c>
      <c r="R126" s="7">
        <v>0.62771847083022791</v>
      </c>
      <c r="S126" s="7">
        <v>4</v>
      </c>
      <c r="T126" s="7">
        <v>1.7241333763536195</v>
      </c>
      <c r="U126" s="7">
        <v>1.2554369416604558</v>
      </c>
      <c r="V126" s="7">
        <v>0.14722481091422393</v>
      </c>
      <c r="W126" s="7">
        <v>6.1702560959629848E-3</v>
      </c>
      <c r="X126" t="s">
        <v>189</v>
      </c>
      <c r="Y126" t="s">
        <v>190</v>
      </c>
      <c r="Z126" t="s">
        <v>191</v>
      </c>
      <c r="AA126" t="s">
        <v>292</v>
      </c>
      <c r="AB126" t="s">
        <v>92</v>
      </c>
      <c r="AC126" t="s">
        <v>181</v>
      </c>
      <c r="AD126" t="s">
        <v>181</v>
      </c>
      <c r="AE126" t="s">
        <v>1674</v>
      </c>
      <c r="AF126" t="s">
        <v>1675</v>
      </c>
      <c r="AG126" t="s">
        <v>1674</v>
      </c>
      <c r="AH126" t="s">
        <v>1242</v>
      </c>
      <c r="AI126" t="s">
        <v>42</v>
      </c>
      <c r="AJ126" t="s">
        <v>1636</v>
      </c>
      <c r="AK126" t="s">
        <v>1637</v>
      </c>
      <c r="AL126" s="4">
        <v>30</v>
      </c>
      <c r="AM126" t="s">
        <v>185</v>
      </c>
      <c r="AN126">
        <v>30</v>
      </c>
      <c r="AO126" t="s">
        <v>1665</v>
      </c>
      <c r="AP126" t="s">
        <v>1639</v>
      </c>
      <c r="AQ126" t="s">
        <v>1640</v>
      </c>
      <c r="AR126" t="s">
        <v>1666</v>
      </c>
      <c r="AS126">
        <v>1</v>
      </c>
      <c r="AT126">
        <v>0</v>
      </c>
      <c r="AU126">
        <v>0</v>
      </c>
      <c r="AV126">
        <v>1</v>
      </c>
      <c r="AW126">
        <v>0</v>
      </c>
      <c r="AX126">
        <v>0</v>
      </c>
      <c r="AY126" t="s">
        <v>1642</v>
      </c>
    </row>
    <row r="127" spans="1:51">
      <c r="A127" t="s">
        <v>181</v>
      </c>
      <c r="B127" t="s">
        <v>293</v>
      </c>
      <c r="C127" t="s">
        <v>183</v>
      </c>
      <c r="D127" t="s">
        <v>195</v>
      </c>
      <c r="E127" t="s">
        <v>96</v>
      </c>
      <c r="F127">
        <v>60</v>
      </c>
      <c r="G127" t="s">
        <v>185</v>
      </c>
      <c r="H127" t="s">
        <v>84</v>
      </c>
      <c r="I127" t="s">
        <v>186</v>
      </c>
      <c r="J127" t="s">
        <v>187</v>
      </c>
      <c r="K127" t="s">
        <v>29</v>
      </c>
      <c r="L127" t="s">
        <v>42</v>
      </c>
      <c r="M127" t="s">
        <v>188</v>
      </c>
      <c r="N127" s="7">
        <v>12.962016525842424</v>
      </c>
      <c r="O127" s="7">
        <v>0.86206668817680976</v>
      </c>
      <c r="P127" s="7">
        <v>4</v>
      </c>
      <c r="Q127" s="7">
        <v>14.21646862207343</v>
      </c>
      <c r="R127" s="7">
        <v>1.0210885982778439</v>
      </c>
      <c r="S127" s="7">
        <v>4</v>
      </c>
      <c r="T127" s="7">
        <v>1.7241333763536195</v>
      </c>
      <c r="U127" s="7">
        <v>2.0421771965556879</v>
      </c>
      <c r="V127" s="7">
        <v>9.2377779770380891E-2</v>
      </c>
      <c r="W127" s="7">
        <v>9.5819371385401121E-3</v>
      </c>
      <c r="X127" t="s">
        <v>189</v>
      </c>
      <c r="Y127" t="s">
        <v>190</v>
      </c>
      <c r="Z127" t="s">
        <v>191</v>
      </c>
      <c r="AA127" t="s">
        <v>292</v>
      </c>
      <c r="AB127" t="s">
        <v>92</v>
      </c>
      <c r="AC127" t="s">
        <v>181</v>
      </c>
      <c r="AD127" t="s">
        <v>181</v>
      </c>
      <c r="AE127" t="s">
        <v>1674</v>
      </c>
      <c r="AF127" t="s">
        <v>1676</v>
      </c>
      <c r="AG127" t="s">
        <v>1674</v>
      </c>
      <c r="AH127" t="s">
        <v>1242</v>
      </c>
      <c r="AI127" t="s">
        <v>42</v>
      </c>
      <c r="AJ127" t="s">
        <v>1636</v>
      </c>
      <c r="AK127" t="s">
        <v>1637</v>
      </c>
      <c r="AL127" s="4">
        <v>60</v>
      </c>
      <c r="AM127" t="s">
        <v>185</v>
      </c>
      <c r="AN127">
        <v>60</v>
      </c>
      <c r="AO127" t="s">
        <v>1665</v>
      </c>
      <c r="AP127" t="s">
        <v>1639</v>
      </c>
      <c r="AQ127" t="s">
        <v>1640</v>
      </c>
      <c r="AR127" t="s">
        <v>1666</v>
      </c>
      <c r="AS127">
        <v>1</v>
      </c>
      <c r="AT127">
        <v>0</v>
      </c>
      <c r="AU127">
        <v>0</v>
      </c>
      <c r="AV127">
        <v>1</v>
      </c>
      <c r="AW127">
        <v>0</v>
      </c>
      <c r="AX127">
        <v>0</v>
      </c>
      <c r="AY127" t="s">
        <v>1642</v>
      </c>
    </row>
    <row r="128" spans="1:51">
      <c r="A128" t="s">
        <v>181</v>
      </c>
      <c r="B128" t="s">
        <v>294</v>
      </c>
      <c r="C128" t="s">
        <v>183</v>
      </c>
      <c r="D128" t="s">
        <v>184</v>
      </c>
      <c r="E128" t="s">
        <v>96</v>
      </c>
      <c r="F128">
        <v>30</v>
      </c>
      <c r="G128" t="s">
        <v>185</v>
      </c>
      <c r="H128" t="s">
        <v>84</v>
      </c>
      <c r="I128" t="s">
        <v>186</v>
      </c>
      <c r="J128" t="s">
        <v>187</v>
      </c>
      <c r="K128" t="s">
        <v>29</v>
      </c>
      <c r="L128" t="s">
        <v>42</v>
      </c>
      <c r="M128" t="s">
        <v>188</v>
      </c>
      <c r="N128" s="7">
        <v>11.540172719756397</v>
      </c>
      <c r="O128" s="7">
        <v>1.1042921565266526</v>
      </c>
      <c r="P128" s="7">
        <v>4</v>
      </c>
      <c r="Q128" s="7">
        <v>14.85255676662163</v>
      </c>
      <c r="R128" s="7">
        <v>1.2628217699489772</v>
      </c>
      <c r="S128" s="7">
        <v>4</v>
      </c>
      <c r="T128" s="7">
        <v>2.2085843130533052</v>
      </c>
      <c r="U128" s="7">
        <v>2.5256435398979544</v>
      </c>
      <c r="V128" s="7">
        <v>0.25233779524724415</v>
      </c>
      <c r="W128" s="7">
        <v>1.6385849659344771E-2</v>
      </c>
      <c r="X128" t="s">
        <v>189</v>
      </c>
      <c r="Y128" t="s">
        <v>190</v>
      </c>
      <c r="Z128" t="s">
        <v>191</v>
      </c>
      <c r="AA128" t="s">
        <v>295</v>
      </c>
      <c r="AB128" t="s">
        <v>92</v>
      </c>
      <c r="AC128" t="s">
        <v>181</v>
      </c>
      <c r="AD128" t="s">
        <v>181</v>
      </c>
      <c r="AE128" t="s">
        <v>1677</v>
      </c>
      <c r="AF128" t="s">
        <v>1678</v>
      </c>
      <c r="AG128" t="s">
        <v>1677</v>
      </c>
      <c r="AH128" t="s">
        <v>1243</v>
      </c>
      <c r="AI128" t="s">
        <v>42</v>
      </c>
      <c r="AJ128" t="s">
        <v>1636</v>
      </c>
      <c r="AK128" t="s">
        <v>1637</v>
      </c>
      <c r="AL128" s="4">
        <v>30</v>
      </c>
      <c r="AM128" t="s">
        <v>185</v>
      </c>
      <c r="AN128">
        <v>30</v>
      </c>
      <c r="AO128" t="s">
        <v>1665</v>
      </c>
      <c r="AP128" t="s">
        <v>1639</v>
      </c>
      <c r="AQ128" t="s">
        <v>1640</v>
      </c>
      <c r="AR128" t="s">
        <v>1666</v>
      </c>
      <c r="AS128">
        <v>1</v>
      </c>
      <c r="AT128">
        <v>0</v>
      </c>
      <c r="AU128">
        <v>0</v>
      </c>
      <c r="AV128">
        <v>1</v>
      </c>
      <c r="AW128">
        <v>0</v>
      </c>
      <c r="AX128">
        <v>0</v>
      </c>
      <c r="AY128" t="s">
        <v>1642</v>
      </c>
    </row>
    <row r="129" spans="1:51">
      <c r="A129" t="s">
        <v>181</v>
      </c>
      <c r="B129" t="s">
        <v>296</v>
      </c>
      <c r="C129" t="s">
        <v>183</v>
      </c>
      <c r="D129" t="s">
        <v>184</v>
      </c>
      <c r="E129" t="s">
        <v>96</v>
      </c>
      <c r="F129">
        <v>60</v>
      </c>
      <c r="G129" t="s">
        <v>185</v>
      </c>
      <c r="H129" t="s">
        <v>84</v>
      </c>
      <c r="I129" t="s">
        <v>186</v>
      </c>
      <c r="J129" t="s">
        <v>187</v>
      </c>
      <c r="K129" t="s">
        <v>29</v>
      </c>
      <c r="L129" t="s">
        <v>42</v>
      </c>
      <c r="M129" t="s">
        <v>188</v>
      </c>
      <c r="N129" s="7">
        <v>11.540172719756397</v>
      </c>
      <c r="O129" s="7">
        <v>1.1042921565266526</v>
      </c>
      <c r="P129" s="7">
        <v>4</v>
      </c>
      <c r="Q129" s="7">
        <v>13.279075752687074</v>
      </c>
      <c r="R129" s="7">
        <v>0.94527012038960256</v>
      </c>
      <c r="S129" s="7">
        <v>4</v>
      </c>
      <c r="T129" s="7">
        <v>2.2085843130533052</v>
      </c>
      <c r="U129" s="7">
        <v>1.8905402407792051</v>
      </c>
      <c r="V129" s="7">
        <v>0.14035531667219839</v>
      </c>
      <c r="W129" s="7">
        <v>1.4224086885694332E-2</v>
      </c>
      <c r="X129" t="s">
        <v>189</v>
      </c>
      <c r="Y129" t="s">
        <v>190</v>
      </c>
      <c r="Z129" t="s">
        <v>191</v>
      </c>
      <c r="AA129" t="s">
        <v>295</v>
      </c>
      <c r="AB129" t="s">
        <v>92</v>
      </c>
      <c r="AC129" t="s">
        <v>181</v>
      </c>
      <c r="AD129" t="s">
        <v>181</v>
      </c>
      <c r="AE129" t="s">
        <v>1677</v>
      </c>
      <c r="AF129" t="s">
        <v>1679</v>
      </c>
      <c r="AG129" t="s">
        <v>1677</v>
      </c>
      <c r="AH129" t="s">
        <v>1243</v>
      </c>
      <c r="AI129" t="s">
        <v>42</v>
      </c>
      <c r="AJ129" t="s">
        <v>1636</v>
      </c>
      <c r="AK129" t="s">
        <v>1637</v>
      </c>
      <c r="AL129" s="4">
        <v>60</v>
      </c>
      <c r="AM129" t="s">
        <v>185</v>
      </c>
      <c r="AN129">
        <v>60</v>
      </c>
      <c r="AO129" t="s">
        <v>1665</v>
      </c>
      <c r="AP129" t="s">
        <v>1639</v>
      </c>
      <c r="AQ129" t="s">
        <v>1640</v>
      </c>
      <c r="AR129" t="s">
        <v>1666</v>
      </c>
      <c r="AS129">
        <v>1</v>
      </c>
      <c r="AT129">
        <v>0</v>
      </c>
      <c r="AU129">
        <v>0</v>
      </c>
      <c r="AV129">
        <v>1</v>
      </c>
      <c r="AW129">
        <v>0</v>
      </c>
      <c r="AX129">
        <v>0</v>
      </c>
      <c r="AY129" t="s">
        <v>1642</v>
      </c>
    </row>
    <row r="130" spans="1:51">
      <c r="A130" t="s">
        <v>181</v>
      </c>
      <c r="B130" t="s">
        <v>297</v>
      </c>
      <c r="C130" t="s">
        <v>183</v>
      </c>
      <c r="D130" t="s">
        <v>195</v>
      </c>
      <c r="E130" t="s">
        <v>96</v>
      </c>
      <c r="F130">
        <v>30</v>
      </c>
      <c r="G130" t="s">
        <v>185</v>
      </c>
      <c r="H130" t="s">
        <v>84</v>
      </c>
      <c r="I130" t="s">
        <v>186</v>
      </c>
      <c r="J130" t="s">
        <v>187</v>
      </c>
      <c r="K130" t="s">
        <v>29</v>
      </c>
      <c r="L130" t="s">
        <v>42</v>
      </c>
      <c r="M130" t="s">
        <v>188</v>
      </c>
      <c r="N130" s="7">
        <v>11.857231946601047</v>
      </c>
      <c r="O130" s="7">
        <v>1.1870032920607356</v>
      </c>
      <c r="P130" s="7">
        <v>4</v>
      </c>
      <c r="Q130" s="7">
        <v>14.065816259654351</v>
      </c>
      <c r="R130" s="7">
        <v>1.1874955887394383</v>
      </c>
      <c r="S130" s="7">
        <v>4</v>
      </c>
      <c r="T130" s="7">
        <v>2.3740065841214713</v>
      </c>
      <c r="U130" s="7">
        <v>2.3749911774788766</v>
      </c>
      <c r="V130" s="7">
        <v>0.17080950278972054</v>
      </c>
      <c r="W130" s="7">
        <v>1.7149052688266584E-2</v>
      </c>
      <c r="X130" t="s">
        <v>189</v>
      </c>
      <c r="Y130" t="s">
        <v>190</v>
      </c>
      <c r="Z130" t="s">
        <v>191</v>
      </c>
      <c r="AA130" t="s">
        <v>298</v>
      </c>
      <c r="AB130" t="s">
        <v>92</v>
      </c>
      <c r="AC130" t="s">
        <v>181</v>
      </c>
      <c r="AD130" t="s">
        <v>181</v>
      </c>
      <c r="AE130" t="s">
        <v>1680</v>
      </c>
      <c r="AF130" t="s">
        <v>1681</v>
      </c>
      <c r="AG130" t="s">
        <v>1680</v>
      </c>
      <c r="AH130" t="s">
        <v>1243</v>
      </c>
      <c r="AI130" t="s">
        <v>42</v>
      </c>
      <c r="AJ130" t="s">
        <v>1636</v>
      </c>
      <c r="AK130" t="s">
        <v>1637</v>
      </c>
      <c r="AL130" s="4">
        <v>30</v>
      </c>
      <c r="AM130" t="s">
        <v>185</v>
      </c>
      <c r="AN130">
        <v>30</v>
      </c>
      <c r="AO130" t="s">
        <v>1665</v>
      </c>
      <c r="AP130" t="s">
        <v>1639</v>
      </c>
      <c r="AQ130" t="s">
        <v>1640</v>
      </c>
      <c r="AR130" t="s">
        <v>1666</v>
      </c>
      <c r="AS130">
        <v>1</v>
      </c>
      <c r="AT130">
        <v>0</v>
      </c>
      <c r="AU130">
        <v>0</v>
      </c>
      <c r="AV130">
        <v>1</v>
      </c>
      <c r="AW130">
        <v>0</v>
      </c>
      <c r="AX130">
        <v>0</v>
      </c>
      <c r="AY130" t="s">
        <v>1642</v>
      </c>
    </row>
    <row r="131" spans="1:51">
      <c r="A131" t="s">
        <v>181</v>
      </c>
      <c r="B131" t="s">
        <v>299</v>
      </c>
      <c r="C131" t="s">
        <v>183</v>
      </c>
      <c r="D131" t="s">
        <v>195</v>
      </c>
      <c r="E131" t="s">
        <v>96</v>
      </c>
      <c r="F131">
        <v>60</v>
      </c>
      <c r="G131" t="s">
        <v>185</v>
      </c>
      <c r="H131" t="s">
        <v>84</v>
      </c>
      <c r="I131" t="s">
        <v>186</v>
      </c>
      <c r="J131" t="s">
        <v>187</v>
      </c>
      <c r="K131" t="s">
        <v>29</v>
      </c>
      <c r="L131" t="s">
        <v>42</v>
      </c>
      <c r="M131" t="s">
        <v>188</v>
      </c>
      <c r="N131" s="7">
        <v>11.857231946601047</v>
      </c>
      <c r="O131" s="7">
        <v>1.1870032920607356</v>
      </c>
      <c r="P131" s="7">
        <v>4</v>
      </c>
      <c r="Q131" s="7">
        <v>13.89940939522878</v>
      </c>
      <c r="R131" s="7">
        <v>1.1116771108511967</v>
      </c>
      <c r="S131" s="7">
        <v>4</v>
      </c>
      <c r="T131" s="7">
        <v>2.3740065841214713</v>
      </c>
      <c r="U131" s="7">
        <v>2.2233542217023934</v>
      </c>
      <c r="V131" s="7">
        <v>0.1589083774002322</v>
      </c>
      <c r="W131" s="7">
        <v>1.6418430912399629E-2</v>
      </c>
      <c r="X131" t="s">
        <v>189</v>
      </c>
      <c r="Y131" t="s">
        <v>190</v>
      </c>
      <c r="Z131" t="s">
        <v>191</v>
      </c>
      <c r="AA131" t="s">
        <v>298</v>
      </c>
      <c r="AB131" t="s">
        <v>92</v>
      </c>
      <c r="AC131" t="s">
        <v>181</v>
      </c>
      <c r="AD131" t="s">
        <v>181</v>
      </c>
      <c r="AE131" t="s">
        <v>1680</v>
      </c>
      <c r="AF131" t="s">
        <v>1682</v>
      </c>
      <c r="AG131" t="s">
        <v>1680</v>
      </c>
      <c r="AH131" t="s">
        <v>1243</v>
      </c>
      <c r="AI131" t="s">
        <v>42</v>
      </c>
      <c r="AJ131" t="s">
        <v>1636</v>
      </c>
      <c r="AK131" t="s">
        <v>1637</v>
      </c>
      <c r="AL131" s="4">
        <v>60</v>
      </c>
      <c r="AM131" t="s">
        <v>185</v>
      </c>
      <c r="AN131">
        <v>60</v>
      </c>
      <c r="AO131" t="s">
        <v>1665</v>
      </c>
      <c r="AP131" t="s">
        <v>1639</v>
      </c>
      <c r="AQ131" t="s">
        <v>1640</v>
      </c>
      <c r="AR131" t="s">
        <v>1666</v>
      </c>
      <c r="AS131">
        <v>1</v>
      </c>
      <c r="AT131">
        <v>0</v>
      </c>
      <c r="AU131">
        <v>0</v>
      </c>
      <c r="AV131">
        <v>1</v>
      </c>
      <c r="AW131">
        <v>0</v>
      </c>
      <c r="AX131">
        <v>0</v>
      </c>
      <c r="AY131" t="s">
        <v>1642</v>
      </c>
    </row>
    <row r="132" spans="1:51">
      <c r="A132" t="s">
        <v>181</v>
      </c>
      <c r="B132" t="s">
        <v>300</v>
      </c>
      <c r="C132" t="s">
        <v>183</v>
      </c>
      <c r="D132" t="s">
        <v>184</v>
      </c>
      <c r="E132" t="s">
        <v>96</v>
      </c>
      <c r="F132">
        <v>30</v>
      </c>
      <c r="G132" t="s">
        <v>185</v>
      </c>
      <c r="H132" t="s">
        <v>84</v>
      </c>
      <c r="I132" t="s">
        <v>186</v>
      </c>
      <c r="J132" t="s">
        <v>187</v>
      </c>
      <c r="K132" t="s">
        <v>41</v>
      </c>
      <c r="L132" t="s">
        <v>53</v>
      </c>
      <c r="M132" t="s">
        <v>188</v>
      </c>
      <c r="N132" s="7">
        <v>3.3005836912844666</v>
      </c>
      <c r="O132" s="7">
        <v>6.44095538312318E-2</v>
      </c>
      <c r="P132" s="7">
        <v>4</v>
      </c>
      <c r="Q132" s="7">
        <v>3.953068657336841</v>
      </c>
      <c r="R132" s="7">
        <v>2.0838402383263663E-2</v>
      </c>
      <c r="S132" s="7">
        <v>4</v>
      </c>
      <c r="T132" s="7">
        <v>0.1288191076624636</v>
      </c>
      <c r="U132" s="7">
        <v>4.1676804766527326E-2</v>
      </c>
      <c r="V132" s="7">
        <v>0.1803928235982819</v>
      </c>
      <c r="W132" s="7">
        <v>4.0860759742405826E-4</v>
      </c>
      <c r="X132" t="s">
        <v>189</v>
      </c>
      <c r="Y132" t="s">
        <v>190</v>
      </c>
      <c r="Z132" t="s">
        <v>191</v>
      </c>
      <c r="AA132" t="s">
        <v>301</v>
      </c>
      <c r="AB132" t="s">
        <v>92</v>
      </c>
      <c r="AC132" t="s">
        <v>181</v>
      </c>
      <c r="AD132" t="s">
        <v>181</v>
      </c>
      <c r="AE132" t="s">
        <v>1663</v>
      </c>
      <c r="AF132" t="s">
        <v>1664</v>
      </c>
      <c r="AG132" t="s">
        <v>1663</v>
      </c>
      <c r="AH132" t="s">
        <v>1235</v>
      </c>
      <c r="AI132" t="s">
        <v>53</v>
      </c>
      <c r="AJ132" t="s">
        <v>1636</v>
      </c>
      <c r="AK132" t="s">
        <v>1637</v>
      </c>
      <c r="AL132" s="4">
        <v>30</v>
      </c>
      <c r="AM132" t="s">
        <v>185</v>
      </c>
      <c r="AN132">
        <v>30</v>
      </c>
      <c r="AO132" t="s">
        <v>1665</v>
      </c>
      <c r="AP132" t="s">
        <v>1639</v>
      </c>
      <c r="AQ132" t="s">
        <v>1640</v>
      </c>
      <c r="AR132" t="s">
        <v>1666</v>
      </c>
      <c r="AS132">
        <v>1</v>
      </c>
      <c r="AT132">
        <v>0</v>
      </c>
      <c r="AU132">
        <v>0</v>
      </c>
      <c r="AV132">
        <v>1</v>
      </c>
      <c r="AW132">
        <v>0</v>
      </c>
      <c r="AX132">
        <v>0</v>
      </c>
      <c r="AY132" t="s">
        <v>1642</v>
      </c>
    </row>
    <row r="133" spans="1:51">
      <c r="A133" t="s">
        <v>181</v>
      </c>
      <c r="B133" t="s">
        <v>302</v>
      </c>
      <c r="C133" t="s">
        <v>183</v>
      </c>
      <c r="D133" t="s">
        <v>184</v>
      </c>
      <c r="E133" t="s">
        <v>96</v>
      </c>
      <c r="F133">
        <v>60</v>
      </c>
      <c r="G133" t="s">
        <v>185</v>
      </c>
      <c r="H133" t="s">
        <v>84</v>
      </c>
      <c r="I133" t="s">
        <v>186</v>
      </c>
      <c r="J133" t="s">
        <v>187</v>
      </c>
      <c r="K133" t="s">
        <v>41</v>
      </c>
      <c r="L133" t="s">
        <v>53</v>
      </c>
      <c r="M133" t="s">
        <v>188</v>
      </c>
      <c r="N133" s="7">
        <v>3.3005836912844666</v>
      </c>
      <c r="O133" s="7">
        <v>6.44095538312318E-2</v>
      </c>
      <c r="P133" s="7">
        <v>4</v>
      </c>
      <c r="Q133" s="7">
        <v>3.4751389774144354</v>
      </c>
      <c r="R133" s="7">
        <v>0</v>
      </c>
      <c r="S133" s="7">
        <v>4</v>
      </c>
      <c r="T133" s="7">
        <v>0.1288191076624636</v>
      </c>
      <c r="U133" s="7">
        <v>0</v>
      </c>
      <c r="V133" s="7">
        <v>5.1535142739092349E-2</v>
      </c>
      <c r="W133" s="7">
        <v>3.808194160299238E-4</v>
      </c>
      <c r="X133" t="s">
        <v>189</v>
      </c>
      <c r="Y133" t="s">
        <v>190</v>
      </c>
      <c r="Z133" t="s">
        <v>191</v>
      </c>
      <c r="AA133" t="s">
        <v>301</v>
      </c>
      <c r="AB133" t="s">
        <v>92</v>
      </c>
      <c r="AC133" t="s">
        <v>181</v>
      </c>
      <c r="AD133" t="s">
        <v>181</v>
      </c>
      <c r="AE133" t="s">
        <v>1663</v>
      </c>
      <c r="AF133" t="s">
        <v>1667</v>
      </c>
      <c r="AG133" t="s">
        <v>1663</v>
      </c>
      <c r="AH133" t="s">
        <v>1235</v>
      </c>
      <c r="AI133" t="s">
        <v>53</v>
      </c>
      <c r="AJ133" t="s">
        <v>1636</v>
      </c>
      <c r="AK133" t="s">
        <v>1637</v>
      </c>
      <c r="AL133" s="4">
        <v>60</v>
      </c>
      <c r="AM133" t="s">
        <v>185</v>
      </c>
      <c r="AN133">
        <v>60</v>
      </c>
      <c r="AO133" t="s">
        <v>1665</v>
      </c>
      <c r="AP133" t="s">
        <v>1639</v>
      </c>
      <c r="AQ133" t="s">
        <v>1640</v>
      </c>
      <c r="AR133" t="s">
        <v>1666</v>
      </c>
      <c r="AS133">
        <v>1</v>
      </c>
      <c r="AT133">
        <v>0</v>
      </c>
      <c r="AU133">
        <v>0</v>
      </c>
      <c r="AV133">
        <v>1</v>
      </c>
      <c r="AW133">
        <v>0</v>
      </c>
      <c r="AX133">
        <v>0</v>
      </c>
      <c r="AY133" t="s">
        <v>1642</v>
      </c>
    </row>
    <row r="134" spans="1:51">
      <c r="A134" t="s">
        <v>181</v>
      </c>
      <c r="B134" t="s">
        <v>303</v>
      </c>
      <c r="C134" t="s">
        <v>183</v>
      </c>
      <c r="D134" t="s">
        <v>195</v>
      </c>
      <c r="E134" t="s">
        <v>96</v>
      </c>
      <c r="F134">
        <v>30</v>
      </c>
      <c r="G134" t="s">
        <v>185</v>
      </c>
      <c r="H134" t="s">
        <v>84</v>
      </c>
      <c r="I134" t="s">
        <v>186</v>
      </c>
      <c r="J134" t="s">
        <v>187</v>
      </c>
      <c r="K134" t="s">
        <v>41</v>
      </c>
      <c r="L134" t="s">
        <v>53</v>
      </c>
      <c r="M134" t="s">
        <v>188</v>
      </c>
      <c r="N134" s="7">
        <v>3.3419898157128975</v>
      </c>
      <c r="O134" s="7">
        <v>0.1101457669391733</v>
      </c>
      <c r="P134" s="7">
        <v>4</v>
      </c>
      <c r="Q134" s="7">
        <v>4.0821584453373969</v>
      </c>
      <c r="R134" s="7">
        <v>8.7277643064984464E-2</v>
      </c>
      <c r="S134" s="7">
        <v>4</v>
      </c>
      <c r="T134" s="7">
        <v>0.2202915338783466</v>
      </c>
      <c r="U134" s="7">
        <v>0.17455528612996893</v>
      </c>
      <c r="V134" s="7">
        <v>0.20005949644303175</v>
      </c>
      <c r="W134" s="7">
        <v>1.5433548422108929E-3</v>
      </c>
      <c r="X134" t="s">
        <v>189</v>
      </c>
      <c r="Y134" t="s">
        <v>190</v>
      </c>
      <c r="Z134" t="s">
        <v>191</v>
      </c>
      <c r="AA134" t="s">
        <v>304</v>
      </c>
      <c r="AB134" t="s">
        <v>92</v>
      </c>
      <c r="AC134" t="s">
        <v>181</v>
      </c>
      <c r="AD134" t="s">
        <v>181</v>
      </c>
      <c r="AE134" t="s">
        <v>1668</v>
      </c>
      <c r="AF134" t="s">
        <v>1669</v>
      </c>
      <c r="AG134" t="s">
        <v>1668</v>
      </c>
      <c r="AH134" t="s">
        <v>1235</v>
      </c>
      <c r="AI134" t="s">
        <v>53</v>
      </c>
      <c r="AJ134" t="s">
        <v>1636</v>
      </c>
      <c r="AK134" t="s">
        <v>1637</v>
      </c>
      <c r="AL134" s="4">
        <v>30</v>
      </c>
      <c r="AM134" t="s">
        <v>185</v>
      </c>
      <c r="AN134">
        <v>30</v>
      </c>
      <c r="AO134" t="s">
        <v>1665</v>
      </c>
      <c r="AP134" t="s">
        <v>1639</v>
      </c>
      <c r="AQ134" t="s">
        <v>1640</v>
      </c>
      <c r="AR134" t="s">
        <v>1666</v>
      </c>
      <c r="AS134">
        <v>1</v>
      </c>
      <c r="AT134">
        <v>0</v>
      </c>
      <c r="AU134">
        <v>0</v>
      </c>
      <c r="AV134">
        <v>1</v>
      </c>
      <c r="AW134">
        <v>0</v>
      </c>
      <c r="AX134">
        <v>0</v>
      </c>
      <c r="AY134" t="s">
        <v>1642</v>
      </c>
    </row>
    <row r="135" spans="1:51">
      <c r="A135" t="s">
        <v>181</v>
      </c>
      <c r="B135" t="s">
        <v>305</v>
      </c>
      <c r="C135" t="s">
        <v>183</v>
      </c>
      <c r="D135" t="s">
        <v>195</v>
      </c>
      <c r="E135" t="s">
        <v>96</v>
      </c>
      <c r="F135">
        <v>60</v>
      </c>
      <c r="G135" t="s">
        <v>185</v>
      </c>
      <c r="H135" t="s">
        <v>84</v>
      </c>
      <c r="I135" t="s">
        <v>186</v>
      </c>
      <c r="J135" t="s">
        <v>187</v>
      </c>
      <c r="K135" t="s">
        <v>41</v>
      </c>
      <c r="L135" t="s">
        <v>53</v>
      </c>
      <c r="M135" t="s">
        <v>188</v>
      </c>
      <c r="N135" s="7">
        <v>3.3419898157128975</v>
      </c>
      <c r="O135" s="7">
        <v>0.1101457669391733</v>
      </c>
      <c r="P135" s="7">
        <v>4</v>
      </c>
      <c r="Q135" s="7">
        <v>3.8659263544409006</v>
      </c>
      <c r="R135" s="7">
        <v>0.13098413468200079</v>
      </c>
      <c r="S135" s="7">
        <v>4</v>
      </c>
      <c r="T135" s="7">
        <v>0.2202915338783466</v>
      </c>
      <c r="U135" s="7">
        <v>0.26196826936400158</v>
      </c>
      <c r="V135" s="7">
        <v>0.14563494824943296</v>
      </c>
      <c r="W135" s="7">
        <v>2.2342081712373478E-3</v>
      </c>
      <c r="X135" t="s">
        <v>189</v>
      </c>
      <c r="Y135" t="s">
        <v>190</v>
      </c>
      <c r="Z135" t="s">
        <v>191</v>
      </c>
      <c r="AA135" t="s">
        <v>304</v>
      </c>
      <c r="AB135" t="s">
        <v>92</v>
      </c>
      <c r="AC135" t="s">
        <v>181</v>
      </c>
      <c r="AD135" t="s">
        <v>181</v>
      </c>
      <c r="AE135" t="s">
        <v>1668</v>
      </c>
      <c r="AF135" t="s">
        <v>1670</v>
      </c>
      <c r="AG135" t="s">
        <v>1668</v>
      </c>
      <c r="AH135" t="s">
        <v>1235</v>
      </c>
      <c r="AI135" t="s">
        <v>53</v>
      </c>
      <c r="AJ135" t="s">
        <v>1636</v>
      </c>
      <c r="AK135" t="s">
        <v>1637</v>
      </c>
      <c r="AL135" s="4">
        <v>60</v>
      </c>
      <c r="AM135" t="s">
        <v>185</v>
      </c>
      <c r="AN135">
        <v>60</v>
      </c>
      <c r="AO135" t="s">
        <v>1665</v>
      </c>
      <c r="AP135" t="s">
        <v>1639</v>
      </c>
      <c r="AQ135" t="s">
        <v>1640</v>
      </c>
      <c r="AR135" t="s">
        <v>1666</v>
      </c>
      <c r="AS135">
        <v>1</v>
      </c>
      <c r="AT135">
        <v>0</v>
      </c>
      <c r="AU135">
        <v>0</v>
      </c>
      <c r="AV135">
        <v>1</v>
      </c>
      <c r="AW135">
        <v>0</v>
      </c>
      <c r="AX135">
        <v>0</v>
      </c>
      <c r="AY135" t="s">
        <v>1642</v>
      </c>
    </row>
    <row r="136" spans="1:51">
      <c r="A136" t="s">
        <v>181</v>
      </c>
      <c r="B136" t="s">
        <v>306</v>
      </c>
      <c r="C136" t="s">
        <v>183</v>
      </c>
      <c r="D136" t="s">
        <v>184</v>
      </c>
      <c r="E136" t="s">
        <v>96</v>
      </c>
      <c r="F136">
        <v>30</v>
      </c>
      <c r="G136" t="s">
        <v>185</v>
      </c>
      <c r="H136" t="s">
        <v>84</v>
      </c>
      <c r="I136" t="s">
        <v>186</v>
      </c>
      <c r="J136" t="s">
        <v>187</v>
      </c>
      <c r="K136" t="s">
        <v>41</v>
      </c>
      <c r="L136" t="s">
        <v>53</v>
      </c>
      <c r="M136" t="s">
        <v>188</v>
      </c>
      <c r="N136" s="7">
        <v>3.2131707080504337</v>
      </c>
      <c r="O136" s="7">
        <v>0.1079807399196361</v>
      </c>
      <c r="P136" s="7">
        <v>4</v>
      </c>
      <c r="Q136" s="7">
        <v>3.8201901759733952</v>
      </c>
      <c r="R136" s="7">
        <v>6.6574580850769005E-2</v>
      </c>
      <c r="S136" s="7">
        <v>4</v>
      </c>
      <c r="T136" s="7">
        <v>0.21596147983927219</v>
      </c>
      <c r="U136" s="7">
        <v>0.13314916170153801</v>
      </c>
      <c r="V136" s="7">
        <v>0.17304199651975069</v>
      </c>
      <c r="W136" s="7">
        <v>1.4330422363716881E-3</v>
      </c>
      <c r="X136" t="s">
        <v>189</v>
      </c>
      <c r="Y136" t="s">
        <v>190</v>
      </c>
      <c r="Z136" t="s">
        <v>191</v>
      </c>
      <c r="AA136" t="s">
        <v>307</v>
      </c>
      <c r="AB136" t="s">
        <v>92</v>
      </c>
      <c r="AC136" t="s">
        <v>181</v>
      </c>
      <c r="AD136" t="s">
        <v>181</v>
      </c>
      <c r="AE136" t="s">
        <v>1671</v>
      </c>
      <c r="AF136" t="s">
        <v>1672</v>
      </c>
      <c r="AG136" t="s">
        <v>1671</v>
      </c>
      <c r="AH136" t="s">
        <v>1242</v>
      </c>
      <c r="AI136" t="s">
        <v>53</v>
      </c>
      <c r="AJ136" t="s">
        <v>1636</v>
      </c>
      <c r="AK136" t="s">
        <v>1637</v>
      </c>
      <c r="AL136" s="4">
        <v>30</v>
      </c>
      <c r="AM136" t="s">
        <v>185</v>
      </c>
      <c r="AN136">
        <v>30</v>
      </c>
      <c r="AO136" t="s">
        <v>1665</v>
      </c>
      <c r="AP136" t="s">
        <v>1639</v>
      </c>
      <c r="AQ136" t="s">
        <v>1640</v>
      </c>
      <c r="AR136" t="s">
        <v>1666</v>
      </c>
      <c r="AS136">
        <v>1</v>
      </c>
      <c r="AT136">
        <v>0</v>
      </c>
      <c r="AU136">
        <v>0</v>
      </c>
      <c r="AV136">
        <v>1</v>
      </c>
      <c r="AW136">
        <v>0</v>
      </c>
      <c r="AX136">
        <v>0</v>
      </c>
      <c r="AY136" t="s">
        <v>1642</v>
      </c>
    </row>
    <row r="137" spans="1:51">
      <c r="A137" t="s">
        <v>181</v>
      </c>
      <c r="B137" t="s">
        <v>308</v>
      </c>
      <c r="C137" t="s">
        <v>183</v>
      </c>
      <c r="D137" t="s">
        <v>184</v>
      </c>
      <c r="E137" t="s">
        <v>96</v>
      </c>
      <c r="F137">
        <v>60</v>
      </c>
      <c r="G137" t="s">
        <v>185</v>
      </c>
      <c r="H137" t="s">
        <v>84</v>
      </c>
      <c r="I137" t="s">
        <v>186</v>
      </c>
      <c r="J137" t="s">
        <v>187</v>
      </c>
      <c r="K137" t="s">
        <v>41</v>
      </c>
      <c r="L137" t="s">
        <v>53</v>
      </c>
      <c r="M137" t="s">
        <v>188</v>
      </c>
      <c r="N137" s="7">
        <v>3.2131707080504337</v>
      </c>
      <c r="O137" s="7">
        <v>0.1079807399196361</v>
      </c>
      <c r="P137" s="7">
        <v>4</v>
      </c>
      <c r="Q137" s="7">
        <v>3.3419898157128975</v>
      </c>
      <c r="R137" s="7">
        <v>0.10811601080781394</v>
      </c>
      <c r="S137" s="7">
        <v>4</v>
      </c>
      <c r="T137" s="7">
        <v>0.21596147983927219</v>
      </c>
      <c r="U137" s="7">
        <v>0.21623202161562788</v>
      </c>
      <c r="V137" s="7">
        <v>3.9308173659805934E-2</v>
      </c>
      <c r="W137" s="7">
        <v>2.1759143673383101E-3</v>
      </c>
      <c r="X137" t="s">
        <v>189</v>
      </c>
      <c r="Y137" t="s">
        <v>190</v>
      </c>
      <c r="Z137" t="s">
        <v>191</v>
      </c>
      <c r="AA137" t="s">
        <v>307</v>
      </c>
      <c r="AB137" t="s">
        <v>92</v>
      </c>
      <c r="AC137" t="s">
        <v>181</v>
      </c>
      <c r="AD137" t="s">
        <v>181</v>
      </c>
      <c r="AE137" t="s">
        <v>1671</v>
      </c>
      <c r="AF137" t="s">
        <v>1673</v>
      </c>
      <c r="AG137" t="s">
        <v>1671</v>
      </c>
      <c r="AH137" t="s">
        <v>1242</v>
      </c>
      <c r="AI137" t="s">
        <v>53</v>
      </c>
      <c r="AJ137" t="s">
        <v>1636</v>
      </c>
      <c r="AK137" t="s">
        <v>1637</v>
      </c>
      <c r="AL137" s="4">
        <v>60</v>
      </c>
      <c r="AM137" t="s">
        <v>185</v>
      </c>
      <c r="AN137">
        <v>60</v>
      </c>
      <c r="AO137" t="s">
        <v>1665</v>
      </c>
      <c r="AP137" t="s">
        <v>1639</v>
      </c>
      <c r="AQ137" t="s">
        <v>1640</v>
      </c>
      <c r="AR137" t="s">
        <v>1666</v>
      </c>
      <c r="AS137">
        <v>1</v>
      </c>
      <c r="AT137">
        <v>0</v>
      </c>
      <c r="AU137">
        <v>0</v>
      </c>
      <c r="AV137">
        <v>1</v>
      </c>
      <c r="AW137">
        <v>0</v>
      </c>
      <c r="AX137">
        <v>0</v>
      </c>
      <c r="AY137" t="s">
        <v>1642</v>
      </c>
    </row>
    <row r="138" spans="1:51">
      <c r="A138" t="s">
        <v>181</v>
      </c>
      <c r="B138" t="s">
        <v>309</v>
      </c>
      <c r="C138" t="s">
        <v>183</v>
      </c>
      <c r="D138" t="s">
        <v>195</v>
      </c>
      <c r="E138" t="s">
        <v>96</v>
      </c>
      <c r="F138">
        <v>30</v>
      </c>
      <c r="G138" t="s">
        <v>185</v>
      </c>
      <c r="H138" t="s">
        <v>84</v>
      </c>
      <c r="I138" t="s">
        <v>186</v>
      </c>
      <c r="J138" t="s">
        <v>187</v>
      </c>
      <c r="K138" t="s">
        <v>41</v>
      </c>
      <c r="L138" t="s">
        <v>53</v>
      </c>
      <c r="M138" t="s">
        <v>188</v>
      </c>
      <c r="N138" s="7">
        <v>3.2131707080504337</v>
      </c>
      <c r="O138" s="7">
        <v>0.23896483996120271</v>
      </c>
      <c r="P138" s="7">
        <v>4</v>
      </c>
      <c r="Q138" s="7">
        <v>3.9073324788693315</v>
      </c>
      <c r="R138" s="7">
        <v>0.10798070527920191</v>
      </c>
      <c r="S138" s="7">
        <v>4</v>
      </c>
      <c r="T138" s="7">
        <v>0.47792967992240543</v>
      </c>
      <c r="U138" s="7">
        <v>0.21596141055840382</v>
      </c>
      <c r="V138" s="7">
        <v>0.19559670155820136</v>
      </c>
      <c r="W138" s="7">
        <v>6.2946741352852701E-3</v>
      </c>
      <c r="X138" t="s">
        <v>189</v>
      </c>
      <c r="Y138" t="s">
        <v>190</v>
      </c>
      <c r="Z138" t="s">
        <v>191</v>
      </c>
      <c r="AA138" t="s">
        <v>310</v>
      </c>
      <c r="AB138" t="s">
        <v>92</v>
      </c>
      <c r="AC138" t="s">
        <v>181</v>
      </c>
      <c r="AD138" t="s">
        <v>181</v>
      </c>
      <c r="AE138" t="s">
        <v>1674</v>
      </c>
      <c r="AF138" t="s">
        <v>1675</v>
      </c>
      <c r="AG138" t="s">
        <v>1674</v>
      </c>
      <c r="AH138" t="s">
        <v>1242</v>
      </c>
      <c r="AI138" t="s">
        <v>53</v>
      </c>
      <c r="AJ138" t="s">
        <v>1636</v>
      </c>
      <c r="AK138" t="s">
        <v>1637</v>
      </c>
      <c r="AL138" s="4">
        <v>30</v>
      </c>
      <c r="AM138" t="s">
        <v>185</v>
      </c>
      <c r="AN138">
        <v>30</v>
      </c>
      <c r="AO138" t="s">
        <v>1665</v>
      </c>
      <c r="AP138" t="s">
        <v>1639</v>
      </c>
      <c r="AQ138" t="s">
        <v>1640</v>
      </c>
      <c r="AR138" t="s">
        <v>1666</v>
      </c>
      <c r="AS138">
        <v>1</v>
      </c>
      <c r="AT138">
        <v>0</v>
      </c>
      <c r="AU138">
        <v>0</v>
      </c>
      <c r="AV138">
        <v>1</v>
      </c>
      <c r="AW138">
        <v>0</v>
      </c>
      <c r="AX138">
        <v>0</v>
      </c>
      <c r="AY138" t="s">
        <v>1642</v>
      </c>
    </row>
    <row r="139" spans="1:51">
      <c r="A139" t="s">
        <v>181</v>
      </c>
      <c r="B139" t="s">
        <v>311</v>
      </c>
      <c r="C139" t="s">
        <v>183</v>
      </c>
      <c r="D139" t="s">
        <v>195</v>
      </c>
      <c r="E139" t="s">
        <v>96</v>
      </c>
      <c r="F139">
        <v>60</v>
      </c>
      <c r="G139" t="s">
        <v>185</v>
      </c>
      <c r="H139" t="s">
        <v>84</v>
      </c>
      <c r="I139" t="s">
        <v>186</v>
      </c>
      <c r="J139" t="s">
        <v>187</v>
      </c>
      <c r="K139" t="s">
        <v>41</v>
      </c>
      <c r="L139" t="s">
        <v>53</v>
      </c>
      <c r="M139" t="s">
        <v>188</v>
      </c>
      <c r="N139" s="7">
        <v>3.2131707080504337</v>
      </c>
      <c r="O139" s="7">
        <v>0.23896483996120271</v>
      </c>
      <c r="P139" s="7">
        <v>4</v>
      </c>
      <c r="Q139" s="7">
        <v>3.6913710683109318</v>
      </c>
      <c r="R139" s="7">
        <v>8.7277643064984464E-2</v>
      </c>
      <c r="S139" s="7">
        <v>4</v>
      </c>
      <c r="T139" s="7">
        <v>0.47792967992240543</v>
      </c>
      <c r="U139" s="7">
        <v>0.17455528612996893</v>
      </c>
      <c r="V139" s="7">
        <v>0.13873974312204304</v>
      </c>
      <c r="W139" s="7">
        <v>6.0899828736851007E-3</v>
      </c>
      <c r="X139" t="s">
        <v>189</v>
      </c>
      <c r="Y139" t="s">
        <v>190</v>
      </c>
      <c r="Z139" t="s">
        <v>191</v>
      </c>
      <c r="AA139" t="s">
        <v>310</v>
      </c>
      <c r="AB139" t="s">
        <v>92</v>
      </c>
      <c r="AC139" t="s">
        <v>181</v>
      </c>
      <c r="AD139" t="s">
        <v>181</v>
      </c>
      <c r="AE139" t="s">
        <v>1674</v>
      </c>
      <c r="AF139" t="s">
        <v>1676</v>
      </c>
      <c r="AG139" t="s">
        <v>1674</v>
      </c>
      <c r="AH139" t="s">
        <v>1242</v>
      </c>
      <c r="AI139" t="s">
        <v>53</v>
      </c>
      <c r="AJ139" t="s">
        <v>1636</v>
      </c>
      <c r="AK139" t="s">
        <v>1637</v>
      </c>
      <c r="AL139" s="4">
        <v>60</v>
      </c>
      <c r="AM139" t="s">
        <v>185</v>
      </c>
      <c r="AN139">
        <v>60</v>
      </c>
      <c r="AO139" t="s">
        <v>1665</v>
      </c>
      <c r="AP139" t="s">
        <v>1639</v>
      </c>
      <c r="AQ139" t="s">
        <v>1640</v>
      </c>
      <c r="AR139" t="s">
        <v>1666</v>
      </c>
      <c r="AS139">
        <v>1</v>
      </c>
      <c r="AT139">
        <v>0</v>
      </c>
      <c r="AU139">
        <v>0</v>
      </c>
      <c r="AV139">
        <v>1</v>
      </c>
      <c r="AW139">
        <v>0</v>
      </c>
      <c r="AX139">
        <v>0</v>
      </c>
      <c r="AY139" t="s">
        <v>1642</v>
      </c>
    </row>
    <row r="140" spans="1:51">
      <c r="A140" t="s">
        <v>181</v>
      </c>
      <c r="B140" t="s">
        <v>312</v>
      </c>
      <c r="C140" t="s">
        <v>183</v>
      </c>
      <c r="D140" t="s">
        <v>184</v>
      </c>
      <c r="E140" t="s">
        <v>96</v>
      </c>
      <c r="F140">
        <v>30</v>
      </c>
      <c r="G140" t="s">
        <v>185</v>
      </c>
      <c r="H140" t="s">
        <v>84</v>
      </c>
      <c r="I140" t="s">
        <v>186</v>
      </c>
      <c r="J140" t="s">
        <v>187</v>
      </c>
      <c r="K140" t="s">
        <v>41</v>
      </c>
      <c r="L140" t="s">
        <v>53</v>
      </c>
      <c r="M140" t="s">
        <v>188</v>
      </c>
      <c r="N140" s="7">
        <v>3.3005836912844666</v>
      </c>
      <c r="O140" s="7">
        <v>0.19525838298462056</v>
      </c>
      <c r="P140" s="7">
        <v>4</v>
      </c>
      <c r="Q140" s="7">
        <v>3.5168157821809589</v>
      </c>
      <c r="R140" s="7">
        <v>0.12895441319107565</v>
      </c>
      <c r="S140" s="7">
        <v>4</v>
      </c>
      <c r="T140" s="7">
        <v>0.39051676596924112</v>
      </c>
      <c r="U140" s="7">
        <v>0.25790882638215129</v>
      </c>
      <c r="V140" s="7">
        <v>6.3456643892415746E-2</v>
      </c>
      <c r="W140" s="7">
        <v>4.8442952018771376E-3</v>
      </c>
      <c r="X140" t="s">
        <v>189</v>
      </c>
      <c r="Y140" t="s">
        <v>190</v>
      </c>
      <c r="Z140" t="s">
        <v>191</v>
      </c>
      <c r="AA140" t="s">
        <v>313</v>
      </c>
      <c r="AB140" t="s">
        <v>92</v>
      </c>
      <c r="AC140" t="s">
        <v>181</v>
      </c>
      <c r="AD140" t="s">
        <v>181</v>
      </c>
      <c r="AE140" t="s">
        <v>1677</v>
      </c>
      <c r="AF140" t="s">
        <v>1678</v>
      </c>
      <c r="AG140" t="s">
        <v>1677</v>
      </c>
      <c r="AH140" t="s">
        <v>1243</v>
      </c>
      <c r="AI140" t="s">
        <v>53</v>
      </c>
      <c r="AJ140" t="s">
        <v>1636</v>
      </c>
      <c r="AK140" t="s">
        <v>1637</v>
      </c>
      <c r="AL140" s="4">
        <v>30</v>
      </c>
      <c r="AM140" t="s">
        <v>185</v>
      </c>
      <c r="AN140">
        <v>30</v>
      </c>
      <c r="AO140" t="s">
        <v>1665</v>
      </c>
      <c r="AP140" t="s">
        <v>1639</v>
      </c>
      <c r="AQ140" t="s">
        <v>1640</v>
      </c>
      <c r="AR140" t="s">
        <v>1666</v>
      </c>
      <c r="AS140">
        <v>1</v>
      </c>
      <c r="AT140">
        <v>0</v>
      </c>
      <c r="AU140">
        <v>0</v>
      </c>
      <c r="AV140">
        <v>1</v>
      </c>
      <c r="AW140">
        <v>0</v>
      </c>
      <c r="AX140">
        <v>0</v>
      </c>
      <c r="AY140" t="s">
        <v>1642</v>
      </c>
    </row>
    <row r="141" spans="1:51">
      <c r="A141" t="s">
        <v>181</v>
      </c>
      <c r="B141" t="s">
        <v>314</v>
      </c>
      <c r="C141" t="s">
        <v>183</v>
      </c>
      <c r="D141" t="s">
        <v>184</v>
      </c>
      <c r="E141" t="s">
        <v>96</v>
      </c>
      <c r="F141">
        <v>60</v>
      </c>
      <c r="G141" t="s">
        <v>185</v>
      </c>
      <c r="H141" t="s">
        <v>84</v>
      </c>
      <c r="I141" t="s">
        <v>186</v>
      </c>
      <c r="J141" t="s">
        <v>187</v>
      </c>
      <c r="K141" t="s">
        <v>41</v>
      </c>
      <c r="L141" t="s">
        <v>53</v>
      </c>
      <c r="M141" t="s">
        <v>188</v>
      </c>
      <c r="N141" s="7">
        <v>3.3005836912844666</v>
      </c>
      <c r="O141" s="7">
        <v>0.19525838298462056</v>
      </c>
      <c r="P141" s="7">
        <v>4</v>
      </c>
      <c r="Q141" s="7">
        <v>3.4751389774144354</v>
      </c>
      <c r="R141" s="7">
        <v>8.7277643064984464E-2</v>
      </c>
      <c r="S141" s="7">
        <v>4</v>
      </c>
      <c r="T141" s="7">
        <v>0.39051676596924112</v>
      </c>
      <c r="U141" s="7">
        <v>0.17455528612996893</v>
      </c>
      <c r="V141" s="7">
        <v>5.1535142739092349E-2</v>
      </c>
      <c r="W141" s="7">
        <v>4.1305132939366768E-3</v>
      </c>
      <c r="X141" t="s">
        <v>189</v>
      </c>
      <c r="Y141" t="s">
        <v>190</v>
      </c>
      <c r="Z141" t="s">
        <v>191</v>
      </c>
      <c r="AA141" t="s">
        <v>313</v>
      </c>
      <c r="AB141" t="s">
        <v>92</v>
      </c>
      <c r="AC141" t="s">
        <v>181</v>
      </c>
      <c r="AD141" t="s">
        <v>181</v>
      </c>
      <c r="AE141" t="s">
        <v>1677</v>
      </c>
      <c r="AF141" t="s">
        <v>1679</v>
      </c>
      <c r="AG141" t="s">
        <v>1677</v>
      </c>
      <c r="AH141" t="s">
        <v>1243</v>
      </c>
      <c r="AI141" t="s">
        <v>53</v>
      </c>
      <c r="AJ141" t="s">
        <v>1636</v>
      </c>
      <c r="AK141" t="s">
        <v>1637</v>
      </c>
      <c r="AL141" s="4">
        <v>60</v>
      </c>
      <c r="AM141" t="s">
        <v>185</v>
      </c>
      <c r="AN141">
        <v>60</v>
      </c>
      <c r="AO141" t="s">
        <v>1665</v>
      </c>
      <c r="AP141" t="s">
        <v>1639</v>
      </c>
      <c r="AQ141" t="s">
        <v>1640</v>
      </c>
      <c r="AR141" t="s">
        <v>1666</v>
      </c>
      <c r="AS141">
        <v>1</v>
      </c>
      <c r="AT141">
        <v>0</v>
      </c>
      <c r="AU141">
        <v>0</v>
      </c>
      <c r="AV141">
        <v>1</v>
      </c>
      <c r="AW141">
        <v>0</v>
      </c>
      <c r="AX141">
        <v>0</v>
      </c>
      <c r="AY141" t="s">
        <v>1642</v>
      </c>
    </row>
    <row r="142" spans="1:51">
      <c r="A142" t="s">
        <v>181</v>
      </c>
      <c r="B142" t="s">
        <v>315</v>
      </c>
      <c r="C142" t="s">
        <v>183</v>
      </c>
      <c r="D142" t="s">
        <v>195</v>
      </c>
      <c r="E142" t="s">
        <v>96</v>
      </c>
      <c r="F142">
        <v>30</v>
      </c>
      <c r="G142" t="s">
        <v>185</v>
      </c>
      <c r="H142" t="s">
        <v>84</v>
      </c>
      <c r="I142" t="s">
        <v>186</v>
      </c>
      <c r="J142" t="s">
        <v>187</v>
      </c>
      <c r="K142" t="s">
        <v>41</v>
      </c>
      <c r="L142" t="s">
        <v>53</v>
      </c>
      <c r="M142" t="s">
        <v>188</v>
      </c>
      <c r="N142" s="7">
        <v>3.4751389774144354</v>
      </c>
      <c r="O142" s="7">
        <v>8.7277643064984464E-2</v>
      </c>
      <c r="P142" s="7">
        <v>4</v>
      </c>
      <c r="Q142" s="7">
        <v>3.9947454621033645</v>
      </c>
      <c r="R142" s="7">
        <v>6.44095538312318E-2</v>
      </c>
      <c r="S142" s="7">
        <v>4</v>
      </c>
      <c r="T142" s="7">
        <v>0.17455528612996893</v>
      </c>
      <c r="U142" s="7">
        <v>0.1288191076624636</v>
      </c>
      <c r="V142" s="7">
        <v>0.13934539135400889</v>
      </c>
      <c r="W142" s="7">
        <v>8.9072587274821634E-4</v>
      </c>
      <c r="X142" t="s">
        <v>189</v>
      </c>
      <c r="Y142" t="s">
        <v>190</v>
      </c>
      <c r="Z142" t="s">
        <v>191</v>
      </c>
      <c r="AA142" t="s">
        <v>316</v>
      </c>
      <c r="AB142" t="s">
        <v>92</v>
      </c>
      <c r="AC142" t="s">
        <v>181</v>
      </c>
      <c r="AD142" t="s">
        <v>181</v>
      </c>
      <c r="AE142" t="s">
        <v>1680</v>
      </c>
      <c r="AF142" t="s">
        <v>1681</v>
      </c>
      <c r="AG142" t="s">
        <v>1680</v>
      </c>
      <c r="AH142" t="s">
        <v>1243</v>
      </c>
      <c r="AI142" t="s">
        <v>53</v>
      </c>
      <c r="AJ142" t="s">
        <v>1636</v>
      </c>
      <c r="AK142" t="s">
        <v>1637</v>
      </c>
      <c r="AL142" s="4">
        <v>30</v>
      </c>
      <c r="AM142" t="s">
        <v>185</v>
      </c>
      <c r="AN142">
        <v>30</v>
      </c>
      <c r="AO142" t="s">
        <v>1665</v>
      </c>
      <c r="AP142" t="s">
        <v>1639</v>
      </c>
      <c r="AQ142" t="s">
        <v>1640</v>
      </c>
      <c r="AR142" t="s">
        <v>1666</v>
      </c>
      <c r="AS142">
        <v>1</v>
      </c>
      <c r="AT142">
        <v>0</v>
      </c>
      <c r="AU142">
        <v>0</v>
      </c>
      <c r="AV142">
        <v>1</v>
      </c>
      <c r="AW142">
        <v>0</v>
      </c>
      <c r="AX142">
        <v>0</v>
      </c>
      <c r="AY142" t="s">
        <v>1642</v>
      </c>
    </row>
    <row r="143" spans="1:51">
      <c r="A143" t="s">
        <v>181</v>
      </c>
      <c r="B143" t="s">
        <v>317</v>
      </c>
      <c r="C143" t="s">
        <v>183</v>
      </c>
      <c r="D143" t="s">
        <v>195</v>
      </c>
      <c r="E143" t="s">
        <v>96</v>
      </c>
      <c r="F143">
        <v>60</v>
      </c>
      <c r="G143" t="s">
        <v>185</v>
      </c>
      <c r="H143" t="s">
        <v>84</v>
      </c>
      <c r="I143" t="s">
        <v>186</v>
      </c>
      <c r="J143" t="s">
        <v>187</v>
      </c>
      <c r="K143" t="s">
        <v>41</v>
      </c>
      <c r="L143" t="s">
        <v>53</v>
      </c>
      <c r="M143" t="s">
        <v>188</v>
      </c>
      <c r="N143" s="7">
        <v>3.4751389774144354</v>
      </c>
      <c r="O143" s="7">
        <v>8.7277643064984464E-2</v>
      </c>
      <c r="P143" s="7">
        <v>4</v>
      </c>
      <c r="Q143" s="7">
        <v>3.6913710683109318</v>
      </c>
      <c r="R143" s="7">
        <v>2.2868089233754638E-2</v>
      </c>
      <c r="S143" s="7">
        <v>4</v>
      </c>
      <c r="T143" s="7">
        <v>0.17455528612996893</v>
      </c>
      <c r="U143" s="7">
        <v>4.5736178467509277E-2</v>
      </c>
      <c r="V143" s="7">
        <v>6.0363480550215294E-2</v>
      </c>
      <c r="W143" s="7">
        <v>6.6913457518928709E-4</v>
      </c>
      <c r="X143" t="s">
        <v>189</v>
      </c>
      <c r="Y143" t="s">
        <v>190</v>
      </c>
      <c r="Z143" t="s">
        <v>191</v>
      </c>
      <c r="AA143" t="s">
        <v>316</v>
      </c>
      <c r="AB143" t="s">
        <v>92</v>
      </c>
      <c r="AC143" t="s">
        <v>181</v>
      </c>
      <c r="AD143" t="s">
        <v>181</v>
      </c>
      <c r="AE143" t="s">
        <v>1680</v>
      </c>
      <c r="AF143" t="s">
        <v>1682</v>
      </c>
      <c r="AG143" t="s">
        <v>1680</v>
      </c>
      <c r="AH143" t="s">
        <v>1243</v>
      </c>
      <c r="AI143" t="s">
        <v>53</v>
      </c>
      <c r="AJ143" t="s">
        <v>1636</v>
      </c>
      <c r="AK143" t="s">
        <v>1637</v>
      </c>
      <c r="AL143" s="4">
        <v>60</v>
      </c>
      <c r="AM143" t="s">
        <v>185</v>
      </c>
      <c r="AN143">
        <v>60</v>
      </c>
      <c r="AO143" t="s">
        <v>1665</v>
      </c>
      <c r="AP143" t="s">
        <v>1639</v>
      </c>
      <c r="AQ143" t="s">
        <v>1640</v>
      </c>
      <c r="AR143" t="s">
        <v>1666</v>
      </c>
      <c r="AS143">
        <v>1</v>
      </c>
      <c r="AT143">
        <v>0</v>
      </c>
      <c r="AU143">
        <v>0</v>
      </c>
      <c r="AV143">
        <v>1</v>
      </c>
      <c r="AW143">
        <v>0</v>
      </c>
      <c r="AX143">
        <v>0</v>
      </c>
      <c r="AY143" t="s">
        <v>1642</v>
      </c>
    </row>
    <row r="144" spans="1:51">
      <c r="A144" t="s">
        <v>181</v>
      </c>
      <c r="B144" t="s">
        <v>318</v>
      </c>
      <c r="C144" t="s">
        <v>183</v>
      </c>
      <c r="D144" t="s">
        <v>184</v>
      </c>
      <c r="E144" t="s">
        <v>96</v>
      </c>
      <c r="F144">
        <v>30</v>
      </c>
      <c r="G144" t="s">
        <v>185</v>
      </c>
      <c r="H144" t="s">
        <v>84</v>
      </c>
      <c r="I144" t="s">
        <v>186</v>
      </c>
      <c r="J144" t="s">
        <v>187</v>
      </c>
      <c r="K144" t="s">
        <v>29</v>
      </c>
      <c r="L144" t="s">
        <v>53</v>
      </c>
      <c r="M144" t="s">
        <v>188</v>
      </c>
      <c r="N144" s="7">
        <v>2.2878798850714683</v>
      </c>
      <c r="O144" s="7">
        <v>0.11399452141517927</v>
      </c>
      <c r="P144" s="7">
        <v>4</v>
      </c>
      <c r="Q144" s="7">
        <v>2.8839613090165384</v>
      </c>
      <c r="R144" s="7">
        <v>4.594019820302421E-2</v>
      </c>
      <c r="S144" s="7">
        <v>4</v>
      </c>
      <c r="T144" s="7">
        <v>0.22798904283035853</v>
      </c>
      <c r="U144" s="7">
        <v>9.188039640604842E-2</v>
      </c>
      <c r="V144" s="7">
        <v>0.23153922924037496</v>
      </c>
      <c r="W144" s="7">
        <v>2.7363205712057593E-3</v>
      </c>
      <c r="X144" t="s">
        <v>189</v>
      </c>
      <c r="Y144" t="s">
        <v>190</v>
      </c>
      <c r="Z144" t="s">
        <v>191</v>
      </c>
      <c r="AA144" t="s">
        <v>319</v>
      </c>
      <c r="AB144" t="s">
        <v>92</v>
      </c>
      <c r="AC144" t="s">
        <v>181</v>
      </c>
      <c r="AD144" t="s">
        <v>181</v>
      </c>
      <c r="AE144" t="s">
        <v>1663</v>
      </c>
      <c r="AF144" t="s">
        <v>1664</v>
      </c>
      <c r="AG144" t="s">
        <v>1663</v>
      </c>
      <c r="AH144" t="s">
        <v>1235</v>
      </c>
      <c r="AI144" t="s">
        <v>53</v>
      </c>
      <c r="AJ144" t="s">
        <v>1636</v>
      </c>
      <c r="AK144" t="s">
        <v>1637</v>
      </c>
      <c r="AL144" s="4">
        <v>30</v>
      </c>
      <c r="AM144" t="s">
        <v>185</v>
      </c>
      <c r="AN144">
        <v>30</v>
      </c>
      <c r="AO144" t="s">
        <v>1665</v>
      </c>
      <c r="AP144" t="s">
        <v>1639</v>
      </c>
      <c r="AQ144" t="s">
        <v>1640</v>
      </c>
      <c r="AR144" t="s">
        <v>1666</v>
      </c>
      <c r="AS144">
        <v>1</v>
      </c>
      <c r="AT144">
        <v>0</v>
      </c>
      <c r="AU144">
        <v>0</v>
      </c>
      <c r="AV144">
        <v>1</v>
      </c>
      <c r="AW144">
        <v>0</v>
      </c>
      <c r="AX144">
        <v>0</v>
      </c>
      <c r="AY144" t="s">
        <v>1642</v>
      </c>
    </row>
    <row r="145" spans="1:51">
      <c r="A145" t="s">
        <v>181</v>
      </c>
      <c r="B145" t="s">
        <v>320</v>
      </c>
      <c r="C145" t="s">
        <v>183</v>
      </c>
      <c r="D145" t="s">
        <v>184</v>
      </c>
      <c r="E145" t="s">
        <v>96</v>
      </c>
      <c r="F145">
        <v>60</v>
      </c>
      <c r="G145" t="s">
        <v>185</v>
      </c>
      <c r="H145" t="s">
        <v>84</v>
      </c>
      <c r="I145" t="s">
        <v>186</v>
      </c>
      <c r="J145" t="s">
        <v>187</v>
      </c>
      <c r="K145" t="s">
        <v>29</v>
      </c>
      <c r="L145" t="s">
        <v>53</v>
      </c>
      <c r="M145" t="s">
        <v>188</v>
      </c>
      <c r="N145" s="7">
        <v>2.2878798850714683</v>
      </c>
      <c r="O145" s="7">
        <v>0.11399452141517927</v>
      </c>
      <c r="P145" s="7">
        <v>4</v>
      </c>
      <c r="Q145" s="7">
        <v>2.4719260756288253</v>
      </c>
      <c r="R145" s="7">
        <v>0</v>
      </c>
      <c r="S145" s="7">
        <v>4</v>
      </c>
      <c r="T145" s="7">
        <v>0.22798904283035853</v>
      </c>
      <c r="U145" s="7">
        <v>0</v>
      </c>
      <c r="V145" s="7">
        <v>7.7372060111349145E-2</v>
      </c>
      <c r="W145" s="7">
        <v>2.4825700927007697E-3</v>
      </c>
      <c r="X145" t="s">
        <v>189</v>
      </c>
      <c r="Y145" t="s">
        <v>190</v>
      </c>
      <c r="Z145" t="s">
        <v>191</v>
      </c>
      <c r="AA145" t="s">
        <v>319</v>
      </c>
      <c r="AB145" t="s">
        <v>92</v>
      </c>
      <c r="AC145" t="s">
        <v>181</v>
      </c>
      <c r="AD145" t="s">
        <v>181</v>
      </c>
      <c r="AE145" t="s">
        <v>1663</v>
      </c>
      <c r="AF145" t="s">
        <v>1667</v>
      </c>
      <c r="AG145" t="s">
        <v>1663</v>
      </c>
      <c r="AH145" t="s">
        <v>1235</v>
      </c>
      <c r="AI145" t="s">
        <v>53</v>
      </c>
      <c r="AJ145" t="s">
        <v>1636</v>
      </c>
      <c r="AK145" t="s">
        <v>1637</v>
      </c>
      <c r="AL145" s="4">
        <v>60</v>
      </c>
      <c r="AM145" t="s">
        <v>185</v>
      </c>
      <c r="AN145">
        <v>60</v>
      </c>
      <c r="AO145" t="s">
        <v>1665</v>
      </c>
      <c r="AP145" t="s">
        <v>1639</v>
      </c>
      <c r="AQ145" t="s">
        <v>1640</v>
      </c>
      <c r="AR145" t="s">
        <v>1666</v>
      </c>
      <c r="AS145">
        <v>1</v>
      </c>
      <c r="AT145">
        <v>0</v>
      </c>
      <c r="AU145">
        <v>0</v>
      </c>
      <c r="AV145">
        <v>1</v>
      </c>
      <c r="AW145">
        <v>0</v>
      </c>
      <c r="AX145">
        <v>0</v>
      </c>
      <c r="AY145" t="s">
        <v>1642</v>
      </c>
    </row>
    <row r="146" spans="1:51">
      <c r="A146" t="s">
        <v>181</v>
      </c>
      <c r="B146" t="s">
        <v>321</v>
      </c>
      <c r="C146" t="s">
        <v>183</v>
      </c>
      <c r="D146" t="s">
        <v>195</v>
      </c>
      <c r="E146" t="s">
        <v>96</v>
      </c>
      <c r="F146">
        <v>30</v>
      </c>
      <c r="G146" t="s">
        <v>185</v>
      </c>
      <c r="H146" t="s">
        <v>84</v>
      </c>
      <c r="I146" t="s">
        <v>186</v>
      </c>
      <c r="J146" t="s">
        <v>187</v>
      </c>
      <c r="K146" t="s">
        <v>29</v>
      </c>
      <c r="L146" t="s">
        <v>53</v>
      </c>
      <c r="M146" t="s">
        <v>188</v>
      </c>
      <c r="N146" s="7">
        <v>2.6077493243078775</v>
      </c>
      <c r="O146" s="7">
        <v>0.11399452141517927</v>
      </c>
      <c r="P146" s="7">
        <v>4</v>
      </c>
      <c r="Q146" s="7">
        <v>2.971561615817286</v>
      </c>
      <c r="R146" s="7">
        <v>8.9883013952129359E-2</v>
      </c>
      <c r="S146" s="7">
        <v>4</v>
      </c>
      <c r="T146" s="7">
        <v>0.22798904283035853</v>
      </c>
      <c r="U146" s="7">
        <v>0.17976602790425872</v>
      </c>
      <c r="V146" s="7">
        <v>0.13060008973883377</v>
      </c>
      <c r="W146" s="7">
        <v>2.8258181769947699E-3</v>
      </c>
      <c r="X146" t="s">
        <v>189</v>
      </c>
      <c r="Y146" t="s">
        <v>190</v>
      </c>
      <c r="Z146" t="s">
        <v>191</v>
      </c>
      <c r="AA146" t="s">
        <v>322</v>
      </c>
      <c r="AB146" t="s">
        <v>92</v>
      </c>
      <c r="AC146" t="s">
        <v>181</v>
      </c>
      <c r="AD146" t="s">
        <v>181</v>
      </c>
      <c r="AE146" t="s">
        <v>1668</v>
      </c>
      <c r="AF146" t="s">
        <v>1669</v>
      </c>
      <c r="AG146" t="s">
        <v>1668</v>
      </c>
      <c r="AH146" t="s">
        <v>1235</v>
      </c>
      <c r="AI146" t="s">
        <v>53</v>
      </c>
      <c r="AJ146" t="s">
        <v>1636</v>
      </c>
      <c r="AK146" t="s">
        <v>1637</v>
      </c>
      <c r="AL146" s="4">
        <v>30</v>
      </c>
      <c r="AM146" t="s">
        <v>185</v>
      </c>
      <c r="AN146">
        <v>30</v>
      </c>
      <c r="AO146" t="s">
        <v>1665</v>
      </c>
      <c r="AP146" t="s">
        <v>1639</v>
      </c>
      <c r="AQ146" t="s">
        <v>1640</v>
      </c>
      <c r="AR146" t="s">
        <v>1666</v>
      </c>
      <c r="AS146">
        <v>1</v>
      </c>
      <c r="AT146">
        <v>0</v>
      </c>
      <c r="AU146">
        <v>0</v>
      </c>
      <c r="AV146">
        <v>1</v>
      </c>
      <c r="AW146">
        <v>0</v>
      </c>
      <c r="AX146">
        <v>0</v>
      </c>
      <c r="AY146" t="s">
        <v>1642</v>
      </c>
    </row>
    <row r="147" spans="1:51">
      <c r="A147" t="s">
        <v>181</v>
      </c>
      <c r="B147" t="s">
        <v>323</v>
      </c>
      <c r="C147" t="s">
        <v>183</v>
      </c>
      <c r="D147" t="s">
        <v>195</v>
      </c>
      <c r="E147" t="s">
        <v>96</v>
      </c>
      <c r="F147">
        <v>60</v>
      </c>
      <c r="G147" t="s">
        <v>185</v>
      </c>
      <c r="H147" t="s">
        <v>84</v>
      </c>
      <c r="I147" t="s">
        <v>186</v>
      </c>
      <c r="J147" t="s">
        <v>187</v>
      </c>
      <c r="K147" t="s">
        <v>29</v>
      </c>
      <c r="L147" t="s">
        <v>53</v>
      </c>
      <c r="M147" t="s">
        <v>188</v>
      </c>
      <c r="N147" s="7">
        <v>2.6077493243078775</v>
      </c>
      <c r="O147" s="7">
        <v>0.11399452141517927</v>
      </c>
      <c r="P147" s="7">
        <v>4</v>
      </c>
      <c r="Q147" s="7">
        <v>2.8839613090165384</v>
      </c>
      <c r="R147" s="7">
        <v>0.11399452141517927</v>
      </c>
      <c r="S147" s="7">
        <v>4</v>
      </c>
      <c r="T147" s="7">
        <v>0.22798904283035853</v>
      </c>
      <c r="U147" s="7">
        <v>0.22798904283035853</v>
      </c>
      <c r="V147" s="7">
        <v>0.10067728213175127</v>
      </c>
      <c r="W147" s="7">
        <v>3.4732813276981338E-3</v>
      </c>
      <c r="X147" t="s">
        <v>189</v>
      </c>
      <c r="Y147" t="s">
        <v>190</v>
      </c>
      <c r="Z147" t="s">
        <v>191</v>
      </c>
      <c r="AA147" t="s">
        <v>322</v>
      </c>
      <c r="AB147" t="s">
        <v>92</v>
      </c>
      <c r="AC147" t="s">
        <v>181</v>
      </c>
      <c r="AD147" t="s">
        <v>181</v>
      </c>
      <c r="AE147" t="s">
        <v>1668</v>
      </c>
      <c r="AF147" t="s">
        <v>1670</v>
      </c>
      <c r="AG147" t="s">
        <v>1668</v>
      </c>
      <c r="AH147" t="s">
        <v>1235</v>
      </c>
      <c r="AI147" t="s">
        <v>53</v>
      </c>
      <c r="AJ147" t="s">
        <v>1636</v>
      </c>
      <c r="AK147" t="s">
        <v>1637</v>
      </c>
      <c r="AL147" s="4">
        <v>60</v>
      </c>
      <c r="AM147" t="s">
        <v>185</v>
      </c>
      <c r="AN147">
        <v>60</v>
      </c>
      <c r="AO147" t="s">
        <v>1665</v>
      </c>
      <c r="AP147" t="s">
        <v>1639</v>
      </c>
      <c r="AQ147" t="s">
        <v>1640</v>
      </c>
      <c r="AR147" t="s">
        <v>1666</v>
      </c>
      <c r="AS147">
        <v>1</v>
      </c>
      <c r="AT147">
        <v>0</v>
      </c>
      <c r="AU147">
        <v>0</v>
      </c>
      <c r="AV147">
        <v>1</v>
      </c>
      <c r="AW147">
        <v>0</v>
      </c>
      <c r="AX147">
        <v>0</v>
      </c>
      <c r="AY147" t="s">
        <v>1642</v>
      </c>
    </row>
    <row r="148" spans="1:51">
      <c r="A148" t="s">
        <v>181</v>
      </c>
      <c r="B148" t="s">
        <v>324</v>
      </c>
      <c r="C148" t="s">
        <v>183</v>
      </c>
      <c r="D148" t="s">
        <v>184</v>
      </c>
      <c r="E148" t="s">
        <v>96</v>
      </c>
      <c r="F148">
        <v>30</v>
      </c>
      <c r="G148" t="s">
        <v>185</v>
      </c>
      <c r="H148" t="s">
        <v>84</v>
      </c>
      <c r="I148" t="s">
        <v>186</v>
      </c>
      <c r="J148" t="s">
        <v>187</v>
      </c>
      <c r="K148" t="s">
        <v>29</v>
      </c>
      <c r="L148" t="s">
        <v>53</v>
      </c>
      <c r="M148" t="s">
        <v>188</v>
      </c>
      <c r="N148" s="7">
        <v>2.195714090920164</v>
      </c>
      <c r="O148" s="7">
        <v>0.11385182254255034</v>
      </c>
      <c r="P148" s="7">
        <v>4</v>
      </c>
      <c r="Q148" s="7">
        <v>2.8357383671382337</v>
      </c>
      <c r="R148" s="7">
        <v>7.0194368014804331E-2</v>
      </c>
      <c r="S148" s="7">
        <v>4</v>
      </c>
      <c r="T148" s="7">
        <v>0.22770364508510069</v>
      </c>
      <c r="U148" s="7">
        <v>0.14038873602960866</v>
      </c>
      <c r="V148" s="7">
        <v>0.25579503045205093</v>
      </c>
      <c r="W148" s="7">
        <v>3.3013479699087953E-3</v>
      </c>
      <c r="X148" t="s">
        <v>189</v>
      </c>
      <c r="Y148" t="s">
        <v>190</v>
      </c>
      <c r="Z148" t="s">
        <v>191</v>
      </c>
      <c r="AA148" t="s">
        <v>325</v>
      </c>
      <c r="AB148" t="s">
        <v>92</v>
      </c>
      <c r="AC148" t="s">
        <v>181</v>
      </c>
      <c r="AD148" t="s">
        <v>181</v>
      </c>
      <c r="AE148" t="s">
        <v>1671</v>
      </c>
      <c r="AF148" t="s">
        <v>1672</v>
      </c>
      <c r="AG148" t="s">
        <v>1671</v>
      </c>
      <c r="AH148" t="s">
        <v>1242</v>
      </c>
      <c r="AI148" t="s">
        <v>53</v>
      </c>
      <c r="AJ148" t="s">
        <v>1636</v>
      </c>
      <c r="AK148" t="s">
        <v>1637</v>
      </c>
      <c r="AL148" s="4">
        <v>30</v>
      </c>
      <c r="AM148" t="s">
        <v>185</v>
      </c>
      <c r="AN148">
        <v>30</v>
      </c>
      <c r="AO148" t="s">
        <v>1665</v>
      </c>
      <c r="AP148" t="s">
        <v>1639</v>
      </c>
      <c r="AQ148" t="s">
        <v>1640</v>
      </c>
      <c r="AR148" t="s">
        <v>1666</v>
      </c>
      <c r="AS148">
        <v>1</v>
      </c>
      <c r="AT148">
        <v>0</v>
      </c>
      <c r="AU148">
        <v>0</v>
      </c>
      <c r="AV148">
        <v>1</v>
      </c>
      <c r="AW148">
        <v>0</v>
      </c>
      <c r="AX148">
        <v>0</v>
      </c>
      <c r="AY148" t="s">
        <v>1642</v>
      </c>
    </row>
    <row r="149" spans="1:51">
      <c r="A149" t="s">
        <v>181</v>
      </c>
      <c r="B149" t="s">
        <v>326</v>
      </c>
      <c r="C149" t="s">
        <v>183</v>
      </c>
      <c r="D149" t="s">
        <v>184</v>
      </c>
      <c r="E149" t="s">
        <v>96</v>
      </c>
      <c r="F149">
        <v>60</v>
      </c>
      <c r="G149" t="s">
        <v>185</v>
      </c>
      <c r="H149" t="s">
        <v>84</v>
      </c>
      <c r="I149" t="s">
        <v>186</v>
      </c>
      <c r="J149" t="s">
        <v>187</v>
      </c>
      <c r="K149" t="s">
        <v>29</v>
      </c>
      <c r="L149" t="s">
        <v>53</v>
      </c>
      <c r="M149" t="s">
        <v>188</v>
      </c>
      <c r="N149" s="7">
        <v>2.195714090920164</v>
      </c>
      <c r="O149" s="7">
        <v>0.11385182254255034</v>
      </c>
      <c r="P149" s="7">
        <v>4</v>
      </c>
      <c r="Q149" s="7">
        <v>2.6516921765808772</v>
      </c>
      <c r="R149" s="7">
        <v>0.11385185906644905</v>
      </c>
      <c r="S149" s="7">
        <v>4</v>
      </c>
      <c r="T149" s="7">
        <v>0.22770364508510069</v>
      </c>
      <c r="U149" s="7">
        <v>0.22770371813289811</v>
      </c>
      <c r="V149" s="7">
        <v>0.18869067362798095</v>
      </c>
      <c r="W149" s="7">
        <v>4.5320749909918056E-3</v>
      </c>
      <c r="X149" t="s">
        <v>189</v>
      </c>
      <c r="Y149" t="s">
        <v>190</v>
      </c>
      <c r="Z149" t="s">
        <v>191</v>
      </c>
      <c r="AA149" t="s">
        <v>325</v>
      </c>
      <c r="AB149" t="s">
        <v>92</v>
      </c>
      <c r="AC149" t="s">
        <v>181</v>
      </c>
      <c r="AD149" t="s">
        <v>181</v>
      </c>
      <c r="AE149" t="s">
        <v>1671</v>
      </c>
      <c r="AF149" t="s">
        <v>1673</v>
      </c>
      <c r="AG149" t="s">
        <v>1671</v>
      </c>
      <c r="AH149" t="s">
        <v>1242</v>
      </c>
      <c r="AI149" t="s">
        <v>53</v>
      </c>
      <c r="AJ149" t="s">
        <v>1636</v>
      </c>
      <c r="AK149" t="s">
        <v>1637</v>
      </c>
      <c r="AL149" s="4">
        <v>60</v>
      </c>
      <c r="AM149" t="s">
        <v>185</v>
      </c>
      <c r="AN149">
        <v>60</v>
      </c>
      <c r="AO149" t="s">
        <v>1665</v>
      </c>
      <c r="AP149" t="s">
        <v>1639</v>
      </c>
      <c r="AQ149" t="s">
        <v>1640</v>
      </c>
      <c r="AR149" t="s">
        <v>1666</v>
      </c>
      <c r="AS149">
        <v>1</v>
      </c>
      <c r="AT149">
        <v>0</v>
      </c>
      <c r="AU149">
        <v>0</v>
      </c>
      <c r="AV149">
        <v>1</v>
      </c>
      <c r="AW149">
        <v>0</v>
      </c>
      <c r="AX149">
        <v>0</v>
      </c>
      <c r="AY149" t="s">
        <v>1642</v>
      </c>
    </row>
    <row r="150" spans="1:51">
      <c r="A150" t="s">
        <v>181</v>
      </c>
      <c r="B150" t="s">
        <v>327</v>
      </c>
      <c r="C150" t="s">
        <v>183</v>
      </c>
      <c r="D150" t="s">
        <v>195</v>
      </c>
      <c r="E150" t="s">
        <v>96</v>
      </c>
      <c r="F150">
        <v>30</v>
      </c>
      <c r="G150" t="s">
        <v>185</v>
      </c>
      <c r="H150" t="s">
        <v>84</v>
      </c>
      <c r="I150" t="s">
        <v>186</v>
      </c>
      <c r="J150" t="s">
        <v>187</v>
      </c>
      <c r="K150" t="s">
        <v>29</v>
      </c>
      <c r="L150" t="s">
        <v>53</v>
      </c>
      <c r="M150" t="s">
        <v>188</v>
      </c>
      <c r="N150" s="7">
        <v>2.4237031337505206</v>
      </c>
      <c r="O150" s="7">
        <v>0.25210051376950976</v>
      </c>
      <c r="P150" s="7">
        <v>4</v>
      </c>
      <c r="Q150" s="7">
        <v>2.9276188365920839</v>
      </c>
      <c r="R150" s="7">
        <v>0.11399452141517927</v>
      </c>
      <c r="S150" s="7">
        <v>4</v>
      </c>
      <c r="T150" s="7">
        <v>0.50420102753901952</v>
      </c>
      <c r="U150" s="7">
        <v>0.22798904283035853</v>
      </c>
      <c r="V150" s="7">
        <v>0.18889281773335131</v>
      </c>
      <c r="W150" s="7">
        <v>1.2335175728301929E-2</v>
      </c>
      <c r="X150" t="s">
        <v>189</v>
      </c>
      <c r="Y150" t="s">
        <v>190</v>
      </c>
      <c r="Z150" t="s">
        <v>191</v>
      </c>
      <c r="AA150" t="s">
        <v>328</v>
      </c>
      <c r="AB150" t="s">
        <v>92</v>
      </c>
      <c r="AC150" t="s">
        <v>181</v>
      </c>
      <c r="AD150" t="s">
        <v>181</v>
      </c>
      <c r="AE150" t="s">
        <v>1674</v>
      </c>
      <c r="AF150" t="s">
        <v>1675</v>
      </c>
      <c r="AG150" t="s">
        <v>1674</v>
      </c>
      <c r="AH150" t="s">
        <v>1242</v>
      </c>
      <c r="AI150" t="s">
        <v>53</v>
      </c>
      <c r="AJ150" t="s">
        <v>1636</v>
      </c>
      <c r="AK150" t="s">
        <v>1637</v>
      </c>
      <c r="AL150" s="4">
        <v>30</v>
      </c>
      <c r="AM150" t="s">
        <v>185</v>
      </c>
      <c r="AN150">
        <v>30</v>
      </c>
      <c r="AO150" t="s">
        <v>1665</v>
      </c>
      <c r="AP150" t="s">
        <v>1639</v>
      </c>
      <c r="AQ150" t="s">
        <v>1640</v>
      </c>
      <c r="AR150" t="s">
        <v>1666</v>
      </c>
      <c r="AS150">
        <v>1</v>
      </c>
      <c r="AT150">
        <v>0</v>
      </c>
      <c r="AU150">
        <v>0</v>
      </c>
      <c r="AV150">
        <v>1</v>
      </c>
      <c r="AW150">
        <v>0</v>
      </c>
      <c r="AX150">
        <v>0</v>
      </c>
      <c r="AY150" t="s">
        <v>1642</v>
      </c>
    </row>
    <row r="151" spans="1:51">
      <c r="A151" t="s">
        <v>181</v>
      </c>
      <c r="B151" t="s">
        <v>329</v>
      </c>
      <c r="C151" t="s">
        <v>183</v>
      </c>
      <c r="D151" t="s">
        <v>195</v>
      </c>
      <c r="E151" t="s">
        <v>96</v>
      </c>
      <c r="F151">
        <v>60</v>
      </c>
      <c r="G151" t="s">
        <v>185</v>
      </c>
      <c r="H151" t="s">
        <v>84</v>
      </c>
      <c r="I151" t="s">
        <v>186</v>
      </c>
      <c r="J151" t="s">
        <v>187</v>
      </c>
      <c r="K151" t="s">
        <v>29</v>
      </c>
      <c r="L151" t="s">
        <v>53</v>
      </c>
      <c r="M151" t="s">
        <v>188</v>
      </c>
      <c r="N151" s="7">
        <v>2.4237031337505206</v>
      </c>
      <c r="O151" s="7">
        <v>0.25210051376950976</v>
      </c>
      <c r="P151" s="7">
        <v>4</v>
      </c>
      <c r="Q151" s="7">
        <v>2.6999151184591814</v>
      </c>
      <c r="R151" s="7">
        <v>9.2023095278677344E-2</v>
      </c>
      <c r="S151" s="7">
        <v>4</v>
      </c>
      <c r="T151" s="7">
        <v>0.50420102753901952</v>
      </c>
      <c r="U151" s="7">
        <v>0.18404619055735469</v>
      </c>
      <c r="V151" s="7">
        <v>0.10792374377621128</v>
      </c>
      <c r="W151" s="7">
        <v>1.1980735731289051E-2</v>
      </c>
      <c r="X151" t="s">
        <v>189</v>
      </c>
      <c r="Y151" t="s">
        <v>190</v>
      </c>
      <c r="Z151" t="s">
        <v>191</v>
      </c>
      <c r="AA151" t="s">
        <v>328</v>
      </c>
      <c r="AB151" t="s">
        <v>92</v>
      </c>
      <c r="AC151" t="s">
        <v>181</v>
      </c>
      <c r="AD151" t="s">
        <v>181</v>
      </c>
      <c r="AE151" t="s">
        <v>1674</v>
      </c>
      <c r="AF151" t="s">
        <v>1676</v>
      </c>
      <c r="AG151" t="s">
        <v>1674</v>
      </c>
      <c r="AH151" t="s">
        <v>1242</v>
      </c>
      <c r="AI151" t="s">
        <v>53</v>
      </c>
      <c r="AJ151" t="s">
        <v>1636</v>
      </c>
      <c r="AK151" t="s">
        <v>1637</v>
      </c>
      <c r="AL151" s="4">
        <v>60</v>
      </c>
      <c r="AM151" t="s">
        <v>185</v>
      </c>
      <c r="AN151">
        <v>60</v>
      </c>
      <c r="AO151" t="s">
        <v>1665</v>
      </c>
      <c r="AP151" t="s">
        <v>1639</v>
      </c>
      <c r="AQ151" t="s">
        <v>1640</v>
      </c>
      <c r="AR151" t="s">
        <v>1666</v>
      </c>
      <c r="AS151">
        <v>1</v>
      </c>
      <c r="AT151">
        <v>0</v>
      </c>
      <c r="AU151">
        <v>0</v>
      </c>
      <c r="AV151">
        <v>1</v>
      </c>
      <c r="AW151">
        <v>0</v>
      </c>
      <c r="AX151">
        <v>0</v>
      </c>
      <c r="AY151" t="s">
        <v>1642</v>
      </c>
    </row>
    <row r="152" spans="1:51">
      <c r="A152" t="s">
        <v>181</v>
      </c>
      <c r="B152" t="s">
        <v>330</v>
      </c>
      <c r="C152" t="s">
        <v>183</v>
      </c>
      <c r="D152" t="s">
        <v>184</v>
      </c>
      <c r="E152" t="s">
        <v>96</v>
      </c>
      <c r="F152">
        <v>30</v>
      </c>
      <c r="G152" t="s">
        <v>185</v>
      </c>
      <c r="H152" t="s">
        <v>84</v>
      </c>
      <c r="I152" t="s">
        <v>186</v>
      </c>
      <c r="J152" t="s">
        <v>187</v>
      </c>
      <c r="K152" t="s">
        <v>29</v>
      </c>
      <c r="L152" t="s">
        <v>53</v>
      </c>
      <c r="M152" t="s">
        <v>188</v>
      </c>
      <c r="N152" s="7">
        <v>2.3318227373444764</v>
      </c>
      <c r="O152" s="7">
        <v>0.18418885290608489</v>
      </c>
      <c r="P152" s="7">
        <v>4</v>
      </c>
      <c r="Q152" s="7">
        <v>2.9276188365920839</v>
      </c>
      <c r="R152" s="7">
        <v>0.11399452141517927</v>
      </c>
      <c r="S152" s="7">
        <v>4</v>
      </c>
      <c r="T152" s="7">
        <v>0.36837770581216978</v>
      </c>
      <c r="U152" s="7">
        <v>0.22798904283035853</v>
      </c>
      <c r="V152" s="7">
        <v>0.22753915641203376</v>
      </c>
      <c r="W152" s="7">
        <v>7.7554350109140437E-3</v>
      </c>
      <c r="X152" t="s">
        <v>189</v>
      </c>
      <c r="Y152" t="s">
        <v>190</v>
      </c>
      <c r="Z152" t="s">
        <v>191</v>
      </c>
      <c r="AA152" t="s">
        <v>331</v>
      </c>
      <c r="AB152" t="s">
        <v>92</v>
      </c>
      <c r="AC152" t="s">
        <v>181</v>
      </c>
      <c r="AD152" t="s">
        <v>181</v>
      </c>
      <c r="AE152" t="s">
        <v>1677</v>
      </c>
      <c r="AF152" t="s">
        <v>1678</v>
      </c>
      <c r="AG152" t="s">
        <v>1677</v>
      </c>
      <c r="AH152" t="s">
        <v>1243</v>
      </c>
      <c r="AI152" t="s">
        <v>53</v>
      </c>
      <c r="AJ152" t="s">
        <v>1636</v>
      </c>
      <c r="AK152" t="s">
        <v>1637</v>
      </c>
      <c r="AL152" s="4">
        <v>30</v>
      </c>
      <c r="AM152" t="s">
        <v>185</v>
      </c>
      <c r="AN152">
        <v>30</v>
      </c>
      <c r="AO152" t="s">
        <v>1665</v>
      </c>
      <c r="AP152" t="s">
        <v>1639</v>
      </c>
      <c r="AQ152" t="s">
        <v>1640</v>
      </c>
      <c r="AR152" t="s">
        <v>1666</v>
      </c>
      <c r="AS152">
        <v>1</v>
      </c>
      <c r="AT152">
        <v>0</v>
      </c>
      <c r="AU152">
        <v>0</v>
      </c>
      <c r="AV152">
        <v>1</v>
      </c>
      <c r="AW152">
        <v>0</v>
      </c>
      <c r="AX152">
        <v>0</v>
      </c>
      <c r="AY152" t="s">
        <v>1642</v>
      </c>
    </row>
    <row r="153" spans="1:51">
      <c r="A153" t="s">
        <v>181</v>
      </c>
      <c r="B153" t="s">
        <v>332</v>
      </c>
      <c r="C153" t="s">
        <v>183</v>
      </c>
      <c r="D153" t="s">
        <v>184</v>
      </c>
      <c r="E153" t="s">
        <v>96</v>
      </c>
      <c r="F153">
        <v>60</v>
      </c>
      <c r="G153" t="s">
        <v>185</v>
      </c>
      <c r="H153" t="s">
        <v>84</v>
      </c>
      <c r="I153" t="s">
        <v>186</v>
      </c>
      <c r="J153" t="s">
        <v>187</v>
      </c>
      <c r="K153" t="s">
        <v>29</v>
      </c>
      <c r="L153" t="s">
        <v>53</v>
      </c>
      <c r="M153" t="s">
        <v>188</v>
      </c>
      <c r="N153" s="7">
        <v>2.3318227373444764</v>
      </c>
      <c r="O153" s="7">
        <v>0.18418885290608489</v>
      </c>
      <c r="P153" s="7">
        <v>4</v>
      </c>
      <c r="Q153" s="7">
        <v>2.4719260756288253</v>
      </c>
      <c r="R153" s="7">
        <v>0.11399452141517927</v>
      </c>
      <c r="S153" s="7">
        <v>4</v>
      </c>
      <c r="T153" s="7">
        <v>0.36837770581216978</v>
      </c>
      <c r="U153" s="7">
        <v>0.22798904283035853</v>
      </c>
      <c r="V153" s="7">
        <v>5.8347382013887387E-2</v>
      </c>
      <c r="W153" s="7">
        <v>8.365951254626542E-3</v>
      </c>
      <c r="X153" t="s">
        <v>189</v>
      </c>
      <c r="Y153" t="s">
        <v>190</v>
      </c>
      <c r="Z153" t="s">
        <v>191</v>
      </c>
      <c r="AA153" t="s">
        <v>331</v>
      </c>
      <c r="AB153" t="s">
        <v>92</v>
      </c>
      <c r="AC153" t="s">
        <v>181</v>
      </c>
      <c r="AD153" t="s">
        <v>181</v>
      </c>
      <c r="AE153" t="s">
        <v>1677</v>
      </c>
      <c r="AF153" t="s">
        <v>1679</v>
      </c>
      <c r="AG153" t="s">
        <v>1677</v>
      </c>
      <c r="AH153" t="s">
        <v>1243</v>
      </c>
      <c r="AI153" t="s">
        <v>53</v>
      </c>
      <c r="AJ153" t="s">
        <v>1636</v>
      </c>
      <c r="AK153" t="s">
        <v>1637</v>
      </c>
      <c r="AL153" s="4">
        <v>60</v>
      </c>
      <c r="AM153" t="s">
        <v>185</v>
      </c>
      <c r="AN153">
        <v>60</v>
      </c>
      <c r="AO153" t="s">
        <v>1665</v>
      </c>
      <c r="AP153" t="s">
        <v>1639</v>
      </c>
      <c r="AQ153" t="s">
        <v>1640</v>
      </c>
      <c r="AR153" t="s">
        <v>1666</v>
      </c>
      <c r="AS153">
        <v>1</v>
      </c>
      <c r="AT153">
        <v>0</v>
      </c>
      <c r="AU153">
        <v>0</v>
      </c>
      <c r="AV153">
        <v>1</v>
      </c>
      <c r="AW153">
        <v>0</v>
      </c>
      <c r="AX153">
        <v>0</v>
      </c>
      <c r="AY153" t="s">
        <v>1642</v>
      </c>
    </row>
    <row r="154" spans="1:51">
      <c r="A154" t="s">
        <v>181</v>
      </c>
      <c r="B154" t="s">
        <v>333</v>
      </c>
      <c r="C154" t="s">
        <v>183</v>
      </c>
      <c r="D154" t="s">
        <v>195</v>
      </c>
      <c r="E154" t="s">
        <v>96</v>
      </c>
      <c r="F154">
        <v>30</v>
      </c>
      <c r="G154" t="s">
        <v>185</v>
      </c>
      <c r="H154" t="s">
        <v>84</v>
      </c>
      <c r="I154" t="s">
        <v>186</v>
      </c>
      <c r="J154" t="s">
        <v>187</v>
      </c>
      <c r="K154" t="s">
        <v>29</v>
      </c>
      <c r="L154" t="s">
        <v>53</v>
      </c>
      <c r="M154" t="s">
        <v>188</v>
      </c>
      <c r="N154" s="7">
        <v>2.4719260756288253</v>
      </c>
      <c r="O154" s="7">
        <v>0.11399452141517927</v>
      </c>
      <c r="P154" s="7">
        <v>4</v>
      </c>
      <c r="Q154" s="7">
        <v>3.0197845576955906</v>
      </c>
      <c r="R154" s="7">
        <v>4.6082860551754416E-2</v>
      </c>
      <c r="S154" s="7">
        <v>4</v>
      </c>
      <c r="T154" s="7">
        <v>0.22798904283035853</v>
      </c>
      <c r="U154" s="7">
        <v>9.2165721103508833E-2</v>
      </c>
      <c r="V154" s="7">
        <v>0.20018785586327731</v>
      </c>
      <c r="W154" s="7">
        <v>2.3595319881659685E-3</v>
      </c>
      <c r="X154" t="s">
        <v>189</v>
      </c>
      <c r="Y154" t="s">
        <v>190</v>
      </c>
      <c r="Z154" t="s">
        <v>191</v>
      </c>
      <c r="AA154" t="s">
        <v>334</v>
      </c>
      <c r="AB154" t="s">
        <v>92</v>
      </c>
      <c r="AC154" t="s">
        <v>181</v>
      </c>
      <c r="AD154" t="s">
        <v>181</v>
      </c>
      <c r="AE154" t="s">
        <v>1680</v>
      </c>
      <c r="AF154" t="s">
        <v>1681</v>
      </c>
      <c r="AG154" t="s">
        <v>1680</v>
      </c>
      <c r="AH154" t="s">
        <v>1243</v>
      </c>
      <c r="AI154" t="s">
        <v>53</v>
      </c>
      <c r="AJ154" t="s">
        <v>1636</v>
      </c>
      <c r="AK154" t="s">
        <v>1637</v>
      </c>
      <c r="AL154" s="4">
        <v>30</v>
      </c>
      <c r="AM154" t="s">
        <v>185</v>
      </c>
      <c r="AN154">
        <v>30</v>
      </c>
      <c r="AO154" t="s">
        <v>1665</v>
      </c>
      <c r="AP154" t="s">
        <v>1639</v>
      </c>
      <c r="AQ154" t="s">
        <v>1640</v>
      </c>
      <c r="AR154" t="s">
        <v>1666</v>
      </c>
      <c r="AS154">
        <v>1</v>
      </c>
      <c r="AT154">
        <v>0</v>
      </c>
      <c r="AU154">
        <v>0</v>
      </c>
      <c r="AV154">
        <v>1</v>
      </c>
      <c r="AW154">
        <v>0</v>
      </c>
      <c r="AX154">
        <v>0</v>
      </c>
      <c r="AY154" t="s">
        <v>1642</v>
      </c>
    </row>
    <row r="155" spans="1:51">
      <c r="A155" t="s">
        <v>181</v>
      </c>
      <c r="B155" t="s">
        <v>335</v>
      </c>
      <c r="C155" t="s">
        <v>183</v>
      </c>
      <c r="D155" t="s">
        <v>195</v>
      </c>
      <c r="E155" t="s">
        <v>96</v>
      </c>
      <c r="F155">
        <v>60</v>
      </c>
      <c r="G155" t="s">
        <v>185</v>
      </c>
      <c r="H155" t="s">
        <v>84</v>
      </c>
      <c r="I155" t="s">
        <v>186</v>
      </c>
      <c r="J155" t="s">
        <v>187</v>
      </c>
      <c r="K155" t="s">
        <v>29</v>
      </c>
      <c r="L155" t="s">
        <v>53</v>
      </c>
      <c r="M155" t="s">
        <v>188</v>
      </c>
      <c r="N155" s="7">
        <v>2.4719260756288253</v>
      </c>
      <c r="O155" s="7">
        <v>0.11399452141517927</v>
      </c>
      <c r="P155" s="7">
        <v>4</v>
      </c>
      <c r="Q155" s="7">
        <v>2.8839613090165384</v>
      </c>
      <c r="R155" s="7">
        <v>0</v>
      </c>
      <c r="S155" s="7">
        <v>4</v>
      </c>
      <c r="T155" s="7">
        <v>0.22798904283035853</v>
      </c>
      <c r="U155" s="7">
        <v>0</v>
      </c>
      <c r="V155" s="7">
        <v>0.15416716912902587</v>
      </c>
      <c r="W155" s="7">
        <v>2.1266548048988658E-3</v>
      </c>
      <c r="X155" t="s">
        <v>189</v>
      </c>
      <c r="Y155" t="s">
        <v>190</v>
      </c>
      <c r="Z155" t="s">
        <v>191</v>
      </c>
      <c r="AA155" t="s">
        <v>334</v>
      </c>
      <c r="AB155" t="s">
        <v>92</v>
      </c>
      <c r="AC155" t="s">
        <v>181</v>
      </c>
      <c r="AD155" t="s">
        <v>181</v>
      </c>
      <c r="AE155" t="s">
        <v>1680</v>
      </c>
      <c r="AF155" t="s">
        <v>1682</v>
      </c>
      <c r="AG155" t="s">
        <v>1680</v>
      </c>
      <c r="AH155" t="s">
        <v>1243</v>
      </c>
      <c r="AI155" t="s">
        <v>53</v>
      </c>
      <c r="AJ155" t="s">
        <v>1636</v>
      </c>
      <c r="AK155" t="s">
        <v>1637</v>
      </c>
      <c r="AL155" s="4">
        <v>60</v>
      </c>
      <c r="AM155" t="s">
        <v>185</v>
      </c>
      <c r="AN155">
        <v>60</v>
      </c>
      <c r="AO155" t="s">
        <v>1665</v>
      </c>
      <c r="AP155" t="s">
        <v>1639</v>
      </c>
      <c r="AQ155" t="s">
        <v>1640</v>
      </c>
      <c r="AR155" t="s">
        <v>1666</v>
      </c>
      <c r="AS155">
        <v>1</v>
      </c>
      <c r="AT155">
        <v>0</v>
      </c>
      <c r="AU155">
        <v>0</v>
      </c>
      <c r="AV155">
        <v>1</v>
      </c>
      <c r="AW155">
        <v>0</v>
      </c>
      <c r="AX155">
        <v>0</v>
      </c>
      <c r="AY155" t="s">
        <v>1642</v>
      </c>
    </row>
    <row r="156" spans="1:51">
      <c r="A156" t="s">
        <v>181</v>
      </c>
      <c r="B156" t="s">
        <v>336</v>
      </c>
      <c r="C156" t="s">
        <v>183</v>
      </c>
      <c r="D156" t="s">
        <v>184</v>
      </c>
      <c r="E156" t="s">
        <v>96</v>
      </c>
      <c r="F156">
        <v>30</v>
      </c>
      <c r="G156" t="s">
        <v>185</v>
      </c>
      <c r="H156" t="s">
        <v>84</v>
      </c>
      <c r="I156" t="s">
        <v>186</v>
      </c>
      <c r="J156" t="s">
        <v>187</v>
      </c>
      <c r="K156" t="s">
        <v>41</v>
      </c>
      <c r="L156" t="s">
        <v>337</v>
      </c>
      <c r="M156" t="s">
        <v>188</v>
      </c>
      <c r="N156" s="7">
        <v>6.3351896276595738</v>
      </c>
      <c r="O156" s="7">
        <v>0.16752200797872532</v>
      </c>
      <c r="P156" s="7">
        <v>4</v>
      </c>
      <c r="Q156" s="7">
        <v>7.0852726063829783</v>
      </c>
      <c r="R156" s="7">
        <v>0.16778171542552822</v>
      </c>
      <c r="S156" s="7">
        <v>4</v>
      </c>
      <c r="T156" s="7">
        <v>0.33504401595745065</v>
      </c>
      <c r="U156" s="7">
        <v>0.33556343085105644</v>
      </c>
      <c r="V156" s="7">
        <v>0.1118986022988193</v>
      </c>
      <c r="W156" s="7">
        <v>1.2599960072606309E-3</v>
      </c>
      <c r="X156" t="s">
        <v>189</v>
      </c>
      <c r="Y156" t="s">
        <v>190</v>
      </c>
      <c r="Z156" t="s">
        <v>191</v>
      </c>
      <c r="AA156" t="s">
        <v>338</v>
      </c>
      <c r="AB156" t="s">
        <v>92</v>
      </c>
      <c r="AC156" t="s">
        <v>181</v>
      </c>
      <c r="AD156" t="s">
        <v>181</v>
      </c>
      <c r="AE156" t="s">
        <v>1663</v>
      </c>
      <c r="AF156" t="s">
        <v>1664</v>
      </c>
      <c r="AG156" t="s">
        <v>1663</v>
      </c>
      <c r="AH156" t="s">
        <v>1235</v>
      </c>
      <c r="AI156" t="s">
        <v>337</v>
      </c>
      <c r="AJ156" t="s">
        <v>1636</v>
      </c>
      <c r="AK156" t="s">
        <v>1637</v>
      </c>
      <c r="AL156" s="4">
        <v>30</v>
      </c>
      <c r="AM156" t="s">
        <v>185</v>
      </c>
      <c r="AN156">
        <v>30</v>
      </c>
      <c r="AO156" t="s">
        <v>1665</v>
      </c>
      <c r="AP156" t="s">
        <v>1639</v>
      </c>
      <c r="AQ156" t="s">
        <v>1640</v>
      </c>
      <c r="AR156" t="s">
        <v>1666</v>
      </c>
      <c r="AS156">
        <v>1</v>
      </c>
      <c r="AT156">
        <v>0</v>
      </c>
      <c r="AU156">
        <v>0</v>
      </c>
      <c r="AV156">
        <v>1</v>
      </c>
      <c r="AW156">
        <v>0</v>
      </c>
      <c r="AX156">
        <v>0</v>
      </c>
      <c r="AY156" t="s">
        <v>1642</v>
      </c>
    </row>
    <row r="157" spans="1:51">
      <c r="A157" t="s">
        <v>181</v>
      </c>
      <c r="B157" t="s">
        <v>339</v>
      </c>
      <c r="C157" t="s">
        <v>183</v>
      </c>
      <c r="D157" t="s">
        <v>184</v>
      </c>
      <c r="E157" t="s">
        <v>96</v>
      </c>
      <c r="F157">
        <v>60</v>
      </c>
      <c r="G157" t="s">
        <v>185</v>
      </c>
      <c r="H157" t="s">
        <v>84</v>
      </c>
      <c r="I157" t="s">
        <v>186</v>
      </c>
      <c r="J157" t="s">
        <v>187</v>
      </c>
      <c r="K157" t="s">
        <v>41</v>
      </c>
      <c r="L157" t="s">
        <v>337</v>
      </c>
      <c r="M157" t="s">
        <v>188</v>
      </c>
      <c r="N157" s="7">
        <v>6.3351896276595738</v>
      </c>
      <c r="O157" s="7">
        <v>0.16752200797872532</v>
      </c>
      <c r="P157" s="7">
        <v>4</v>
      </c>
      <c r="Q157" s="7">
        <v>6.3351896276595738</v>
      </c>
      <c r="R157" s="7">
        <v>0.16752200797872532</v>
      </c>
      <c r="S157" s="7">
        <v>4</v>
      </c>
      <c r="T157" s="7">
        <v>0.33504401595745065</v>
      </c>
      <c r="U157" s="7">
        <v>0.33504401595745065</v>
      </c>
      <c r="V157" s="7">
        <v>0</v>
      </c>
      <c r="W157" s="7">
        <v>1.3984743261628936E-3</v>
      </c>
      <c r="X157" t="s">
        <v>189</v>
      </c>
      <c r="Y157" t="s">
        <v>190</v>
      </c>
      <c r="Z157" t="s">
        <v>191</v>
      </c>
      <c r="AA157" t="s">
        <v>338</v>
      </c>
      <c r="AB157" t="s">
        <v>92</v>
      </c>
      <c r="AC157" t="s">
        <v>181</v>
      </c>
      <c r="AD157" t="s">
        <v>181</v>
      </c>
      <c r="AE157" t="s">
        <v>1663</v>
      </c>
      <c r="AF157" t="s">
        <v>1667</v>
      </c>
      <c r="AG157" t="s">
        <v>1663</v>
      </c>
      <c r="AH157" t="s">
        <v>1235</v>
      </c>
      <c r="AI157" t="s">
        <v>337</v>
      </c>
      <c r="AJ157" t="s">
        <v>1636</v>
      </c>
      <c r="AK157" t="s">
        <v>1637</v>
      </c>
      <c r="AL157" s="4">
        <v>60</v>
      </c>
      <c r="AM157" t="s">
        <v>185</v>
      </c>
      <c r="AN157">
        <v>60</v>
      </c>
      <c r="AO157" t="s">
        <v>1665</v>
      </c>
      <c r="AP157" t="s">
        <v>1639</v>
      </c>
      <c r="AQ157" t="s">
        <v>1640</v>
      </c>
      <c r="AR157" t="s">
        <v>1666</v>
      </c>
      <c r="AS157">
        <v>1</v>
      </c>
      <c r="AT157">
        <v>0</v>
      </c>
      <c r="AU157">
        <v>0</v>
      </c>
      <c r="AV157">
        <v>1</v>
      </c>
      <c r="AW157">
        <v>0</v>
      </c>
      <c r="AX157">
        <v>0</v>
      </c>
      <c r="AY157" t="s">
        <v>1642</v>
      </c>
    </row>
    <row r="158" spans="1:51">
      <c r="A158" t="s">
        <v>181</v>
      </c>
      <c r="B158" t="s">
        <v>340</v>
      </c>
      <c r="C158" t="s">
        <v>183</v>
      </c>
      <c r="D158" t="s">
        <v>195</v>
      </c>
      <c r="E158" t="s">
        <v>96</v>
      </c>
      <c r="F158">
        <v>30</v>
      </c>
      <c r="G158" t="s">
        <v>185</v>
      </c>
      <c r="H158" t="s">
        <v>84</v>
      </c>
      <c r="I158" t="s">
        <v>186</v>
      </c>
      <c r="J158" t="s">
        <v>187</v>
      </c>
      <c r="K158" t="s">
        <v>41</v>
      </c>
      <c r="L158" t="s">
        <v>337</v>
      </c>
      <c r="M158" t="s">
        <v>188</v>
      </c>
      <c r="N158" s="7">
        <v>7.1730594414893609</v>
      </c>
      <c r="O158" s="7">
        <v>0.12388836436170406</v>
      </c>
      <c r="P158" s="7">
        <v>4</v>
      </c>
      <c r="Q158" s="7">
        <v>7.3403216755319143</v>
      </c>
      <c r="R158" s="7">
        <v>8.3631183510641999E-2</v>
      </c>
      <c r="S158" s="7">
        <v>4</v>
      </c>
      <c r="T158" s="7">
        <v>0.24777672872340811</v>
      </c>
      <c r="U158" s="7">
        <v>0.167262367021284</v>
      </c>
      <c r="V158" s="7">
        <v>2.3050402722469186E-2</v>
      </c>
      <c r="W158" s="7">
        <v>4.2810870924899077E-4</v>
      </c>
      <c r="X158" t="s">
        <v>189</v>
      </c>
      <c r="Y158" t="s">
        <v>190</v>
      </c>
      <c r="Z158" t="s">
        <v>191</v>
      </c>
      <c r="AA158" t="s">
        <v>341</v>
      </c>
      <c r="AB158" t="s">
        <v>92</v>
      </c>
      <c r="AC158" t="s">
        <v>181</v>
      </c>
      <c r="AD158" t="s">
        <v>181</v>
      </c>
      <c r="AE158" t="s">
        <v>1668</v>
      </c>
      <c r="AF158" t="s">
        <v>1669</v>
      </c>
      <c r="AG158" t="s">
        <v>1668</v>
      </c>
      <c r="AH158" t="s">
        <v>1235</v>
      </c>
      <c r="AI158" t="s">
        <v>337</v>
      </c>
      <c r="AJ158" t="s">
        <v>1636</v>
      </c>
      <c r="AK158" t="s">
        <v>1637</v>
      </c>
      <c r="AL158" s="4">
        <v>30</v>
      </c>
      <c r="AM158" t="s">
        <v>185</v>
      </c>
      <c r="AN158">
        <v>30</v>
      </c>
      <c r="AO158" t="s">
        <v>1665</v>
      </c>
      <c r="AP158" t="s">
        <v>1639</v>
      </c>
      <c r="AQ158" t="s">
        <v>1640</v>
      </c>
      <c r="AR158" t="s">
        <v>1666</v>
      </c>
      <c r="AS158">
        <v>1</v>
      </c>
      <c r="AT158">
        <v>0</v>
      </c>
      <c r="AU158">
        <v>0</v>
      </c>
      <c r="AV158">
        <v>1</v>
      </c>
      <c r="AW158">
        <v>0</v>
      </c>
      <c r="AX158">
        <v>0</v>
      </c>
      <c r="AY158" t="s">
        <v>1642</v>
      </c>
    </row>
    <row r="159" spans="1:51">
      <c r="A159" t="s">
        <v>181</v>
      </c>
      <c r="B159" t="s">
        <v>342</v>
      </c>
      <c r="C159" t="s">
        <v>183</v>
      </c>
      <c r="D159" t="s">
        <v>195</v>
      </c>
      <c r="E159" t="s">
        <v>96</v>
      </c>
      <c r="F159">
        <v>60</v>
      </c>
      <c r="G159" t="s">
        <v>185</v>
      </c>
      <c r="H159" t="s">
        <v>84</v>
      </c>
      <c r="I159" t="s">
        <v>186</v>
      </c>
      <c r="J159" t="s">
        <v>187</v>
      </c>
      <c r="K159" t="s">
        <v>41</v>
      </c>
      <c r="L159" t="s">
        <v>337</v>
      </c>
      <c r="M159" t="s">
        <v>188</v>
      </c>
      <c r="N159" s="7">
        <v>7.1730594414893609</v>
      </c>
      <c r="O159" s="7">
        <v>0.12388836436170406</v>
      </c>
      <c r="P159" s="7">
        <v>4</v>
      </c>
      <c r="Q159" s="7">
        <v>6.3351896276595738</v>
      </c>
      <c r="R159" s="7">
        <v>0.16752200797872532</v>
      </c>
      <c r="S159" s="7">
        <v>4</v>
      </c>
      <c r="T159" s="7">
        <v>0.24777672872340811</v>
      </c>
      <c r="U159" s="7">
        <v>0.33504401595745065</v>
      </c>
      <c r="V159" s="7">
        <v>-0.12421251729069283</v>
      </c>
      <c r="W159" s="7">
        <v>9.9753642508156959E-4</v>
      </c>
      <c r="X159" t="s">
        <v>189</v>
      </c>
      <c r="Y159" t="s">
        <v>190</v>
      </c>
      <c r="Z159" t="s">
        <v>191</v>
      </c>
      <c r="AA159" t="s">
        <v>341</v>
      </c>
      <c r="AB159" t="s">
        <v>92</v>
      </c>
      <c r="AC159" t="s">
        <v>181</v>
      </c>
      <c r="AD159" t="s">
        <v>181</v>
      </c>
      <c r="AE159" t="s">
        <v>1668</v>
      </c>
      <c r="AF159" t="s">
        <v>1670</v>
      </c>
      <c r="AG159" t="s">
        <v>1668</v>
      </c>
      <c r="AH159" t="s">
        <v>1235</v>
      </c>
      <c r="AI159" t="s">
        <v>337</v>
      </c>
      <c r="AJ159" t="s">
        <v>1636</v>
      </c>
      <c r="AK159" t="s">
        <v>1637</v>
      </c>
      <c r="AL159" s="4">
        <v>60</v>
      </c>
      <c r="AM159" t="s">
        <v>185</v>
      </c>
      <c r="AN159">
        <v>60</v>
      </c>
      <c r="AO159" t="s">
        <v>1665</v>
      </c>
      <c r="AP159" t="s">
        <v>1639</v>
      </c>
      <c r="AQ159" t="s">
        <v>1640</v>
      </c>
      <c r="AR159" t="s">
        <v>1666</v>
      </c>
      <c r="AS159">
        <v>1</v>
      </c>
      <c r="AT159">
        <v>0</v>
      </c>
      <c r="AU159">
        <v>0</v>
      </c>
      <c r="AV159">
        <v>1</v>
      </c>
      <c r="AW159">
        <v>0</v>
      </c>
      <c r="AX159">
        <v>0</v>
      </c>
      <c r="AY159" t="s">
        <v>1642</v>
      </c>
    </row>
    <row r="160" spans="1:51">
      <c r="A160" t="s">
        <v>181</v>
      </c>
      <c r="B160" t="s">
        <v>343</v>
      </c>
      <c r="C160" t="s">
        <v>183</v>
      </c>
      <c r="D160" t="s">
        <v>184</v>
      </c>
      <c r="E160" t="s">
        <v>96</v>
      </c>
      <c r="F160">
        <v>30</v>
      </c>
      <c r="G160" t="s">
        <v>185</v>
      </c>
      <c r="H160" t="s">
        <v>84</v>
      </c>
      <c r="I160" t="s">
        <v>186</v>
      </c>
      <c r="J160" t="s">
        <v>187</v>
      </c>
      <c r="K160" t="s">
        <v>41</v>
      </c>
      <c r="L160" t="s">
        <v>337</v>
      </c>
      <c r="M160" t="s">
        <v>188</v>
      </c>
      <c r="N160" s="7">
        <v>7.3403216755319143</v>
      </c>
      <c r="O160" s="7">
        <v>0.16362619680851434</v>
      </c>
      <c r="P160" s="7">
        <v>4</v>
      </c>
      <c r="Q160" s="7">
        <v>7.5081034574468086</v>
      </c>
      <c r="R160" s="7">
        <v>8.3890824468083339E-2</v>
      </c>
      <c r="S160" s="7">
        <v>4</v>
      </c>
      <c r="T160" s="7">
        <v>0.32725239361702868</v>
      </c>
      <c r="U160" s="7">
        <v>0.16778164893616668</v>
      </c>
      <c r="V160" s="7">
        <v>2.2600231586810734E-2</v>
      </c>
      <c r="W160" s="7">
        <v>6.2175164291350859E-4</v>
      </c>
      <c r="X160" t="s">
        <v>189</v>
      </c>
      <c r="Y160" t="s">
        <v>190</v>
      </c>
      <c r="Z160" t="s">
        <v>191</v>
      </c>
      <c r="AA160" t="s">
        <v>344</v>
      </c>
      <c r="AB160" t="s">
        <v>92</v>
      </c>
      <c r="AC160" t="s">
        <v>181</v>
      </c>
      <c r="AD160" t="s">
        <v>181</v>
      </c>
      <c r="AE160" t="s">
        <v>1671</v>
      </c>
      <c r="AF160" t="s">
        <v>1672</v>
      </c>
      <c r="AG160" t="s">
        <v>1671</v>
      </c>
      <c r="AH160" t="s">
        <v>1242</v>
      </c>
      <c r="AI160" t="s">
        <v>337</v>
      </c>
      <c r="AJ160" t="s">
        <v>1636</v>
      </c>
      <c r="AK160" t="s">
        <v>1637</v>
      </c>
      <c r="AL160" s="4">
        <v>30</v>
      </c>
      <c r="AM160" t="s">
        <v>185</v>
      </c>
      <c r="AN160">
        <v>30</v>
      </c>
      <c r="AO160" t="s">
        <v>1665</v>
      </c>
      <c r="AP160" t="s">
        <v>1639</v>
      </c>
      <c r="AQ160" t="s">
        <v>1640</v>
      </c>
      <c r="AR160" t="s">
        <v>1666</v>
      </c>
      <c r="AS160">
        <v>1</v>
      </c>
      <c r="AT160">
        <v>0</v>
      </c>
      <c r="AU160">
        <v>0</v>
      </c>
      <c r="AV160">
        <v>1</v>
      </c>
      <c r="AW160">
        <v>0</v>
      </c>
      <c r="AX160">
        <v>0</v>
      </c>
      <c r="AY160" t="s">
        <v>1642</v>
      </c>
    </row>
    <row r="161" spans="1:51">
      <c r="A161" t="s">
        <v>181</v>
      </c>
      <c r="B161" t="s">
        <v>345</v>
      </c>
      <c r="C161" t="s">
        <v>183</v>
      </c>
      <c r="D161" t="s">
        <v>184</v>
      </c>
      <c r="E161" t="s">
        <v>96</v>
      </c>
      <c r="F161">
        <v>60</v>
      </c>
      <c r="G161" t="s">
        <v>185</v>
      </c>
      <c r="H161" t="s">
        <v>84</v>
      </c>
      <c r="I161" t="s">
        <v>186</v>
      </c>
      <c r="J161" t="s">
        <v>187</v>
      </c>
      <c r="K161" t="s">
        <v>41</v>
      </c>
      <c r="L161" t="s">
        <v>337</v>
      </c>
      <c r="M161" t="s">
        <v>188</v>
      </c>
      <c r="N161" s="7">
        <v>7.3403216755319143</v>
      </c>
      <c r="O161" s="7">
        <v>0.16362619680851434</v>
      </c>
      <c r="P161" s="7">
        <v>4</v>
      </c>
      <c r="Q161" s="7">
        <v>7.3403216755319143</v>
      </c>
      <c r="R161" s="7">
        <v>8.3631183510641999E-2</v>
      </c>
      <c r="S161" s="7">
        <v>4</v>
      </c>
      <c r="T161" s="7">
        <v>0.32725239361702868</v>
      </c>
      <c r="U161" s="7">
        <v>0.167262367021284</v>
      </c>
      <c r="V161" s="7">
        <v>0</v>
      </c>
      <c r="W161" s="7">
        <v>6.2671687354089157E-4</v>
      </c>
      <c r="X161" t="s">
        <v>189</v>
      </c>
      <c r="Y161" t="s">
        <v>190</v>
      </c>
      <c r="Z161" t="s">
        <v>191</v>
      </c>
      <c r="AA161" t="s">
        <v>344</v>
      </c>
      <c r="AB161" t="s">
        <v>92</v>
      </c>
      <c r="AC161" t="s">
        <v>181</v>
      </c>
      <c r="AD161" t="s">
        <v>181</v>
      </c>
      <c r="AE161" t="s">
        <v>1671</v>
      </c>
      <c r="AF161" t="s">
        <v>1673</v>
      </c>
      <c r="AG161" t="s">
        <v>1671</v>
      </c>
      <c r="AH161" t="s">
        <v>1242</v>
      </c>
      <c r="AI161" t="s">
        <v>337</v>
      </c>
      <c r="AJ161" t="s">
        <v>1636</v>
      </c>
      <c r="AK161" t="s">
        <v>1637</v>
      </c>
      <c r="AL161" s="4">
        <v>60</v>
      </c>
      <c r="AM161" t="s">
        <v>185</v>
      </c>
      <c r="AN161">
        <v>60</v>
      </c>
      <c r="AO161" t="s">
        <v>1665</v>
      </c>
      <c r="AP161" t="s">
        <v>1639</v>
      </c>
      <c r="AQ161" t="s">
        <v>1640</v>
      </c>
      <c r="AR161" t="s">
        <v>1666</v>
      </c>
      <c r="AS161">
        <v>1</v>
      </c>
      <c r="AT161">
        <v>0</v>
      </c>
      <c r="AU161">
        <v>0</v>
      </c>
      <c r="AV161">
        <v>1</v>
      </c>
      <c r="AW161">
        <v>0</v>
      </c>
      <c r="AX161">
        <v>0</v>
      </c>
      <c r="AY161" t="s">
        <v>1642</v>
      </c>
    </row>
    <row r="162" spans="1:51">
      <c r="A162" t="s">
        <v>181</v>
      </c>
      <c r="B162" t="s">
        <v>346</v>
      </c>
      <c r="C162" t="s">
        <v>183</v>
      </c>
      <c r="D162" t="s">
        <v>195</v>
      </c>
      <c r="E162" t="s">
        <v>96</v>
      </c>
      <c r="F162">
        <v>30</v>
      </c>
      <c r="G162" t="s">
        <v>185</v>
      </c>
      <c r="H162" t="s">
        <v>84</v>
      </c>
      <c r="I162" t="s">
        <v>186</v>
      </c>
      <c r="J162" t="s">
        <v>187</v>
      </c>
      <c r="K162" t="s">
        <v>41</v>
      </c>
      <c r="L162" t="s">
        <v>337</v>
      </c>
      <c r="M162" t="s">
        <v>188</v>
      </c>
      <c r="N162" s="7">
        <v>6.5024518617021272</v>
      </c>
      <c r="O162" s="7">
        <v>0.71008557180850695</v>
      </c>
      <c r="P162" s="7">
        <v>4</v>
      </c>
      <c r="Q162" s="7">
        <v>7.5875789893617016</v>
      </c>
      <c r="R162" s="7">
        <v>8.3631117021272905E-2</v>
      </c>
      <c r="S162" s="7">
        <v>4</v>
      </c>
      <c r="T162" s="7">
        <v>1.4201711436170139</v>
      </c>
      <c r="U162" s="7">
        <v>0.16726223404254581</v>
      </c>
      <c r="V162" s="7">
        <v>0.15433325152234922</v>
      </c>
      <c r="W162" s="7">
        <v>1.2046725690003021E-2</v>
      </c>
      <c r="X162" t="s">
        <v>189</v>
      </c>
      <c r="Y162" t="s">
        <v>190</v>
      </c>
      <c r="Z162" t="s">
        <v>191</v>
      </c>
      <c r="AA162" t="s">
        <v>347</v>
      </c>
      <c r="AB162" t="s">
        <v>92</v>
      </c>
      <c r="AC162" t="s">
        <v>181</v>
      </c>
      <c r="AD162" t="s">
        <v>181</v>
      </c>
      <c r="AE162" t="s">
        <v>1674</v>
      </c>
      <c r="AF162" t="s">
        <v>1675</v>
      </c>
      <c r="AG162" t="s">
        <v>1674</v>
      </c>
      <c r="AH162" t="s">
        <v>1242</v>
      </c>
      <c r="AI162" t="s">
        <v>337</v>
      </c>
      <c r="AJ162" t="s">
        <v>1636</v>
      </c>
      <c r="AK162" t="s">
        <v>1637</v>
      </c>
      <c r="AL162" s="4">
        <v>30</v>
      </c>
      <c r="AM162" t="s">
        <v>185</v>
      </c>
      <c r="AN162">
        <v>30</v>
      </c>
      <c r="AO162" t="s">
        <v>1665</v>
      </c>
      <c r="AP162" t="s">
        <v>1639</v>
      </c>
      <c r="AQ162" t="s">
        <v>1640</v>
      </c>
      <c r="AR162" t="s">
        <v>1666</v>
      </c>
      <c r="AS162">
        <v>1</v>
      </c>
      <c r="AT162">
        <v>0</v>
      </c>
      <c r="AU162">
        <v>0</v>
      </c>
      <c r="AV162">
        <v>1</v>
      </c>
      <c r="AW162">
        <v>0</v>
      </c>
      <c r="AX162">
        <v>0</v>
      </c>
      <c r="AY162" t="s">
        <v>1642</v>
      </c>
    </row>
    <row r="163" spans="1:51">
      <c r="A163" t="s">
        <v>181</v>
      </c>
      <c r="B163" t="s">
        <v>348</v>
      </c>
      <c r="C163" t="s">
        <v>183</v>
      </c>
      <c r="D163" t="s">
        <v>195</v>
      </c>
      <c r="E163" t="s">
        <v>96</v>
      </c>
      <c r="F163">
        <v>60</v>
      </c>
      <c r="G163" t="s">
        <v>185</v>
      </c>
      <c r="H163" t="s">
        <v>84</v>
      </c>
      <c r="I163" t="s">
        <v>186</v>
      </c>
      <c r="J163" t="s">
        <v>187</v>
      </c>
      <c r="K163" t="s">
        <v>41</v>
      </c>
      <c r="L163" t="s">
        <v>337</v>
      </c>
      <c r="M163" t="s">
        <v>188</v>
      </c>
      <c r="N163" s="7">
        <v>6.5024518617021272</v>
      </c>
      <c r="O163" s="7">
        <v>0.71008557180850695</v>
      </c>
      <c r="P163" s="7">
        <v>4</v>
      </c>
      <c r="Q163" s="7">
        <v>7.2525349734042548</v>
      </c>
      <c r="R163" s="7">
        <v>0.12752453457446616</v>
      </c>
      <c r="S163" s="7">
        <v>4</v>
      </c>
      <c r="T163" s="7">
        <v>1.4201711436170139</v>
      </c>
      <c r="U163" s="7">
        <v>0.25504906914893233</v>
      </c>
      <c r="V163" s="7">
        <v>0.10917174398816547</v>
      </c>
      <c r="W163" s="7">
        <v>1.2234416283763231E-2</v>
      </c>
      <c r="X163" t="s">
        <v>189</v>
      </c>
      <c r="Y163" t="s">
        <v>190</v>
      </c>
      <c r="Z163" t="s">
        <v>191</v>
      </c>
      <c r="AA163" t="s">
        <v>347</v>
      </c>
      <c r="AB163" t="s">
        <v>92</v>
      </c>
      <c r="AC163" t="s">
        <v>181</v>
      </c>
      <c r="AD163" t="s">
        <v>181</v>
      </c>
      <c r="AE163" t="s">
        <v>1674</v>
      </c>
      <c r="AF163" t="s">
        <v>1676</v>
      </c>
      <c r="AG163" t="s">
        <v>1674</v>
      </c>
      <c r="AH163" t="s">
        <v>1242</v>
      </c>
      <c r="AI163" t="s">
        <v>337</v>
      </c>
      <c r="AJ163" t="s">
        <v>1636</v>
      </c>
      <c r="AK163" t="s">
        <v>1637</v>
      </c>
      <c r="AL163" s="4">
        <v>60</v>
      </c>
      <c r="AM163" t="s">
        <v>185</v>
      </c>
      <c r="AN163">
        <v>60</v>
      </c>
      <c r="AO163" t="s">
        <v>1665</v>
      </c>
      <c r="AP163" t="s">
        <v>1639</v>
      </c>
      <c r="AQ163" t="s">
        <v>1640</v>
      </c>
      <c r="AR163" t="s">
        <v>1666</v>
      </c>
      <c r="AS163">
        <v>1</v>
      </c>
      <c r="AT163">
        <v>0</v>
      </c>
      <c r="AU163">
        <v>0</v>
      </c>
      <c r="AV163">
        <v>1</v>
      </c>
      <c r="AW163">
        <v>0</v>
      </c>
      <c r="AX163">
        <v>0</v>
      </c>
      <c r="AY163" t="s">
        <v>1642</v>
      </c>
    </row>
    <row r="164" spans="1:51">
      <c r="A164" t="s">
        <v>181</v>
      </c>
      <c r="B164" t="s">
        <v>349</v>
      </c>
      <c r="C164" t="s">
        <v>183</v>
      </c>
      <c r="D164" t="s">
        <v>184</v>
      </c>
      <c r="E164" t="s">
        <v>96</v>
      </c>
      <c r="F164">
        <v>30</v>
      </c>
      <c r="G164" t="s">
        <v>185</v>
      </c>
      <c r="H164" t="s">
        <v>84</v>
      </c>
      <c r="I164" t="s">
        <v>186</v>
      </c>
      <c r="J164" t="s">
        <v>187</v>
      </c>
      <c r="K164" t="s">
        <v>41</v>
      </c>
      <c r="L164" t="s">
        <v>337</v>
      </c>
      <c r="M164" t="s">
        <v>188</v>
      </c>
      <c r="N164" s="7">
        <v>7.4203167553191482</v>
      </c>
      <c r="O164" s="7">
        <v>0.12362865691489361</v>
      </c>
      <c r="P164" s="7">
        <v>4</v>
      </c>
      <c r="Q164" s="7">
        <v>7.2525349734042548</v>
      </c>
      <c r="R164" s="7">
        <v>0.1236287234042627</v>
      </c>
      <c r="S164" s="7">
        <v>4</v>
      </c>
      <c r="T164" s="7">
        <v>0.24725731382978722</v>
      </c>
      <c r="U164" s="7">
        <v>0.24725744680852541</v>
      </c>
      <c r="V164" s="7">
        <v>-2.2870686407457624E-2</v>
      </c>
      <c r="W164" s="7">
        <v>5.6815892523178683E-4</v>
      </c>
      <c r="X164" t="s">
        <v>189</v>
      </c>
      <c r="Y164" t="s">
        <v>190</v>
      </c>
      <c r="Z164" t="s">
        <v>191</v>
      </c>
      <c r="AA164" t="s">
        <v>350</v>
      </c>
      <c r="AB164" t="s">
        <v>92</v>
      </c>
      <c r="AC164" t="s">
        <v>181</v>
      </c>
      <c r="AD164" t="s">
        <v>181</v>
      </c>
      <c r="AE164" t="s">
        <v>1677</v>
      </c>
      <c r="AF164" t="s">
        <v>1678</v>
      </c>
      <c r="AG164" t="s">
        <v>1677</v>
      </c>
      <c r="AH164" t="s">
        <v>1243</v>
      </c>
      <c r="AI164" t="s">
        <v>337</v>
      </c>
      <c r="AJ164" t="s">
        <v>1636</v>
      </c>
      <c r="AK164" t="s">
        <v>1637</v>
      </c>
      <c r="AL164" s="4">
        <v>30</v>
      </c>
      <c r="AM164" t="s">
        <v>185</v>
      </c>
      <c r="AN164">
        <v>30</v>
      </c>
      <c r="AO164" t="s">
        <v>1665</v>
      </c>
      <c r="AP164" t="s">
        <v>1639</v>
      </c>
      <c r="AQ164" t="s">
        <v>1640</v>
      </c>
      <c r="AR164" t="s">
        <v>1666</v>
      </c>
      <c r="AS164">
        <v>1</v>
      </c>
      <c r="AT164">
        <v>0</v>
      </c>
      <c r="AU164">
        <v>0</v>
      </c>
      <c r="AV164">
        <v>1</v>
      </c>
      <c r="AW164">
        <v>0</v>
      </c>
      <c r="AX164">
        <v>0</v>
      </c>
      <c r="AY164" t="s">
        <v>1642</v>
      </c>
    </row>
    <row r="165" spans="1:51">
      <c r="A165" t="s">
        <v>181</v>
      </c>
      <c r="B165" t="s">
        <v>351</v>
      </c>
      <c r="C165" t="s">
        <v>183</v>
      </c>
      <c r="D165" t="s">
        <v>184</v>
      </c>
      <c r="E165" t="s">
        <v>96</v>
      </c>
      <c r="F165">
        <v>60</v>
      </c>
      <c r="G165" t="s">
        <v>185</v>
      </c>
      <c r="H165" t="s">
        <v>84</v>
      </c>
      <c r="I165" t="s">
        <v>186</v>
      </c>
      <c r="J165" t="s">
        <v>187</v>
      </c>
      <c r="K165" t="s">
        <v>41</v>
      </c>
      <c r="L165" t="s">
        <v>337</v>
      </c>
      <c r="M165" t="s">
        <v>188</v>
      </c>
      <c r="N165" s="7">
        <v>7.4203167553191482</v>
      </c>
      <c r="O165" s="7">
        <v>0.12362865691489361</v>
      </c>
      <c r="P165" s="7">
        <v>4</v>
      </c>
      <c r="Q165" s="7">
        <v>7.3403216755319143</v>
      </c>
      <c r="R165" s="7">
        <v>0.1236287234042627</v>
      </c>
      <c r="S165" s="7">
        <v>4</v>
      </c>
      <c r="T165" s="7">
        <v>0.24725731382978722</v>
      </c>
      <c r="U165" s="7">
        <v>0.24725744680852541</v>
      </c>
      <c r="V165" s="7">
        <v>-1.0839078993749651E-2</v>
      </c>
      <c r="W165" s="7">
        <v>5.6125019919004782E-4</v>
      </c>
      <c r="X165" t="s">
        <v>189</v>
      </c>
      <c r="Y165" t="s">
        <v>190</v>
      </c>
      <c r="Z165" t="s">
        <v>191</v>
      </c>
      <c r="AA165" t="s">
        <v>350</v>
      </c>
      <c r="AB165" t="s">
        <v>92</v>
      </c>
      <c r="AC165" t="s">
        <v>181</v>
      </c>
      <c r="AD165" t="s">
        <v>181</v>
      </c>
      <c r="AE165" t="s">
        <v>1677</v>
      </c>
      <c r="AF165" t="s">
        <v>1679</v>
      </c>
      <c r="AG165" t="s">
        <v>1677</v>
      </c>
      <c r="AH165" t="s">
        <v>1243</v>
      </c>
      <c r="AI165" t="s">
        <v>337</v>
      </c>
      <c r="AJ165" t="s">
        <v>1636</v>
      </c>
      <c r="AK165" t="s">
        <v>1637</v>
      </c>
      <c r="AL165" s="4">
        <v>60</v>
      </c>
      <c r="AM165" t="s">
        <v>185</v>
      </c>
      <c r="AN165">
        <v>60</v>
      </c>
      <c r="AO165" t="s">
        <v>1665</v>
      </c>
      <c r="AP165" t="s">
        <v>1639</v>
      </c>
      <c r="AQ165" t="s">
        <v>1640</v>
      </c>
      <c r="AR165" t="s">
        <v>1666</v>
      </c>
      <c r="AS165">
        <v>1</v>
      </c>
      <c r="AT165">
        <v>0</v>
      </c>
      <c r="AU165">
        <v>0</v>
      </c>
      <c r="AV165">
        <v>1</v>
      </c>
      <c r="AW165">
        <v>0</v>
      </c>
      <c r="AX165">
        <v>0</v>
      </c>
      <c r="AY165" t="s">
        <v>1642</v>
      </c>
    </row>
    <row r="166" spans="1:51">
      <c r="A166" t="s">
        <v>181</v>
      </c>
      <c r="B166" t="s">
        <v>352</v>
      </c>
      <c r="C166" t="s">
        <v>183</v>
      </c>
      <c r="D166" t="s">
        <v>195</v>
      </c>
      <c r="E166" t="s">
        <v>96</v>
      </c>
      <c r="F166">
        <v>30</v>
      </c>
      <c r="G166" t="s">
        <v>185</v>
      </c>
      <c r="H166" t="s">
        <v>84</v>
      </c>
      <c r="I166" t="s">
        <v>186</v>
      </c>
      <c r="J166" t="s">
        <v>187</v>
      </c>
      <c r="K166" t="s">
        <v>41</v>
      </c>
      <c r="L166" t="s">
        <v>337</v>
      </c>
      <c r="M166" t="s">
        <v>188</v>
      </c>
      <c r="N166" s="7">
        <v>7.3403216755319143</v>
      </c>
      <c r="O166" s="7">
        <v>8.3631183510641999E-2</v>
      </c>
      <c r="P166" s="7">
        <v>4</v>
      </c>
      <c r="Q166" s="7">
        <v>8.1703998670212759</v>
      </c>
      <c r="R166" s="7">
        <v>0.50282579787234039</v>
      </c>
      <c r="S166" s="7">
        <v>4</v>
      </c>
      <c r="T166" s="7">
        <v>0.167262367021284</v>
      </c>
      <c r="U166" s="7">
        <v>1.0056515957446808</v>
      </c>
      <c r="V166" s="7">
        <v>0.10713518433559845</v>
      </c>
      <c r="W166" s="7">
        <v>3.9172731472843164E-3</v>
      </c>
      <c r="X166" t="s">
        <v>189</v>
      </c>
      <c r="Y166" t="s">
        <v>190</v>
      </c>
      <c r="Z166" t="s">
        <v>191</v>
      </c>
      <c r="AA166" t="s">
        <v>353</v>
      </c>
      <c r="AB166" t="s">
        <v>92</v>
      </c>
      <c r="AC166" t="s">
        <v>181</v>
      </c>
      <c r="AD166" t="s">
        <v>181</v>
      </c>
      <c r="AE166" t="s">
        <v>1680</v>
      </c>
      <c r="AF166" t="s">
        <v>1681</v>
      </c>
      <c r="AG166" t="s">
        <v>1680</v>
      </c>
      <c r="AH166" t="s">
        <v>1243</v>
      </c>
      <c r="AI166" t="s">
        <v>337</v>
      </c>
      <c r="AJ166" t="s">
        <v>1636</v>
      </c>
      <c r="AK166" t="s">
        <v>1637</v>
      </c>
      <c r="AL166" s="4">
        <v>30</v>
      </c>
      <c r="AM166" t="s">
        <v>185</v>
      </c>
      <c r="AN166">
        <v>30</v>
      </c>
      <c r="AO166" t="s">
        <v>1665</v>
      </c>
      <c r="AP166" t="s">
        <v>1639</v>
      </c>
      <c r="AQ166" t="s">
        <v>1640</v>
      </c>
      <c r="AR166" t="s">
        <v>1666</v>
      </c>
      <c r="AS166">
        <v>1</v>
      </c>
      <c r="AT166">
        <v>0</v>
      </c>
      <c r="AU166">
        <v>0</v>
      </c>
      <c r="AV166">
        <v>1</v>
      </c>
      <c r="AW166">
        <v>0</v>
      </c>
      <c r="AX166">
        <v>0</v>
      </c>
      <c r="AY166" t="s">
        <v>1642</v>
      </c>
    </row>
    <row r="167" spans="1:51">
      <c r="A167" t="s">
        <v>181</v>
      </c>
      <c r="B167" t="s">
        <v>354</v>
      </c>
      <c r="C167" t="s">
        <v>183</v>
      </c>
      <c r="D167" t="s">
        <v>195</v>
      </c>
      <c r="E167" t="s">
        <v>96</v>
      </c>
      <c r="F167">
        <v>60</v>
      </c>
      <c r="G167" t="s">
        <v>185</v>
      </c>
      <c r="H167" t="s">
        <v>84</v>
      </c>
      <c r="I167" t="s">
        <v>186</v>
      </c>
      <c r="J167" t="s">
        <v>187</v>
      </c>
      <c r="K167" t="s">
        <v>41</v>
      </c>
      <c r="L167" t="s">
        <v>337</v>
      </c>
      <c r="M167" t="s">
        <v>188</v>
      </c>
      <c r="N167" s="7">
        <v>7.3403216755319143</v>
      </c>
      <c r="O167" s="7">
        <v>8.3631183510641999E-2</v>
      </c>
      <c r="P167" s="7">
        <v>4</v>
      </c>
      <c r="Q167" s="7">
        <v>7.5875789893617016</v>
      </c>
      <c r="R167" s="7">
        <v>0.50256609042553002</v>
      </c>
      <c r="S167" s="7">
        <v>4</v>
      </c>
      <c r="T167" s="7">
        <v>0.167262367021284</v>
      </c>
      <c r="U167" s="7">
        <v>1.00513218085106</v>
      </c>
      <c r="V167" s="7">
        <v>3.3129900120475744E-2</v>
      </c>
      <c r="W167" s="7">
        <v>4.516933488318174E-3</v>
      </c>
      <c r="X167" t="s">
        <v>189</v>
      </c>
      <c r="Y167" t="s">
        <v>190</v>
      </c>
      <c r="Z167" t="s">
        <v>191</v>
      </c>
      <c r="AA167" t="s">
        <v>353</v>
      </c>
      <c r="AB167" t="s">
        <v>92</v>
      </c>
      <c r="AC167" t="s">
        <v>181</v>
      </c>
      <c r="AD167" t="s">
        <v>181</v>
      </c>
      <c r="AE167" t="s">
        <v>1680</v>
      </c>
      <c r="AF167" t="s">
        <v>1682</v>
      </c>
      <c r="AG167" t="s">
        <v>1680</v>
      </c>
      <c r="AH167" t="s">
        <v>1243</v>
      </c>
      <c r="AI167" t="s">
        <v>337</v>
      </c>
      <c r="AJ167" t="s">
        <v>1636</v>
      </c>
      <c r="AK167" t="s">
        <v>1637</v>
      </c>
      <c r="AL167" s="4">
        <v>60</v>
      </c>
      <c r="AM167" t="s">
        <v>185</v>
      </c>
      <c r="AN167">
        <v>60</v>
      </c>
      <c r="AO167" t="s">
        <v>1665</v>
      </c>
      <c r="AP167" t="s">
        <v>1639</v>
      </c>
      <c r="AQ167" t="s">
        <v>1640</v>
      </c>
      <c r="AR167" t="s">
        <v>1666</v>
      </c>
      <c r="AS167">
        <v>1</v>
      </c>
      <c r="AT167">
        <v>0</v>
      </c>
      <c r="AU167">
        <v>0</v>
      </c>
      <c r="AV167">
        <v>1</v>
      </c>
      <c r="AW167">
        <v>0</v>
      </c>
      <c r="AX167">
        <v>0</v>
      </c>
      <c r="AY167" t="s">
        <v>1642</v>
      </c>
    </row>
    <row r="168" spans="1:51">
      <c r="A168" t="s">
        <v>181</v>
      </c>
      <c r="B168" t="s">
        <v>355</v>
      </c>
      <c r="C168" t="s">
        <v>183</v>
      </c>
      <c r="D168" t="s">
        <v>184</v>
      </c>
      <c r="E168" t="s">
        <v>96</v>
      </c>
      <c r="F168">
        <v>30</v>
      </c>
      <c r="G168" t="s">
        <v>185</v>
      </c>
      <c r="H168" t="s">
        <v>84</v>
      </c>
      <c r="I168" t="s">
        <v>186</v>
      </c>
      <c r="J168" t="s">
        <v>187</v>
      </c>
      <c r="K168" t="s">
        <v>29</v>
      </c>
      <c r="L168" t="s">
        <v>337</v>
      </c>
      <c r="M168" t="s">
        <v>188</v>
      </c>
      <c r="N168" s="7">
        <v>5.4203806311732112</v>
      </c>
      <c r="O168" s="7">
        <v>0.17088401480475521</v>
      </c>
      <c r="P168" s="7">
        <v>4</v>
      </c>
      <c r="Q168" s="7">
        <v>6.3139393574385174</v>
      </c>
      <c r="R168" s="7">
        <v>0.13794764678828608</v>
      </c>
      <c r="S168" s="7">
        <v>4</v>
      </c>
      <c r="T168" s="7">
        <v>0.34176802960951042</v>
      </c>
      <c r="U168" s="7">
        <v>0.27589529357657216</v>
      </c>
      <c r="V168" s="7">
        <v>0.15259374549003901</v>
      </c>
      <c r="W168" s="7">
        <v>1.471241360195342E-3</v>
      </c>
      <c r="X168" t="s">
        <v>189</v>
      </c>
      <c r="Y168" t="s">
        <v>190</v>
      </c>
      <c r="Z168" t="s">
        <v>191</v>
      </c>
      <c r="AA168" t="s">
        <v>356</v>
      </c>
      <c r="AB168" t="s">
        <v>92</v>
      </c>
      <c r="AC168" t="s">
        <v>181</v>
      </c>
      <c r="AD168" t="s">
        <v>181</v>
      </c>
      <c r="AE168" t="s">
        <v>1663</v>
      </c>
      <c r="AF168" t="s">
        <v>1664</v>
      </c>
      <c r="AG168" t="s">
        <v>1663</v>
      </c>
      <c r="AH168" t="s">
        <v>1235</v>
      </c>
      <c r="AI168" t="s">
        <v>337</v>
      </c>
      <c r="AJ168" t="s">
        <v>1636</v>
      </c>
      <c r="AK168" t="s">
        <v>1637</v>
      </c>
      <c r="AL168" s="4">
        <v>30</v>
      </c>
      <c r="AM168" t="s">
        <v>185</v>
      </c>
      <c r="AN168">
        <v>30</v>
      </c>
      <c r="AO168" t="s">
        <v>1665</v>
      </c>
      <c r="AP168" t="s">
        <v>1639</v>
      </c>
      <c r="AQ168" t="s">
        <v>1640</v>
      </c>
      <c r="AR168" t="s">
        <v>1666</v>
      </c>
      <c r="AS168">
        <v>1</v>
      </c>
      <c r="AT168">
        <v>0</v>
      </c>
      <c r="AU168">
        <v>0</v>
      </c>
      <c r="AV168">
        <v>1</v>
      </c>
      <c r="AW168">
        <v>0</v>
      </c>
      <c r="AX168">
        <v>0</v>
      </c>
      <c r="AY168" t="s">
        <v>1642</v>
      </c>
    </row>
    <row r="169" spans="1:51">
      <c r="A169" t="s">
        <v>181</v>
      </c>
      <c r="B169" t="s">
        <v>357</v>
      </c>
      <c r="C169" t="s">
        <v>183</v>
      </c>
      <c r="D169" t="s">
        <v>184</v>
      </c>
      <c r="E169" t="s">
        <v>96</v>
      </c>
      <c r="F169">
        <v>60</v>
      </c>
      <c r="G169" t="s">
        <v>185</v>
      </c>
      <c r="H169" t="s">
        <v>84</v>
      </c>
      <c r="I169" t="s">
        <v>186</v>
      </c>
      <c r="J169" t="s">
        <v>187</v>
      </c>
      <c r="K169" t="s">
        <v>29</v>
      </c>
      <c r="L169" t="s">
        <v>337</v>
      </c>
      <c r="M169" t="s">
        <v>188</v>
      </c>
      <c r="N169" s="7">
        <v>5.4203806311732112</v>
      </c>
      <c r="O169" s="7">
        <v>0.17088401480475521</v>
      </c>
      <c r="P169" s="7">
        <v>4</v>
      </c>
      <c r="Q169" s="7">
        <v>5.348091807012552</v>
      </c>
      <c r="R169" s="7">
        <v>0.13794770153960856</v>
      </c>
      <c r="S169" s="7">
        <v>4</v>
      </c>
      <c r="T169" s="7">
        <v>0.34176802960951042</v>
      </c>
      <c r="U169" s="7">
        <v>0.27589540307921712</v>
      </c>
      <c r="V169" s="7">
        <v>-1.3426214440435357E-2</v>
      </c>
      <c r="W169" s="7">
        <v>1.6592224108910375E-3</v>
      </c>
      <c r="X169" t="s">
        <v>189</v>
      </c>
      <c r="Y169" t="s">
        <v>190</v>
      </c>
      <c r="Z169" t="s">
        <v>191</v>
      </c>
      <c r="AA169" t="s">
        <v>356</v>
      </c>
      <c r="AB169" t="s">
        <v>92</v>
      </c>
      <c r="AC169" t="s">
        <v>181</v>
      </c>
      <c r="AD169" t="s">
        <v>181</v>
      </c>
      <c r="AE169" t="s">
        <v>1663</v>
      </c>
      <c r="AF169" t="s">
        <v>1667</v>
      </c>
      <c r="AG169" t="s">
        <v>1663</v>
      </c>
      <c r="AH169" t="s">
        <v>1235</v>
      </c>
      <c r="AI169" t="s">
        <v>337</v>
      </c>
      <c r="AJ169" t="s">
        <v>1636</v>
      </c>
      <c r="AK169" t="s">
        <v>1637</v>
      </c>
      <c r="AL169" s="4">
        <v>60</v>
      </c>
      <c r="AM169" t="s">
        <v>185</v>
      </c>
      <c r="AN169">
        <v>60</v>
      </c>
      <c r="AO169" t="s">
        <v>1665</v>
      </c>
      <c r="AP169" t="s">
        <v>1639</v>
      </c>
      <c r="AQ169" t="s">
        <v>1640</v>
      </c>
      <c r="AR169" t="s">
        <v>1666</v>
      </c>
      <c r="AS169">
        <v>1</v>
      </c>
      <c r="AT169">
        <v>0</v>
      </c>
      <c r="AU169">
        <v>0</v>
      </c>
      <c r="AV169">
        <v>1</v>
      </c>
      <c r="AW169">
        <v>0</v>
      </c>
      <c r="AX169">
        <v>0</v>
      </c>
      <c r="AY169" t="s">
        <v>1642</v>
      </c>
    </row>
    <row r="170" spans="1:51">
      <c r="A170" t="s">
        <v>181</v>
      </c>
      <c r="B170" t="s">
        <v>358</v>
      </c>
      <c r="C170" t="s">
        <v>183</v>
      </c>
      <c r="D170" t="s">
        <v>195</v>
      </c>
      <c r="E170" t="s">
        <v>96</v>
      </c>
      <c r="F170">
        <v>30</v>
      </c>
      <c r="G170" t="s">
        <v>185</v>
      </c>
      <c r="H170" t="s">
        <v>84</v>
      </c>
      <c r="I170" t="s">
        <v>186</v>
      </c>
      <c r="J170" t="s">
        <v>187</v>
      </c>
      <c r="K170" t="s">
        <v>29</v>
      </c>
      <c r="L170" t="s">
        <v>337</v>
      </c>
      <c r="M170" t="s">
        <v>188</v>
      </c>
      <c r="N170" s="7">
        <v>6.1757777972449199</v>
      </c>
      <c r="O170" s="7">
        <v>0.17409211361993818</v>
      </c>
      <c r="P170" s="7">
        <v>4</v>
      </c>
      <c r="Q170" s="7">
        <v>6.3139393574385174</v>
      </c>
      <c r="R170" s="7">
        <v>0.10501133352313943</v>
      </c>
      <c r="S170" s="7">
        <v>4</v>
      </c>
      <c r="T170" s="7">
        <v>0.34818422723987635</v>
      </c>
      <c r="U170" s="7">
        <v>0.21002266704627887</v>
      </c>
      <c r="V170" s="7">
        <v>2.21249519796448E-2</v>
      </c>
      <c r="W170" s="7">
        <v>1.0712604718353968E-3</v>
      </c>
      <c r="X170" t="s">
        <v>189</v>
      </c>
      <c r="Y170" t="s">
        <v>190</v>
      </c>
      <c r="Z170" t="s">
        <v>191</v>
      </c>
      <c r="AA170" t="s">
        <v>359</v>
      </c>
      <c r="AB170" t="s">
        <v>92</v>
      </c>
      <c r="AC170" t="s">
        <v>181</v>
      </c>
      <c r="AD170" t="s">
        <v>181</v>
      </c>
      <c r="AE170" t="s">
        <v>1668</v>
      </c>
      <c r="AF170" t="s">
        <v>1669</v>
      </c>
      <c r="AG170" t="s">
        <v>1668</v>
      </c>
      <c r="AH170" t="s">
        <v>1235</v>
      </c>
      <c r="AI170" t="s">
        <v>337</v>
      </c>
      <c r="AJ170" t="s">
        <v>1636</v>
      </c>
      <c r="AK170" t="s">
        <v>1637</v>
      </c>
      <c r="AL170" s="4">
        <v>30</v>
      </c>
      <c r="AM170" t="s">
        <v>185</v>
      </c>
      <c r="AN170">
        <v>30</v>
      </c>
      <c r="AO170" t="s">
        <v>1665</v>
      </c>
      <c r="AP170" t="s">
        <v>1639</v>
      </c>
      <c r="AQ170" t="s">
        <v>1640</v>
      </c>
      <c r="AR170" t="s">
        <v>1666</v>
      </c>
      <c r="AS170">
        <v>1</v>
      </c>
      <c r="AT170">
        <v>0</v>
      </c>
      <c r="AU170">
        <v>0</v>
      </c>
      <c r="AV170">
        <v>1</v>
      </c>
      <c r="AW170">
        <v>0</v>
      </c>
      <c r="AX170">
        <v>0</v>
      </c>
      <c r="AY170" t="s">
        <v>1642</v>
      </c>
    </row>
    <row r="171" spans="1:51">
      <c r="A171" t="s">
        <v>181</v>
      </c>
      <c r="B171" t="s">
        <v>360</v>
      </c>
      <c r="C171" t="s">
        <v>183</v>
      </c>
      <c r="D171" t="s">
        <v>195</v>
      </c>
      <c r="E171" t="s">
        <v>96</v>
      </c>
      <c r="F171">
        <v>60</v>
      </c>
      <c r="G171" t="s">
        <v>185</v>
      </c>
      <c r="H171" t="s">
        <v>84</v>
      </c>
      <c r="I171" t="s">
        <v>186</v>
      </c>
      <c r="J171" t="s">
        <v>187</v>
      </c>
      <c r="K171" t="s">
        <v>29</v>
      </c>
      <c r="L171" t="s">
        <v>337</v>
      </c>
      <c r="M171" t="s">
        <v>188</v>
      </c>
      <c r="N171" s="7">
        <v>6.1757777972449199</v>
      </c>
      <c r="O171" s="7">
        <v>0.17409211361993818</v>
      </c>
      <c r="P171" s="7">
        <v>4</v>
      </c>
      <c r="Q171" s="7">
        <v>5.2167741617572982</v>
      </c>
      <c r="R171" s="7">
        <v>0.1018031799566371</v>
      </c>
      <c r="S171" s="7">
        <v>4</v>
      </c>
      <c r="T171" s="7">
        <v>0.34818422723987635</v>
      </c>
      <c r="U171" s="7">
        <v>0.20360635991327419</v>
      </c>
      <c r="V171" s="7">
        <v>-0.16875559945645571</v>
      </c>
      <c r="W171" s="7">
        <v>1.1754671485782056E-3</v>
      </c>
      <c r="X171" t="s">
        <v>189</v>
      </c>
      <c r="Y171" t="s">
        <v>190</v>
      </c>
      <c r="Z171" t="s">
        <v>191</v>
      </c>
      <c r="AA171" t="s">
        <v>359</v>
      </c>
      <c r="AB171" t="s">
        <v>92</v>
      </c>
      <c r="AC171" t="s">
        <v>181</v>
      </c>
      <c r="AD171" t="s">
        <v>181</v>
      </c>
      <c r="AE171" t="s">
        <v>1668</v>
      </c>
      <c r="AF171" t="s">
        <v>1670</v>
      </c>
      <c r="AG171" t="s">
        <v>1668</v>
      </c>
      <c r="AH171" t="s">
        <v>1235</v>
      </c>
      <c r="AI171" t="s">
        <v>337</v>
      </c>
      <c r="AJ171" t="s">
        <v>1636</v>
      </c>
      <c r="AK171" t="s">
        <v>1637</v>
      </c>
      <c r="AL171" s="4">
        <v>60</v>
      </c>
      <c r="AM171" t="s">
        <v>185</v>
      </c>
      <c r="AN171">
        <v>60</v>
      </c>
      <c r="AO171" t="s">
        <v>1665</v>
      </c>
      <c r="AP171" t="s">
        <v>1639</v>
      </c>
      <c r="AQ171" t="s">
        <v>1640</v>
      </c>
      <c r="AR171" t="s">
        <v>1666</v>
      </c>
      <c r="AS171">
        <v>1</v>
      </c>
      <c r="AT171">
        <v>0</v>
      </c>
      <c r="AU171">
        <v>0</v>
      </c>
      <c r="AV171">
        <v>1</v>
      </c>
      <c r="AW171">
        <v>0</v>
      </c>
      <c r="AX171">
        <v>0</v>
      </c>
      <c r="AY171" t="s">
        <v>1642</v>
      </c>
    </row>
    <row r="172" spans="1:51">
      <c r="A172" t="s">
        <v>181</v>
      </c>
      <c r="B172" t="s">
        <v>361</v>
      </c>
      <c r="C172" t="s">
        <v>183</v>
      </c>
      <c r="D172" t="s">
        <v>184</v>
      </c>
      <c r="E172" t="s">
        <v>96</v>
      </c>
      <c r="F172">
        <v>30</v>
      </c>
      <c r="G172" t="s">
        <v>185</v>
      </c>
      <c r="H172" t="s">
        <v>84</v>
      </c>
      <c r="I172" t="s">
        <v>186</v>
      </c>
      <c r="J172" t="s">
        <v>187</v>
      </c>
      <c r="K172" t="s">
        <v>29</v>
      </c>
      <c r="L172" t="s">
        <v>337</v>
      </c>
      <c r="M172" t="s">
        <v>188</v>
      </c>
      <c r="N172" s="7">
        <v>6.3139393574385174</v>
      </c>
      <c r="O172" s="7">
        <v>0.17088396005343584</v>
      </c>
      <c r="P172" s="7">
        <v>4</v>
      </c>
      <c r="Q172" s="7">
        <v>6.5175457173517914</v>
      </c>
      <c r="R172" s="7">
        <v>0.1020170933619485</v>
      </c>
      <c r="S172" s="7">
        <v>4</v>
      </c>
      <c r="T172" s="7">
        <v>0.34176792010687168</v>
      </c>
      <c r="U172" s="7">
        <v>0.204034186723897</v>
      </c>
      <c r="V172" s="7">
        <v>3.1738095724807375E-2</v>
      </c>
      <c r="W172" s="7">
        <v>9.7749670976766934E-4</v>
      </c>
      <c r="X172" t="s">
        <v>189</v>
      </c>
      <c r="Y172" t="s">
        <v>190</v>
      </c>
      <c r="Z172" t="s">
        <v>191</v>
      </c>
      <c r="AA172" t="s">
        <v>362</v>
      </c>
      <c r="AB172" t="s">
        <v>92</v>
      </c>
      <c r="AC172" t="s">
        <v>181</v>
      </c>
      <c r="AD172" t="s">
        <v>181</v>
      </c>
      <c r="AE172" t="s">
        <v>1671</v>
      </c>
      <c r="AF172" t="s">
        <v>1672</v>
      </c>
      <c r="AG172" t="s">
        <v>1671</v>
      </c>
      <c r="AH172" t="s">
        <v>1242</v>
      </c>
      <c r="AI172" t="s">
        <v>337</v>
      </c>
      <c r="AJ172" t="s">
        <v>1636</v>
      </c>
      <c r="AK172" t="s">
        <v>1637</v>
      </c>
      <c r="AL172" s="4">
        <v>30</v>
      </c>
      <c r="AM172" t="s">
        <v>185</v>
      </c>
      <c r="AN172">
        <v>30</v>
      </c>
      <c r="AO172" t="s">
        <v>1665</v>
      </c>
      <c r="AP172" t="s">
        <v>1639</v>
      </c>
      <c r="AQ172" t="s">
        <v>1640</v>
      </c>
      <c r="AR172" t="s">
        <v>1666</v>
      </c>
      <c r="AS172">
        <v>1</v>
      </c>
      <c r="AT172">
        <v>0</v>
      </c>
      <c r="AU172">
        <v>0</v>
      </c>
      <c r="AV172">
        <v>1</v>
      </c>
      <c r="AW172">
        <v>0</v>
      </c>
      <c r="AX172">
        <v>0</v>
      </c>
      <c r="AY172" t="s">
        <v>1642</v>
      </c>
    </row>
    <row r="173" spans="1:51">
      <c r="A173" t="s">
        <v>181</v>
      </c>
      <c r="B173" t="s">
        <v>363</v>
      </c>
      <c r="C173" t="s">
        <v>183</v>
      </c>
      <c r="D173" t="s">
        <v>184</v>
      </c>
      <c r="E173" t="s">
        <v>96</v>
      </c>
      <c r="F173">
        <v>60</v>
      </c>
      <c r="G173" t="s">
        <v>185</v>
      </c>
      <c r="H173" t="s">
        <v>84</v>
      </c>
      <c r="I173" t="s">
        <v>186</v>
      </c>
      <c r="J173" t="s">
        <v>187</v>
      </c>
      <c r="K173" t="s">
        <v>29</v>
      </c>
      <c r="L173" t="s">
        <v>337</v>
      </c>
      <c r="M173" t="s">
        <v>188</v>
      </c>
      <c r="N173" s="7">
        <v>6.3139393574385174</v>
      </c>
      <c r="O173" s="7">
        <v>0.17088396005343584</v>
      </c>
      <c r="P173" s="7">
        <v>4</v>
      </c>
      <c r="Q173" s="7">
        <v>6.3798119839688168</v>
      </c>
      <c r="R173" s="7">
        <v>6.8866866691487338E-2</v>
      </c>
      <c r="S173" s="7">
        <v>4</v>
      </c>
      <c r="T173" s="7">
        <v>0.34176792010687168</v>
      </c>
      <c r="U173" s="7">
        <v>0.13773373338297468</v>
      </c>
      <c r="V173" s="7">
        <v>1.0378841695585624E-2</v>
      </c>
      <c r="W173" s="7">
        <v>8.4901132998188534E-4</v>
      </c>
      <c r="X173" t="s">
        <v>189</v>
      </c>
      <c r="Y173" t="s">
        <v>190</v>
      </c>
      <c r="Z173" t="s">
        <v>191</v>
      </c>
      <c r="AA173" t="s">
        <v>362</v>
      </c>
      <c r="AB173" t="s">
        <v>92</v>
      </c>
      <c r="AC173" t="s">
        <v>181</v>
      </c>
      <c r="AD173" t="s">
        <v>181</v>
      </c>
      <c r="AE173" t="s">
        <v>1671</v>
      </c>
      <c r="AF173" t="s">
        <v>1673</v>
      </c>
      <c r="AG173" t="s">
        <v>1671</v>
      </c>
      <c r="AH173" t="s">
        <v>1242</v>
      </c>
      <c r="AI173" t="s">
        <v>337</v>
      </c>
      <c r="AJ173" t="s">
        <v>1636</v>
      </c>
      <c r="AK173" t="s">
        <v>1637</v>
      </c>
      <c r="AL173" s="4">
        <v>60</v>
      </c>
      <c r="AM173" t="s">
        <v>185</v>
      </c>
      <c r="AN173">
        <v>60</v>
      </c>
      <c r="AO173" t="s">
        <v>1665</v>
      </c>
      <c r="AP173" t="s">
        <v>1639</v>
      </c>
      <c r="AQ173" t="s">
        <v>1640</v>
      </c>
      <c r="AR173" t="s">
        <v>1666</v>
      </c>
      <c r="AS173">
        <v>1</v>
      </c>
      <c r="AT173">
        <v>0</v>
      </c>
      <c r="AU173">
        <v>0</v>
      </c>
      <c r="AV173">
        <v>1</v>
      </c>
      <c r="AW173">
        <v>0</v>
      </c>
      <c r="AX173">
        <v>0</v>
      </c>
      <c r="AY173" t="s">
        <v>1642</v>
      </c>
    </row>
    <row r="174" spans="1:51">
      <c r="A174" t="s">
        <v>181</v>
      </c>
      <c r="B174" t="s">
        <v>364</v>
      </c>
      <c r="C174" t="s">
        <v>183</v>
      </c>
      <c r="D174" t="s">
        <v>195</v>
      </c>
      <c r="E174" t="s">
        <v>96</v>
      </c>
      <c r="F174">
        <v>30</v>
      </c>
      <c r="G174" t="s">
        <v>185</v>
      </c>
      <c r="H174" t="s">
        <v>84</v>
      </c>
      <c r="I174" t="s">
        <v>186</v>
      </c>
      <c r="J174" t="s">
        <v>187</v>
      </c>
      <c r="K174" t="s">
        <v>29</v>
      </c>
      <c r="L174" t="s">
        <v>337</v>
      </c>
      <c r="M174" t="s">
        <v>188</v>
      </c>
      <c r="N174" s="7">
        <v>5.4862533672061558</v>
      </c>
      <c r="O174" s="7">
        <v>0.34155411620419901</v>
      </c>
      <c r="P174" s="7">
        <v>4</v>
      </c>
      <c r="Q174" s="7">
        <v>6.5834184533847298</v>
      </c>
      <c r="R174" s="7">
        <v>6.8866921442806706E-2</v>
      </c>
      <c r="S174" s="7">
        <v>4</v>
      </c>
      <c r="T174" s="7">
        <v>0.68310823240839802</v>
      </c>
      <c r="U174" s="7">
        <v>0.13773384288561341</v>
      </c>
      <c r="V174" s="7">
        <v>0.18230855644969085</v>
      </c>
      <c r="W174" s="7">
        <v>3.9852787294447729E-3</v>
      </c>
      <c r="X174" t="s">
        <v>189</v>
      </c>
      <c r="Y174" t="s">
        <v>190</v>
      </c>
      <c r="Z174" t="s">
        <v>191</v>
      </c>
      <c r="AA174" t="s">
        <v>365</v>
      </c>
      <c r="AB174" t="s">
        <v>92</v>
      </c>
      <c r="AC174" t="s">
        <v>181</v>
      </c>
      <c r="AD174" t="s">
        <v>181</v>
      </c>
      <c r="AE174" t="s">
        <v>1674</v>
      </c>
      <c r="AF174" t="s">
        <v>1675</v>
      </c>
      <c r="AG174" t="s">
        <v>1674</v>
      </c>
      <c r="AH174" t="s">
        <v>1242</v>
      </c>
      <c r="AI174" t="s">
        <v>337</v>
      </c>
      <c r="AJ174" t="s">
        <v>1636</v>
      </c>
      <c r="AK174" t="s">
        <v>1637</v>
      </c>
      <c r="AL174" s="4">
        <v>30</v>
      </c>
      <c r="AM174" t="s">
        <v>185</v>
      </c>
      <c r="AN174">
        <v>30</v>
      </c>
      <c r="AO174" t="s">
        <v>1665</v>
      </c>
      <c r="AP174" t="s">
        <v>1639</v>
      </c>
      <c r="AQ174" t="s">
        <v>1640</v>
      </c>
      <c r="AR174" t="s">
        <v>1666</v>
      </c>
      <c r="AS174">
        <v>1</v>
      </c>
      <c r="AT174">
        <v>0</v>
      </c>
      <c r="AU174">
        <v>0</v>
      </c>
      <c r="AV174">
        <v>1</v>
      </c>
      <c r="AW174">
        <v>0</v>
      </c>
      <c r="AX174">
        <v>0</v>
      </c>
      <c r="AY174" t="s">
        <v>1642</v>
      </c>
    </row>
    <row r="175" spans="1:51">
      <c r="A175" t="s">
        <v>181</v>
      </c>
      <c r="B175" t="s">
        <v>366</v>
      </c>
      <c r="C175" t="s">
        <v>183</v>
      </c>
      <c r="D175" t="s">
        <v>195</v>
      </c>
      <c r="E175" t="s">
        <v>96</v>
      </c>
      <c r="F175">
        <v>60</v>
      </c>
      <c r="G175" t="s">
        <v>185</v>
      </c>
      <c r="H175" t="s">
        <v>84</v>
      </c>
      <c r="I175" t="s">
        <v>186</v>
      </c>
      <c r="J175" t="s">
        <v>187</v>
      </c>
      <c r="K175" t="s">
        <v>29</v>
      </c>
      <c r="L175" t="s">
        <v>337</v>
      </c>
      <c r="M175" t="s">
        <v>188</v>
      </c>
      <c r="N175" s="7">
        <v>5.4862533672061558</v>
      </c>
      <c r="O175" s="7">
        <v>0.34155411620419901</v>
      </c>
      <c r="P175" s="7">
        <v>4</v>
      </c>
      <c r="Q175" s="7">
        <v>6.2416504237752131</v>
      </c>
      <c r="R175" s="7">
        <v>0.13794770153960856</v>
      </c>
      <c r="S175" s="7">
        <v>4</v>
      </c>
      <c r="T175" s="7">
        <v>0.68310823240839802</v>
      </c>
      <c r="U175" s="7">
        <v>0.27589540307921712</v>
      </c>
      <c r="V175" s="7">
        <v>0.12899906262557465</v>
      </c>
      <c r="W175" s="7">
        <v>4.3643144405600669E-3</v>
      </c>
      <c r="X175" t="s">
        <v>189</v>
      </c>
      <c r="Y175" t="s">
        <v>190</v>
      </c>
      <c r="Z175" t="s">
        <v>191</v>
      </c>
      <c r="AA175" t="s">
        <v>365</v>
      </c>
      <c r="AB175" t="s">
        <v>92</v>
      </c>
      <c r="AC175" t="s">
        <v>181</v>
      </c>
      <c r="AD175" t="s">
        <v>181</v>
      </c>
      <c r="AE175" t="s">
        <v>1674</v>
      </c>
      <c r="AF175" t="s">
        <v>1676</v>
      </c>
      <c r="AG175" t="s">
        <v>1674</v>
      </c>
      <c r="AH175" t="s">
        <v>1242</v>
      </c>
      <c r="AI175" t="s">
        <v>337</v>
      </c>
      <c r="AJ175" t="s">
        <v>1636</v>
      </c>
      <c r="AK175" t="s">
        <v>1637</v>
      </c>
      <c r="AL175" s="4">
        <v>60</v>
      </c>
      <c r="AM175" t="s">
        <v>185</v>
      </c>
      <c r="AN175">
        <v>60</v>
      </c>
      <c r="AO175" t="s">
        <v>1665</v>
      </c>
      <c r="AP175" t="s">
        <v>1639</v>
      </c>
      <c r="AQ175" t="s">
        <v>1640</v>
      </c>
      <c r="AR175" t="s">
        <v>1666</v>
      </c>
      <c r="AS175">
        <v>1</v>
      </c>
      <c r="AT175">
        <v>0</v>
      </c>
      <c r="AU175">
        <v>0</v>
      </c>
      <c r="AV175">
        <v>1</v>
      </c>
      <c r="AW175">
        <v>0</v>
      </c>
      <c r="AX175">
        <v>0</v>
      </c>
      <c r="AY175" t="s">
        <v>1642</v>
      </c>
    </row>
    <row r="176" spans="1:51">
      <c r="A176" t="s">
        <v>181</v>
      </c>
      <c r="B176" t="s">
        <v>367</v>
      </c>
      <c r="C176" t="s">
        <v>183</v>
      </c>
      <c r="D176" t="s">
        <v>184</v>
      </c>
      <c r="E176" t="s">
        <v>96</v>
      </c>
      <c r="F176">
        <v>30</v>
      </c>
      <c r="G176" t="s">
        <v>185</v>
      </c>
      <c r="H176" t="s">
        <v>84</v>
      </c>
      <c r="I176" t="s">
        <v>186</v>
      </c>
      <c r="J176" t="s">
        <v>187</v>
      </c>
      <c r="K176" t="s">
        <v>29</v>
      </c>
      <c r="L176" t="s">
        <v>337</v>
      </c>
      <c r="M176" t="s">
        <v>188</v>
      </c>
      <c r="N176" s="7">
        <v>6.8593137469613019</v>
      </c>
      <c r="O176" s="7">
        <v>0.10180323470795646</v>
      </c>
      <c r="P176" s="7">
        <v>4</v>
      </c>
      <c r="Q176" s="7">
        <v>6.1757777972449199</v>
      </c>
      <c r="R176" s="7">
        <v>0.2068145682310959</v>
      </c>
      <c r="S176" s="7">
        <v>4</v>
      </c>
      <c r="T176" s="7">
        <v>0.20360646941591293</v>
      </c>
      <c r="U176" s="7">
        <v>0.41362913646219179</v>
      </c>
      <c r="V176" s="7">
        <v>-0.10497256619779648</v>
      </c>
      <c r="W176" s="7">
        <v>1.3417207402165424E-3</v>
      </c>
      <c r="X176" t="s">
        <v>189</v>
      </c>
      <c r="Y176" t="s">
        <v>190</v>
      </c>
      <c r="Z176" t="s">
        <v>191</v>
      </c>
      <c r="AA176" t="s">
        <v>368</v>
      </c>
      <c r="AB176" t="s">
        <v>92</v>
      </c>
      <c r="AC176" t="s">
        <v>181</v>
      </c>
      <c r="AD176" t="s">
        <v>181</v>
      </c>
      <c r="AE176" t="s">
        <v>1677</v>
      </c>
      <c r="AF176" t="s">
        <v>1678</v>
      </c>
      <c r="AG176" t="s">
        <v>1677</v>
      </c>
      <c r="AH176" t="s">
        <v>1243</v>
      </c>
      <c r="AI176" t="s">
        <v>337</v>
      </c>
      <c r="AJ176" t="s">
        <v>1636</v>
      </c>
      <c r="AK176" t="s">
        <v>1637</v>
      </c>
      <c r="AL176" s="4">
        <v>30</v>
      </c>
      <c r="AM176" t="s">
        <v>185</v>
      </c>
      <c r="AN176">
        <v>30</v>
      </c>
      <c r="AO176" t="s">
        <v>1665</v>
      </c>
      <c r="AP176" t="s">
        <v>1639</v>
      </c>
      <c r="AQ176" t="s">
        <v>1640</v>
      </c>
      <c r="AR176" t="s">
        <v>1666</v>
      </c>
      <c r="AS176">
        <v>1</v>
      </c>
      <c r="AT176">
        <v>0</v>
      </c>
      <c r="AU176">
        <v>0</v>
      </c>
      <c r="AV176">
        <v>1</v>
      </c>
      <c r="AW176">
        <v>0</v>
      </c>
      <c r="AX176">
        <v>0</v>
      </c>
      <c r="AY176" t="s">
        <v>1642</v>
      </c>
    </row>
    <row r="177" spans="1:51">
      <c r="A177" t="s">
        <v>181</v>
      </c>
      <c r="B177" t="s">
        <v>369</v>
      </c>
      <c r="C177" t="s">
        <v>183</v>
      </c>
      <c r="D177" t="s">
        <v>184</v>
      </c>
      <c r="E177" t="s">
        <v>96</v>
      </c>
      <c r="F177">
        <v>60</v>
      </c>
      <c r="G177" t="s">
        <v>185</v>
      </c>
      <c r="H177" t="s">
        <v>84</v>
      </c>
      <c r="I177" t="s">
        <v>186</v>
      </c>
      <c r="J177" t="s">
        <v>187</v>
      </c>
      <c r="K177" t="s">
        <v>29</v>
      </c>
      <c r="L177" t="s">
        <v>337</v>
      </c>
      <c r="M177" t="s">
        <v>188</v>
      </c>
      <c r="N177" s="7">
        <v>6.8593137469613019</v>
      </c>
      <c r="O177" s="7">
        <v>0.10180323470795646</v>
      </c>
      <c r="P177" s="7">
        <v>4</v>
      </c>
      <c r="Q177" s="7">
        <v>6.2416504237752131</v>
      </c>
      <c r="R177" s="7">
        <v>0.17409211361993818</v>
      </c>
      <c r="S177" s="7">
        <v>4</v>
      </c>
      <c r="T177" s="7">
        <v>0.20360646941591293</v>
      </c>
      <c r="U177" s="7">
        <v>0.34818422723987635</v>
      </c>
      <c r="V177" s="7">
        <v>-9.4362761448284996E-2</v>
      </c>
      <c r="W177" s="7">
        <v>9.9823694410604161E-4</v>
      </c>
      <c r="X177" t="s">
        <v>189</v>
      </c>
      <c r="Y177" t="s">
        <v>190</v>
      </c>
      <c r="Z177" t="s">
        <v>191</v>
      </c>
      <c r="AA177" t="s">
        <v>368</v>
      </c>
      <c r="AB177" t="s">
        <v>92</v>
      </c>
      <c r="AC177" t="s">
        <v>181</v>
      </c>
      <c r="AD177" t="s">
        <v>181</v>
      </c>
      <c r="AE177" t="s">
        <v>1677</v>
      </c>
      <c r="AF177" t="s">
        <v>1679</v>
      </c>
      <c r="AG177" t="s">
        <v>1677</v>
      </c>
      <c r="AH177" t="s">
        <v>1243</v>
      </c>
      <c r="AI177" t="s">
        <v>337</v>
      </c>
      <c r="AJ177" t="s">
        <v>1636</v>
      </c>
      <c r="AK177" t="s">
        <v>1637</v>
      </c>
      <c r="AL177" s="4">
        <v>60</v>
      </c>
      <c r="AM177" t="s">
        <v>185</v>
      </c>
      <c r="AN177">
        <v>60</v>
      </c>
      <c r="AO177" t="s">
        <v>1665</v>
      </c>
      <c r="AP177" t="s">
        <v>1639</v>
      </c>
      <c r="AQ177" t="s">
        <v>1640</v>
      </c>
      <c r="AR177" t="s">
        <v>1666</v>
      </c>
      <c r="AS177">
        <v>1</v>
      </c>
      <c r="AT177">
        <v>0</v>
      </c>
      <c r="AU177">
        <v>0</v>
      </c>
      <c r="AV177">
        <v>1</v>
      </c>
      <c r="AW177">
        <v>0</v>
      </c>
      <c r="AX177">
        <v>0</v>
      </c>
      <c r="AY177" t="s">
        <v>1642</v>
      </c>
    </row>
    <row r="178" spans="1:51">
      <c r="A178" t="s">
        <v>181</v>
      </c>
      <c r="B178" t="s">
        <v>370</v>
      </c>
      <c r="C178" t="s">
        <v>183</v>
      </c>
      <c r="D178" t="s">
        <v>195</v>
      </c>
      <c r="E178" t="s">
        <v>96</v>
      </c>
      <c r="F178">
        <v>30</v>
      </c>
      <c r="G178" t="s">
        <v>185</v>
      </c>
      <c r="H178" t="s">
        <v>84</v>
      </c>
      <c r="I178" t="s">
        <v>186</v>
      </c>
      <c r="J178" t="s">
        <v>187</v>
      </c>
      <c r="K178" t="s">
        <v>29</v>
      </c>
      <c r="L178" t="s">
        <v>337</v>
      </c>
      <c r="M178" t="s">
        <v>188</v>
      </c>
      <c r="N178" s="7">
        <v>6.2416504237752131</v>
      </c>
      <c r="O178" s="7">
        <v>3.2936313265146649E-2</v>
      </c>
      <c r="P178" s="7">
        <v>4</v>
      </c>
      <c r="Q178" s="7">
        <v>6.9316025711219673</v>
      </c>
      <c r="R178" s="7">
        <v>0.30861780293905239</v>
      </c>
      <c r="S178" s="7">
        <v>4</v>
      </c>
      <c r="T178" s="7">
        <v>6.5872626530293299E-2</v>
      </c>
      <c r="U178" s="7">
        <v>0.61723560587810478</v>
      </c>
      <c r="V178" s="7">
        <v>0.10484639931213731</v>
      </c>
      <c r="W178" s="7">
        <v>2.0101692617766919E-3</v>
      </c>
      <c r="X178" t="s">
        <v>189</v>
      </c>
      <c r="Y178" t="s">
        <v>190</v>
      </c>
      <c r="Z178" t="s">
        <v>191</v>
      </c>
      <c r="AA178" t="s">
        <v>371</v>
      </c>
      <c r="AB178" t="s">
        <v>92</v>
      </c>
      <c r="AC178" t="s">
        <v>181</v>
      </c>
      <c r="AD178" t="s">
        <v>181</v>
      </c>
      <c r="AE178" t="s">
        <v>1680</v>
      </c>
      <c r="AF178" t="s">
        <v>1681</v>
      </c>
      <c r="AG178" t="s">
        <v>1680</v>
      </c>
      <c r="AH178" t="s">
        <v>1243</v>
      </c>
      <c r="AI178" t="s">
        <v>337</v>
      </c>
      <c r="AJ178" t="s">
        <v>1636</v>
      </c>
      <c r="AK178" t="s">
        <v>1637</v>
      </c>
      <c r="AL178" s="4">
        <v>30</v>
      </c>
      <c r="AM178" t="s">
        <v>185</v>
      </c>
      <c r="AN178">
        <v>30</v>
      </c>
      <c r="AO178" t="s">
        <v>1665</v>
      </c>
      <c r="AP178" t="s">
        <v>1639</v>
      </c>
      <c r="AQ178" t="s">
        <v>1640</v>
      </c>
      <c r="AR178" t="s">
        <v>1666</v>
      </c>
      <c r="AS178">
        <v>1</v>
      </c>
      <c r="AT178">
        <v>0</v>
      </c>
      <c r="AU178">
        <v>0</v>
      </c>
      <c r="AV178">
        <v>1</v>
      </c>
      <c r="AW178">
        <v>0</v>
      </c>
      <c r="AX178">
        <v>0</v>
      </c>
      <c r="AY178" t="s">
        <v>1642</v>
      </c>
    </row>
    <row r="179" spans="1:51">
      <c r="A179" t="s">
        <v>181</v>
      </c>
      <c r="B179" t="s">
        <v>372</v>
      </c>
      <c r="C179" t="s">
        <v>183</v>
      </c>
      <c r="D179" t="s">
        <v>195</v>
      </c>
      <c r="E179" t="s">
        <v>96</v>
      </c>
      <c r="F179">
        <v>60</v>
      </c>
      <c r="G179" t="s">
        <v>185</v>
      </c>
      <c r="H179" t="s">
        <v>84</v>
      </c>
      <c r="I179" t="s">
        <v>186</v>
      </c>
      <c r="J179" t="s">
        <v>187</v>
      </c>
      <c r="K179" t="s">
        <v>29</v>
      </c>
      <c r="L179" t="s">
        <v>337</v>
      </c>
      <c r="M179" t="s">
        <v>188</v>
      </c>
      <c r="N179" s="7">
        <v>6.2416504237752131</v>
      </c>
      <c r="O179" s="7">
        <v>3.2936313265146649E-2</v>
      </c>
      <c r="P179" s="7">
        <v>4</v>
      </c>
      <c r="Q179" s="7">
        <v>6.5834184533847298</v>
      </c>
      <c r="R179" s="7">
        <v>0.3779123869385238</v>
      </c>
      <c r="S179" s="7">
        <v>4</v>
      </c>
      <c r="T179" s="7">
        <v>6.5872626530293299E-2</v>
      </c>
      <c r="U179" s="7">
        <v>0.75582477387704761</v>
      </c>
      <c r="V179" s="7">
        <v>5.3309493824116261E-2</v>
      </c>
      <c r="W179" s="7">
        <v>3.3230266917729013E-3</v>
      </c>
      <c r="X179" t="s">
        <v>189</v>
      </c>
      <c r="Y179" t="s">
        <v>190</v>
      </c>
      <c r="Z179" t="s">
        <v>191</v>
      </c>
      <c r="AA179" t="s">
        <v>371</v>
      </c>
      <c r="AB179" t="s">
        <v>92</v>
      </c>
      <c r="AC179" t="s">
        <v>181</v>
      </c>
      <c r="AD179" t="s">
        <v>181</v>
      </c>
      <c r="AE179" t="s">
        <v>1680</v>
      </c>
      <c r="AF179" t="s">
        <v>1682</v>
      </c>
      <c r="AG179" t="s">
        <v>1680</v>
      </c>
      <c r="AH179" t="s">
        <v>1243</v>
      </c>
      <c r="AI179" t="s">
        <v>337</v>
      </c>
      <c r="AJ179" t="s">
        <v>1636</v>
      </c>
      <c r="AK179" t="s">
        <v>1637</v>
      </c>
      <c r="AL179" s="4">
        <v>60</v>
      </c>
      <c r="AM179" t="s">
        <v>185</v>
      </c>
      <c r="AN179">
        <v>60</v>
      </c>
      <c r="AO179" t="s">
        <v>1665</v>
      </c>
      <c r="AP179" t="s">
        <v>1639</v>
      </c>
      <c r="AQ179" t="s">
        <v>1640</v>
      </c>
      <c r="AR179" t="s">
        <v>1666</v>
      </c>
      <c r="AS179">
        <v>1</v>
      </c>
      <c r="AT179">
        <v>0</v>
      </c>
      <c r="AU179">
        <v>0</v>
      </c>
      <c r="AV179">
        <v>1</v>
      </c>
      <c r="AW179">
        <v>0</v>
      </c>
      <c r="AX179">
        <v>0</v>
      </c>
      <c r="AY179" t="s">
        <v>1642</v>
      </c>
    </row>
    <row r="180" spans="1:51">
      <c r="A180" t="s">
        <v>373</v>
      </c>
      <c r="B180" t="s">
        <v>374</v>
      </c>
      <c r="C180" t="s">
        <v>375</v>
      </c>
      <c r="E180" t="s">
        <v>96</v>
      </c>
      <c r="F180">
        <v>3</v>
      </c>
      <c r="G180" t="s">
        <v>185</v>
      </c>
      <c r="H180" t="s">
        <v>376</v>
      </c>
      <c r="I180" t="s">
        <v>377</v>
      </c>
      <c r="J180" t="s">
        <v>378</v>
      </c>
      <c r="K180" t="s">
        <v>149</v>
      </c>
      <c r="L180" t="s">
        <v>40</v>
      </c>
      <c r="M180" t="s">
        <v>188</v>
      </c>
      <c r="N180" s="7">
        <v>16.59</v>
      </c>
      <c r="O180" s="7"/>
      <c r="P180" s="7">
        <v>3</v>
      </c>
      <c r="Q180" s="7">
        <v>17.03</v>
      </c>
      <c r="R180" s="7"/>
      <c r="S180" s="7">
        <v>3</v>
      </c>
      <c r="T180" s="7">
        <v>0.95</v>
      </c>
      <c r="U180" s="7">
        <v>1.06</v>
      </c>
      <c r="V180" s="7">
        <v>2.6176390472243877E-2</v>
      </c>
      <c r="W180" s="7">
        <v>2.3844339558637918E-3</v>
      </c>
      <c r="X180" t="s">
        <v>379</v>
      </c>
      <c r="Y180" t="s">
        <v>380</v>
      </c>
      <c r="Z180" t="s">
        <v>381</v>
      </c>
      <c r="AA180" t="s">
        <v>382</v>
      </c>
      <c r="AB180" t="s">
        <v>92</v>
      </c>
      <c r="AC180" t="s">
        <v>373</v>
      </c>
      <c r="AD180" t="s">
        <v>373</v>
      </c>
      <c r="AE180" t="s">
        <v>1683</v>
      </c>
      <c r="AF180" t="s">
        <v>1684</v>
      </c>
      <c r="AG180" t="s">
        <v>1683</v>
      </c>
      <c r="AI180" t="s">
        <v>40</v>
      </c>
      <c r="AJ180" t="s">
        <v>1636</v>
      </c>
      <c r="AK180" t="s">
        <v>1637</v>
      </c>
      <c r="AL180" s="4">
        <v>3</v>
      </c>
      <c r="AM180" t="s">
        <v>185</v>
      </c>
      <c r="AN180">
        <v>3</v>
      </c>
      <c r="AO180" t="s">
        <v>1665</v>
      </c>
      <c r="AP180" t="s">
        <v>1639</v>
      </c>
      <c r="AQ180" t="s">
        <v>1685</v>
      </c>
      <c r="AR180" t="s">
        <v>1686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 t="s">
        <v>1642</v>
      </c>
    </row>
    <row r="181" spans="1:51">
      <c r="A181" t="s">
        <v>373</v>
      </c>
      <c r="B181" t="s">
        <v>383</v>
      </c>
      <c r="C181" t="s">
        <v>375</v>
      </c>
      <c r="E181" t="s">
        <v>96</v>
      </c>
      <c r="F181">
        <v>6</v>
      </c>
      <c r="G181" t="s">
        <v>185</v>
      </c>
      <c r="H181" t="s">
        <v>376</v>
      </c>
      <c r="I181" t="s">
        <v>377</v>
      </c>
      <c r="J181" t="s">
        <v>378</v>
      </c>
      <c r="K181" t="s">
        <v>149</v>
      </c>
      <c r="L181" t="s">
        <v>40</v>
      </c>
      <c r="M181" t="s">
        <v>188</v>
      </c>
      <c r="N181" s="7">
        <v>16.59</v>
      </c>
      <c r="O181" s="7"/>
      <c r="P181" s="7">
        <v>3</v>
      </c>
      <c r="Q181" s="7">
        <v>17.170000000000002</v>
      </c>
      <c r="R181" s="7"/>
      <c r="S181" s="7">
        <v>3</v>
      </c>
      <c r="T181" s="7">
        <v>0.95</v>
      </c>
      <c r="U181" s="7">
        <v>0.99</v>
      </c>
      <c r="V181" s="7">
        <v>3.4363570707031242E-2</v>
      </c>
      <c r="W181" s="7">
        <v>2.201208272388211E-3</v>
      </c>
      <c r="X181" t="s">
        <v>379</v>
      </c>
      <c r="Y181" t="s">
        <v>380</v>
      </c>
      <c r="Z181" t="s">
        <v>381</v>
      </c>
      <c r="AA181" t="s">
        <v>382</v>
      </c>
      <c r="AB181" t="s">
        <v>92</v>
      </c>
      <c r="AC181" t="s">
        <v>373</v>
      </c>
      <c r="AD181" t="s">
        <v>373</v>
      </c>
      <c r="AE181" t="s">
        <v>1683</v>
      </c>
      <c r="AF181" t="s">
        <v>1687</v>
      </c>
      <c r="AG181" t="s">
        <v>1683</v>
      </c>
      <c r="AI181" t="s">
        <v>40</v>
      </c>
      <c r="AJ181" t="s">
        <v>1636</v>
      </c>
      <c r="AK181" t="s">
        <v>1637</v>
      </c>
      <c r="AL181" s="4">
        <v>6</v>
      </c>
      <c r="AM181" t="s">
        <v>185</v>
      </c>
      <c r="AN181">
        <v>6</v>
      </c>
      <c r="AO181" t="s">
        <v>1665</v>
      </c>
      <c r="AP181" t="s">
        <v>1639</v>
      </c>
      <c r="AQ181" t="s">
        <v>1685</v>
      </c>
      <c r="AR181" t="s">
        <v>1686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 t="s">
        <v>1642</v>
      </c>
    </row>
    <row r="182" spans="1:51">
      <c r="A182" t="s">
        <v>373</v>
      </c>
      <c r="B182" t="s">
        <v>384</v>
      </c>
      <c r="C182" t="s">
        <v>375</v>
      </c>
      <c r="E182" t="s">
        <v>96</v>
      </c>
      <c r="F182">
        <v>3</v>
      </c>
      <c r="G182" t="s">
        <v>185</v>
      </c>
      <c r="H182" t="s">
        <v>376</v>
      </c>
      <c r="I182" t="s">
        <v>377</v>
      </c>
      <c r="J182" t="s">
        <v>378</v>
      </c>
      <c r="K182" t="s">
        <v>149</v>
      </c>
      <c r="L182" t="s">
        <v>30</v>
      </c>
      <c r="M182" t="s">
        <v>188</v>
      </c>
      <c r="N182" s="7">
        <v>8.0399999999999991</v>
      </c>
      <c r="O182" s="7"/>
      <c r="P182" s="7">
        <v>3</v>
      </c>
      <c r="Q182" s="7">
        <v>8.9600000000000009</v>
      </c>
      <c r="R182" s="7"/>
      <c r="S182" s="7">
        <v>3</v>
      </c>
      <c r="T182" s="7">
        <v>0.9</v>
      </c>
      <c r="U182" s="7">
        <v>1.04</v>
      </c>
      <c r="V182" s="7">
        <v>0.10834114379596434</v>
      </c>
      <c r="W182" s="7">
        <v>8.667735653517368E-3</v>
      </c>
      <c r="X182" t="s">
        <v>379</v>
      </c>
      <c r="Y182" t="s">
        <v>380</v>
      </c>
      <c r="Z182" t="s">
        <v>381</v>
      </c>
      <c r="AA182" t="s">
        <v>385</v>
      </c>
      <c r="AB182" t="s">
        <v>92</v>
      </c>
      <c r="AC182" t="s">
        <v>373</v>
      </c>
      <c r="AD182" t="s">
        <v>373</v>
      </c>
      <c r="AE182" t="s">
        <v>1683</v>
      </c>
      <c r="AF182" t="s">
        <v>1684</v>
      </c>
      <c r="AG182" t="s">
        <v>1683</v>
      </c>
      <c r="AI182" t="s">
        <v>30</v>
      </c>
      <c r="AJ182" t="s">
        <v>1636</v>
      </c>
      <c r="AK182" t="s">
        <v>1637</v>
      </c>
      <c r="AL182" s="4">
        <v>3</v>
      </c>
      <c r="AM182" t="s">
        <v>185</v>
      </c>
      <c r="AN182">
        <v>3</v>
      </c>
      <c r="AO182" t="s">
        <v>1665</v>
      </c>
      <c r="AP182" t="s">
        <v>1639</v>
      </c>
      <c r="AQ182" t="s">
        <v>1685</v>
      </c>
      <c r="AR182" t="s">
        <v>1686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 t="s">
        <v>1642</v>
      </c>
    </row>
    <row r="183" spans="1:51">
      <c r="A183" t="s">
        <v>373</v>
      </c>
      <c r="B183" t="s">
        <v>386</v>
      </c>
      <c r="C183" t="s">
        <v>375</v>
      </c>
      <c r="E183" t="s">
        <v>96</v>
      </c>
      <c r="F183">
        <v>6</v>
      </c>
      <c r="G183" t="s">
        <v>185</v>
      </c>
      <c r="H183" t="s">
        <v>376</v>
      </c>
      <c r="I183" t="s">
        <v>377</v>
      </c>
      <c r="J183" t="s">
        <v>378</v>
      </c>
      <c r="K183" t="s">
        <v>149</v>
      </c>
      <c r="L183" t="s">
        <v>30</v>
      </c>
      <c r="M183" t="s">
        <v>188</v>
      </c>
      <c r="N183" s="7">
        <v>8.0399999999999991</v>
      </c>
      <c r="O183" s="7"/>
      <c r="P183" s="7">
        <v>3</v>
      </c>
      <c r="Q183" s="7">
        <v>10.36</v>
      </c>
      <c r="R183" s="7"/>
      <c r="S183" s="7">
        <v>3</v>
      </c>
      <c r="T183" s="7">
        <v>0.9</v>
      </c>
      <c r="U183" s="7">
        <v>0.93</v>
      </c>
      <c r="V183" s="7">
        <v>0.25352315364046202</v>
      </c>
      <c r="W183" s="7">
        <v>6.8629950849013171E-3</v>
      </c>
      <c r="X183" t="s">
        <v>379</v>
      </c>
      <c r="Y183" t="s">
        <v>380</v>
      </c>
      <c r="Z183" t="s">
        <v>381</v>
      </c>
      <c r="AA183" t="s">
        <v>385</v>
      </c>
      <c r="AB183" t="s">
        <v>92</v>
      </c>
      <c r="AC183" t="s">
        <v>373</v>
      </c>
      <c r="AD183" t="s">
        <v>373</v>
      </c>
      <c r="AE183" t="s">
        <v>1683</v>
      </c>
      <c r="AF183" t="s">
        <v>1687</v>
      </c>
      <c r="AG183" t="s">
        <v>1683</v>
      </c>
      <c r="AI183" t="s">
        <v>30</v>
      </c>
      <c r="AJ183" t="s">
        <v>1636</v>
      </c>
      <c r="AK183" t="s">
        <v>1637</v>
      </c>
      <c r="AL183" s="4">
        <v>6</v>
      </c>
      <c r="AM183" t="s">
        <v>185</v>
      </c>
      <c r="AN183">
        <v>6</v>
      </c>
      <c r="AO183" t="s">
        <v>1665</v>
      </c>
      <c r="AP183" t="s">
        <v>1639</v>
      </c>
      <c r="AQ183" t="s">
        <v>1685</v>
      </c>
      <c r="AR183" t="s">
        <v>1686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 t="s">
        <v>1642</v>
      </c>
    </row>
    <row r="184" spans="1:51">
      <c r="A184" t="s">
        <v>373</v>
      </c>
      <c r="B184" t="s">
        <v>387</v>
      </c>
      <c r="C184" t="s">
        <v>375</v>
      </c>
      <c r="E184" t="s">
        <v>96</v>
      </c>
      <c r="F184">
        <v>3</v>
      </c>
      <c r="G184" t="s">
        <v>185</v>
      </c>
      <c r="H184" t="s">
        <v>376</v>
      </c>
      <c r="I184" t="s">
        <v>377</v>
      </c>
      <c r="J184" t="s">
        <v>378</v>
      </c>
      <c r="K184" t="s">
        <v>149</v>
      </c>
      <c r="L184" t="s">
        <v>337</v>
      </c>
      <c r="M184" t="s">
        <v>188</v>
      </c>
      <c r="N184" s="7">
        <v>5.04</v>
      </c>
      <c r="O184" s="7"/>
      <c r="P184" s="7">
        <v>3</v>
      </c>
      <c r="Q184" s="7">
        <v>5.51</v>
      </c>
      <c r="R184" s="7"/>
      <c r="S184" s="7">
        <v>3</v>
      </c>
      <c r="T184" s="7">
        <v>0.14000000000000001</v>
      </c>
      <c r="U184" s="7">
        <v>0.161</v>
      </c>
      <c r="V184" s="7">
        <v>8.9158541081545778E-2</v>
      </c>
      <c r="W184" s="7">
        <v>5.4179666828523573E-4</v>
      </c>
      <c r="X184" t="s">
        <v>379</v>
      </c>
      <c r="Y184" t="s">
        <v>380</v>
      </c>
      <c r="Z184" t="s">
        <v>381</v>
      </c>
      <c r="AA184" t="s">
        <v>388</v>
      </c>
      <c r="AB184" t="s">
        <v>92</v>
      </c>
      <c r="AC184" t="s">
        <v>373</v>
      </c>
      <c r="AD184" t="s">
        <v>373</v>
      </c>
      <c r="AE184" t="s">
        <v>1683</v>
      </c>
      <c r="AF184" t="s">
        <v>1684</v>
      </c>
      <c r="AG184" t="s">
        <v>1683</v>
      </c>
      <c r="AI184" t="s">
        <v>337</v>
      </c>
      <c r="AJ184" t="s">
        <v>1636</v>
      </c>
      <c r="AK184" t="s">
        <v>1637</v>
      </c>
      <c r="AL184" s="4">
        <v>3</v>
      </c>
      <c r="AM184" t="s">
        <v>185</v>
      </c>
      <c r="AN184">
        <v>3</v>
      </c>
      <c r="AO184" t="s">
        <v>1665</v>
      </c>
      <c r="AP184" t="s">
        <v>1639</v>
      </c>
      <c r="AQ184" t="s">
        <v>1685</v>
      </c>
      <c r="AR184" t="s">
        <v>1686</v>
      </c>
      <c r="AS184">
        <v>1</v>
      </c>
      <c r="AT184">
        <v>0</v>
      </c>
      <c r="AU184">
        <v>0</v>
      </c>
      <c r="AV184">
        <v>0</v>
      </c>
      <c r="AW184">
        <v>0</v>
      </c>
      <c r="AX184">
        <v>0</v>
      </c>
      <c r="AY184" t="s">
        <v>1642</v>
      </c>
    </row>
    <row r="185" spans="1:51">
      <c r="A185" t="s">
        <v>373</v>
      </c>
      <c r="B185" t="s">
        <v>389</v>
      </c>
      <c r="C185" t="s">
        <v>375</v>
      </c>
      <c r="E185" t="s">
        <v>96</v>
      </c>
      <c r="F185">
        <v>6</v>
      </c>
      <c r="G185" t="s">
        <v>185</v>
      </c>
      <c r="H185" t="s">
        <v>376</v>
      </c>
      <c r="I185" t="s">
        <v>377</v>
      </c>
      <c r="J185" t="s">
        <v>378</v>
      </c>
      <c r="K185" t="s">
        <v>149</v>
      </c>
      <c r="L185" t="s">
        <v>337</v>
      </c>
      <c r="M185" t="s">
        <v>188</v>
      </c>
      <c r="N185" s="7">
        <v>5.04</v>
      </c>
      <c r="O185" s="7"/>
      <c r="P185" s="7">
        <v>3</v>
      </c>
      <c r="Q185" s="7">
        <v>5.74</v>
      </c>
      <c r="R185" s="7"/>
      <c r="S185" s="7">
        <v>3</v>
      </c>
      <c r="T185" s="7">
        <v>0.14000000000000001</v>
      </c>
      <c r="U185" s="7">
        <v>0.73</v>
      </c>
      <c r="V185" s="7">
        <v>0.13005312824819776</v>
      </c>
      <c r="W185" s="7">
        <v>5.6485908013957252E-3</v>
      </c>
      <c r="X185" t="s">
        <v>379</v>
      </c>
      <c r="Y185" t="s">
        <v>380</v>
      </c>
      <c r="Z185" t="s">
        <v>381</v>
      </c>
      <c r="AA185" t="s">
        <v>388</v>
      </c>
      <c r="AB185" t="s">
        <v>92</v>
      </c>
      <c r="AC185" t="s">
        <v>373</v>
      </c>
      <c r="AD185" t="s">
        <v>373</v>
      </c>
      <c r="AE185" t="s">
        <v>1683</v>
      </c>
      <c r="AF185" t="s">
        <v>1687</v>
      </c>
      <c r="AG185" t="s">
        <v>1683</v>
      </c>
      <c r="AI185" t="s">
        <v>337</v>
      </c>
      <c r="AJ185" t="s">
        <v>1636</v>
      </c>
      <c r="AK185" t="s">
        <v>1637</v>
      </c>
      <c r="AL185" s="4">
        <v>6</v>
      </c>
      <c r="AM185" t="s">
        <v>185</v>
      </c>
      <c r="AN185">
        <v>6</v>
      </c>
      <c r="AO185" t="s">
        <v>1665</v>
      </c>
      <c r="AP185" t="s">
        <v>1639</v>
      </c>
      <c r="AQ185" t="s">
        <v>1685</v>
      </c>
      <c r="AR185" t="s">
        <v>1686</v>
      </c>
      <c r="AS185">
        <v>1</v>
      </c>
      <c r="AT185">
        <v>0</v>
      </c>
      <c r="AU185">
        <v>0</v>
      </c>
      <c r="AV185">
        <v>0</v>
      </c>
      <c r="AW185">
        <v>0</v>
      </c>
      <c r="AX185">
        <v>0</v>
      </c>
      <c r="AY185" t="s">
        <v>1642</v>
      </c>
    </row>
    <row r="186" spans="1:51">
      <c r="A186" t="s">
        <v>373</v>
      </c>
      <c r="B186" t="s">
        <v>390</v>
      </c>
      <c r="C186" t="s">
        <v>375</v>
      </c>
      <c r="E186" t="s">
        <v>96</v>
      </c>
      <c r="F186">
        <v>3</v>
      </c>
      <c r="G186" t="s">
        <v>185</v>
      </c>
      <c r="H186" t="s">
        <v>376</v>
      </c>
      <c r="I186" t="s">
        <v>377</v>
      </c>
      <c r="J186" t="s">
        <v>378</v>
      </c>
      <c r="K186" t="s">
        <v>29</v>
      </c>
      <c r="L186" t="s">
        <v>40</v>
      </c>
      <c r="M186" t="s">
        <v>188</v>
      </c>
      <c r="N186" s="7">
        <v>18.190000000000001</v>
      </c>
      <c r="O186" s="7"/>
      <c r="P186" s="7">
        <v>3</v>
      </c>
      <c r="Q186" s="7">
        <v>18.27</v>
      </c>
      <c r="R186" s="7"/>
      <c r="S186" s="7">
        <v>3</v>
      </c>
      <c r="T186" s="7">
        <v>0.11</v>
      </c>
      <c r="U186" s="7">
        <v>0.18</v>
      </c>
      <c r="V186" s="7">
        <v>4.3883778598843839E-3</v>
      </c>
      <c r="W186" s="7">
        <v>4.4545251612466215E-5</v>
      </c>
      <c r="X186" t="s">
        <v>379</v>
      </c>
      <c r="Y186" t="s">
        <v>380</v>
      </c>
      <c r="Z186" t="s">
        <v>381</v>
      </c>
      <c r="AA186" t="s">
        <v>391</v>
      </c>
      <c r="AB186" t="s">
        <v>92</v>
      </c>
      <c r="AC186" t="s">
        <v>373</v>
      </c>
      <c r="AD186" t="s">
        <v>373</v>
      </c>
      <c r="AE186" t="s">
        <v>1683</v>
      </c>
      <c r="AF186" t="s">
        <v>1684</v>
      </c>
      <c r="AG186" t="s">
        <v>1683</v>
      </c>
      <c r="AI186" t="s">
        <v>40</v>
      </c>
      <c r="AJ186" t="s">
        <v>1636</v>
      </c>
      <c r="AK186" t="s">
        <v>1637</v>
      </c>
      <c r="AL186" s="4">
        <v>3</v>
      </c>
      <c r="AM186" t="s">
        <v>185</v>
      </c>
      <c r="AN186">
        <v>3</v>
      </c>
      <c r="AO186" t="s">
        <v>1665</v>
      </c>
      <c r="AP186" t="s">
        <v>1639</v>
      </c>
      <c r="AQ186" t="s">
        <v>1685</v>
      </c>
      <c r="AR186" t="s">
        <v>1686</v>
      </c>
      <c r="AS186">
        <v>1</v>
      </c>
      <c r="AT186">
        <v>0</v>
      </c>
      <c r="AU186">
        <v>0</v>
      </c>
      <c r="AV186">
        <v>0</v>
      </c>
      <c r="AW186">
        <v>0</v>
      </c>
      <c r="AX186">
        <v>0</v>
      </c>
      <c r="AY186" t="s">
        <v>1642</v>
      </c>
    </row>
    <row r="187" spans="1:51">
      <c r="A187" t="s">
        <v>373</v>
      </c>
      <c r="B187" t="s">
        <v>392</v>
      </c>
      <c r="C187" t="s">
        <v>375</v>
      </c>
      <c r="E187" t="s">
        <v>96</v>
      </c>
      <c r="F187">
        <v>6</v>
      </c>
      <c r="G187" t="s">
        <v>185</v>
      </c>
      <c r="H187" t="s">
        <v>376</v>
      </c>
      <c r="I187" t="s">
        <v>377</v>
      </c>
      <c r="J187" t="s">
        <v>378</v>
      </c>
      <c r="K187" t="s">
        <v>29</v>
      </c>
      <c r="L187" t="s">
        <v>40</v>
      </c>
      <c r="M187" t="s">
        <v>188</v>
      </c>
      <c r="N187" s="7">
        <v>18.190000000000001</v>
      </c>
      <c r="O187" s="7"/>
      <c r="P187" s="7">
        <v>3</v>
      </c>
      <c r="Q187" s="7">
        <v>18.34</v>
      </c>
      <c r="R187" s="7"/>
      <c r="S187" s="7">
        <v>3</v>
      </c>
      <c r="T187" s="7">
        <v>0.11</v>
      </c>
      <c r="U187" s="7">
        <v>0.15</v>
      </c>
      <c r="V187" s="7">
        <v>8.2124742982879247E-3</v>
      </c>
      <c r="W187" s="7">
        <v>3.4487690025536788E-5</v>
      </c>
      <c r="X187" t="s">
        <v>379</v>
      </c>
      <c r="Y187" t="s">
        <v>380</v>
      </c>
      <c r="Z187" t="s">
        <v>381</v>
      </c>
      <c r="AA187" t="s">
        <v>391</v>
      </c>
      <c r="AB187" t="s">
        <v>92</v>
      </c>
      <c r="AC187" t="s">
        <v>373</v>
      </c>
      <c r="AD187" t="s">
        <v>373</v>
      </c>
      <c r="AE187" t="s">
        <v>1683</v>
      </c>
      <c r="AF187" t="s">
        <v>1687</v>
      </c>
      <c r="AG187" t="s">
        <v>1683</v>
      </c>
      <c r="AI187" t="s">
        <v>40</v>
      </c>
      <c r="AJ187" t="s">
        <v>1636</v>
      </c>
      <c r="AK187" t="s">
        <v>1637</v>
      </c>
      <c r="AL187" s="4">
        <v>6</v>
      </c>
      <c r="AM187" t="s">
        <v>185</v>
      </c>
      <c r="AN187">
        <v>6</v>
      </c>
      <c r="AO187" t="s">
        <v>1665</v>
      </c>
      <c r="AP187" t="s">
        <v>1639</v>
      </c>
      <c r="AQ187" t="s">
        <v>1685</v>
      </c>
      <c r="AR187" t="s">
        <v>1686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 t="s">
        <v>1642</v>
      </c>
    </row>
    <row r="188" spans="1:51">
      <c r="A188" t="s">
        <v>373</v>
      </c>
      <c r="B188" t="s">
        <v>393</v>
      </c>
      <c r="C188" t="s">
        <v>375</v>
      </c>
      <c r="E188" t="s">
        <v>96</v>
      </c>
      <c r="F188">
        <v>3</v>
      </c>
      <c r="G188" t="s">
        <v>185</v>
      </c>
      <c r="H188" t="s">
        <v>376</v>
      </c>
      <c r="I188" t="s">
        <v>377</v>
      </c>
      <c r="J188" t="s">
        <v>378</v>
      </c>
      <c r="K188" t="s">
        <v>29</v>
      </c>
      <c r="L188" t="s">
        <v>30</v>
      </c>
      <c r="M188" t="s">
        <v>188</v>
      </c>
      <c r="N188" s="7">
        <v>6.82</v>
      </c>
      <c r="O188" s="7"/>
      <c r="P188" s="7">
        <v>3</v>
      </c>
      <c r="Q188" s="7">
        <v>7.47</v>
      </c>
      <c r="R188" s="7"/>
      <c r="S188" s="7">
        <v>3</v>
      </c>
      <c r="T188" s="7">
        <v>0.8</v>
      </c>
      <c r="U188" s="7">
        <v>0.21</v>
      </c>
      <c r="V188" s="7">
        <v>9.1035527289355128E-2</v>
      </c>
      <c r="W188" s="7">
        <v>4.8500271405013343E-3</v>
      </c>
      <c r="X188" t="s">
        <v>379</v>
      </c>
      <c r="Y188" t="s">
        <v>380</v>
      </c>
      <c r="Z188" t="s">
        <v>381</v>
      </c>
      <c r="AA188" t="s">
        <v>394</v>
      </c>
      <c r="AB188" t="s">
        <v>92</v>
      </c>
      <c r="AC188" t="s">
        <v>373</v>
      </c>
      <c r="AD188" t="s">
        <v>373</v>
      </c>
      <c r="AE188" t="s">
        <v>1683</v>
      </c>
      <c r="AF188" t="s">
        <v>1684</v>
      </c>
      <c r="AG188" t="s">
        <v>1683</v>
      </c>
      <c r="AI188" t="s">
        <v>30</v>
      </c>
      <c r="AJ188" t="s">
        <v>1636</v>
      </c>
      <c r="AK188" t="s">
        <v>1637</v>
      </c>
      <c r="AL188" s="4">
        <v>3</v>
      </c>
      <c r="AM188" t="s">
        <v>185</v>
      </c>
      <c r="AN188">
        <v>3</v>
      </c>
      <c r="AO188" t="s">
        <v>1665</v>
      </c>
      <c r="AP188" t="s">
        <v>1639</v>
      </c>
      <c r="AQ188" t="s">
        <v>1685</v>
      </c>
      <c r="AR188" t="s">
        <v>1686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0</v>
      </c>
      <c r="AY188" t="s">
        <v>1642</v>
      </c>
    </row>
    <row r="189" spans="1:51">
      <c r="A189" t="s">
        <v>373</v>
      </c>
      <c r="B189" t="s">
        <v>395</v>
      </c>
      <c r="C189" t="s">
        <v>375</v>
      </c>
      <c r="E189" t="s">
        <v>96</v>
      </c>
      <c r="F189">
        <v>6</v>
      </c>
      <c r="G189" t="s">
        <v>185</v>
      </c>
      <c r="H189" t="s">
        <v>376</v>
      </c>
      <c r="I189" t="s">
        <v>377</v>
      </c>
      <c r="J189" t="s">
        <v>378</v>
      </c>
      <c r="K189" t="s">
        <v>29</v>
      </c>
      <c r="L189" t="s">
        <v>30</v>
      </c>
      <c r="M189" t="s">
        <v>188</v>
      </c>
      <c r="N189" s="7">
        <v>6.82</v>
      </c>
      <c r="O189" s="7"/>
      <c r="P189" s="7">
        <v>3</v>
      </c>
      <c r="Q189" s="7">
        <v>8.65</v>
      </c>
      <c r="R189" s="7"/>
      <c r="S189" s="7">
        <v>3</v>
      </c>
      <c r="T189" s="7">
        <v>0.8</v>
      </c>
      <c r="U189" s="7">
        <v>0.8</v>
      </c>
      <c r="V189" s="7">
        <v>0.23769984908841721</v>
      </c>
      <c r="W189" s="7">
        <v>7.4377827954048605E-3</v>
      </c>
      <c r="X189" t="s">
        <v>379</v>
      </c>
      <c r="Y189" t="s">
        <v>380</v>
      </c>
      <c r="Z189" t="s">
        <v>381</v>
      </c>
      <c r="AA189" t="s">
        <v>394</v>
      </c>
      <c r="AB189" t="s">
        <v>92</v>
      </c>
      <c r="AC189" t="s">
        <v>373</v>
      </c>
      <c r="AD189" t="s">
        <v>373</v>
      </c>
      <c r="AE189" t="s">
        <v>1683</v>
      </c>
      <c r="AF189" t="s">
        <v>1687</v>
      </c>
      <c r="AG189" t="s">
        <v>1683</v>
      </c>
      <c r="AI189" t="s">
        <v>30</v>
      </c>
      <c r="AJ189" t="s">
        <v>1636</v>
      </c>
      <c r="AK189" t="s">
        <v>1637</v>
      </c>
      <c r="AL189" s="4">
        <v>6</v>
      </c>
      <c r="AM189" t="s">
        <v>185</v>
      </c>
      <c r="AN189">
        <v>6</v>
      </c>
      <c r="AO189" t="s">
        <v>1665</v>
      </c>
      <c r="AP189" t="s">
        <v>1639</v>
      </c>
      <c r="AQ189" t="s">
        <v>1685</v>
      </c>
      <c r="AR189" t="s">
        <v>1686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 t="s">
        <v>1642</v>
      </c>
    </row>
    <row r="190" spans="1:51">
      <c r="A190" t="s">
        <v>373</v>
      </c>
      <c r="B190" t="s">
        <v>396</v>
      </c>
      <c r="C190" t="s">
        <v>375</v>
      </c>
      <c r="E190" t="s">
        <v>96</v>
      </c>
      <c r="F190">
        <v>3</v>
      </c>
      <c r="G190" t="s">
        <v>185</v>
      </c>
      <c r="H190" t="s">
        <v>376</v>
      </c>
      <c r="I190" t="s">
        <v>377</v>
      </c>
      <c r="J190" t="s">
        <v>378</v>
      </c>
      <c r="K190" t="s">
        <v>29</v>
      </c>
      <c r="L190" t="s">
        <v>337</v>
      </c>
      <c r="M190" t="s">
        <v>188</v>
      </c>
      <c r="N190" s="7">
        <v>3.32</v>
      </c>
      <c r="O190" s="7"/>
      <c r="P190" s="7">
        <v>3</v>
      </c>
      <c r="Q190" s="7">
        <v>3.46</v>
      </c>
      <c r="R190" s="7"/>
      <c r="S190" s="7">
        <v>3</v>
      </c>
      <c r="T190" s="7">
        <v>0.09</v>
      </c>
      <c r="U190" s="7">
        <v>0.09</v>
      </c>
      <c r="V190" s="7">
        <v>4.1303806141235792E-2</v>
      </c>
      <c r="W190" s="7">
        <v>4.704894897602072E-4</v>
      </c>
      <c r="X190" t="s">
        <v>379</v>
      </c>
      <c r="Y190" t="s">
        <v>380</v>
      </c>
      <c r="Z190" t="s">
        <v>381</v>
      </c>
      <c r="AA190" t="s">
        <v>397</v>
      </c>
      <c r="AB190" t="s">
        <v>92</v>
      </c>
      <c r="AC190" t="s">
        <v>373</v>
      </c>
      <c r="AD190" t="s">
        <v>373</v>
      </c>
      <c r="AE190" t="s">
        <v>1683</v>
      </c>
      <c r="AF190" t="s">
        <v>1684</v>
      </c>
      <c r="AG190" t="s">
        <v>1683</v>
      </c>
      <c r="AI190" t="s">
        <v>337</v>
      </c>
      <c r="AJ190" t="s">
        <v>1636</v>
      </c>
      <c r="AK190" t="s">
        <v>1637</v>
      </c>
      <c r="AL190" s="4">
        <v>3</v>
      </c>
      <c r="AM190" t="s">
        <v>185</v>
      </c>
      <c r="AN190">
        <v>3</v>
      </c>
      <c r="AO190" t="s">
        <v>1665</v>
      </c>
      <c r="AP190" t="s">
        <v>1639</v>
      </c>
      <c r="AQ190" t="s">
        <v>1685</v>
      </c>
      <c r="AR190" t="s">
        <v>1686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 t="s">
        <v>1642</v>
      </c>
    </row>
    <row r="191" spans="1:51">
      <c r="A191" t="s">
        <v>373</v>
      </c>
      <c r="B191" t="s">
        <v>398</v>
      </c>
      <c r="C191" t="s">
        <v>375</v>
      </c>
      <c r="E191" t="s">
        <v>96</v>
      </c>
      <c r="F191">
        <v>6</v>
      </c>
      <c r="G191" t="s">
        <v>185</v>
      </c>
      <c r="H191" t="s">
        <v>376</v>
      </c>
      <c r="I191" t="s">
        <v>377</v>
      </c>
      <c r="J191" t="s">
        <v>378</v>
      </c>
      <c r="K191" t="s">
        <v>29</v>
      </c>
      <c r="L191" t="s">
        <v>337</v>
      </c>
      <c r="M191" t="s">
        <v>188</v>
      </c>
      <c r="N191" s="7">
        <v>3.32</v>
      </c>
      <c r="O191" s="7"/>
      <c r="P191" s="7">
        <v>3</v>
      </c>
      <c r="Q191" s="7">
        <v>3.85</v>
      </c>
      <c r="R191" s="7"/>
      <c r="S191" s="7">
        <v>3</v>
      </c>
      <c r="T191" s="7">
        <v>0.09</v>
      </c>
      <c r="U191" s="7">
        <v>1.01</v>
      </c>
      <c r="V191" s="7">
        <v>0.14810836537129568</v>
      </c>
      <c r="W191" s="7">
        <v>2.3185305420116986E-2</v>
      </c>
      <c r="X191" t="s">
        <v>379</v>
      </c>
      <c r="Y191" t="s">
        <v>380</v>
      </c>
      <c r="Z191" t="s">
        <v>381</v>
      </c>
      <c r="AA191" t="s">
        <v>397</v>
      </c>
      <c r="AB191" t="s">
        <v>92</v>
      </c>
      <c r="AC191" t="s">
        <v>373</v>
      </c>
      <c r="AD191" t="s">
        <v>373</v>
      </c>
      <c r="AE191" t="s">
        <v>1683</v>
      </c>
      <c r="AF191" t="s">
        <v>1687</v>
      </c>
      <c r="AG191" t="s">
        <v>1683</v>
      </c>
      <c r="AI191" t="s">
        <v>337</v>
      </c>
      <c r="AJ191" t="s">
        <v>1636</v>
      </c>
      <c r="AK191" t="s">
        <v>1637</v>
      </c>
      <c r="AL191" s="4">
        <v>6</v>
      </c>
      <c r="AM191" t="s">
        <v>185</v>
      </c>
      <c r="AN191">
        <v>6</v>
      </c>
      <c r="AO191" t="s">
        <v>1665</v>
      </c>
      <c r="AP191" t="s">
        <v>1639</v>
      </c>
      <c r="AQ191" t="s">
        <v>1685</v>
      </c>
      <c r="AR191" t="s">
        <v>1686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 t="s">
        <v>1642</v>
      </c>
    </row>
    <row r="192" spans="1:51">
      <c r="A192" t="s">
        <v>373</v>
      </c>
      <c r="B192" t="s">
        <v>399</v>
      </c>
      <c r="C192" t="s">
        <v>375</v>
      </c>
      <c r="E192" t="s">
        <v>96</v>
      </c>
      <c r="F192">
        <v>3</v>
      </c>
      <c r="G192" t="s">
        <v>185</v>
      </c>
      <c r="H192" t="s">
        <v>376</v>
      </c>
      <c r="I192" t="s">
        <v>377</v>
      </c>
      <c r="J192" t="s">
        <v>400</v>
      </c>
      <c r="K192" t="s">
        <v>149</v>
      </c>
      <c r="L192" t="s">
        <v>40</v>
      </c>
      <c r="M192" t="s">
        <v>188</v>
      </c>
      <c r="N192" s="7">
        <v>13.28</v>
      </c>
      <c r="O192" s="7"/>
      <c r="P192" s="7">
        <v>3</v>
      </c>
      <c r="Q192" s="7">
        <v>14.65</v>
      </c>
      <c r="R192" s="7"/>
      <c r="S192" s="7">
        <v>3</v>
      </c>
      <c r="T192" s="7">
        <v>1.08</v>
      </c>
      <c r="U192" s="7">
        <v>0.93</v>
      </c>
      <c r="V192" s="7">
        <v>9.8181191414788579E-2</v>
      </c>
      <c r="W192" s="7">
        <v>3.5478903364576939E-3</v>
      </c>
      <c r="X192" t="s">
        <v>379</v>
      </c>
      <c r="Y192" t="s">
        <v>380</v>
      </c>
      <c r="Z192" t="s">
        <v>381</v>
      </c>
      <c r="AA192" t="s">
        <v>401</v>
      </c>
      <c r="AB192" t="s">
        <v>92</v>
      </c>
      <c r="AC192" t="s">
        <v>373</v>
      </c>
      <c r="AD192" t="s">
        <v>373</v>
      </c>
      <c r="AE192" t="s">
        <v>1688</v>
      </c>
      <c r="AF192" t="s">
        <v>1689</v>
      </c>
      <c r="AG192" t="s">
        <v>1688</v>
      </c>
      <c r="AI192" t="s">
        <v>40</v>
      </c>
      <c r="AJ192" t="s">
        <v>1636</v>
      </c>
      <c r="AK192" t="s">
        <v>1637</v>
      </c>
      <c r="AL192" s="4">
        <v>3</v>
      </c>
      <c r="AM192" t="s">
        <v>185</v>
      </c>
      <c r="AN192">
        <v>3</v>
      </c>
      <c r="AO192" t="s">
        <v>1665</v>
      </c>
      <c r="AP192" t="s">
        <v>1639</v>
      </c>
      <c r="AQ192" t="s">
        <v>1685</v>
      </c>
      <c r="AR192" t="s">
        <v>1686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 t="s">
        <v>1642</v>
      </c>
    </row>
    <row r="193" spans="1:51">
      <c r="A193" t="s">
        <v>373</v>
      </c>
      <c r="B193" t="s">
        <v>402</v>
      </c>
      <c r="C193" t="s">
        <v>375</v>
      </c>
      <c r="E193" t="s">
        <v>96</v>
      </c>
      <c r="F193">
        <v>6</v>
      </c>
      <c r="G193" t="s">
        <v>185</v>
      </c>
      <c r="H193" t="s">
        <v>376</v>
      </c>
      <c r="I193" t="s">
        <v>377</v>
      </c>
      <c r="J193" t="s">
        <v>400</v>
      </c>
      <c r="K193" t="s">
        <v>149</v>
      </c>
      <c r="L193" t="s">
        <v>40</v>
      </c>
      <c r="M193" t="s">
        <v>188</v>
      </c>
      <c r="N193" s="7">
        <v>13.28</v>
      </c>
      <c r="O193" s="7"/>
      <c r="P193" s="7">
        <v>3</v>
      </c>
      <c r="Q193" s="7">
        <v>15.96</v>
      </c>
      <c r="R193" s="7"/>
      <c r="S193" s="7">
        <v>3</v>
      </c>
      <c r="T193" s="7">
        <v>1.08</v>
      </c>
      <c r="U193" s="7">
        <v>1.04</v>
      </c>
      <c r="V193" s="7">
        <v>0.18382644797337497</v>
      </c>
      <c r="W193" s="7">
        <v>3.6200030332315864E-3</v>
      </c>
      <c r="X193" t="s">
        <v>379</v>
      </c>
      <c r="Y193" t="s">
        <v>380</v>
      </c>
      <c r="Z193" t="s">
        <v>381</v>
      </c>
      <c r="AA193" t="s">
        <v>401</v>
      </c>
      <c r="AB193" t="s">
        <v>92</v>
      </c>
      <c r="AC193" t="s">
        <v>373</v>
      </c>
      <c r="AD193" t="s">
        <v>373</v>
      </c>
      <c r="AE193" t="s">
        <v>1688</v>
      </c>
      <c r="AF193" t="s">
        <v>1690</v>
      </c>
      <c r="AG193" t="s">
        <v>1688</v>
      </c>
      <c r="AI193" t="s">
        <v>40</v>
      </c>
      <c r="AJ193" t="s">
        <v>1636</v>
      </c>
      <c r="AK193" t="s">
        <v>1637</v>
      </c>
      <c r="AL193" s="4">
        <v>6</v>
      </c>
      <c r="AM193" t="s">
        <v>185</v>
      </c>
      <c r="AN193">
        <v>6</v>
      </c>
      <c r="AO193" t="s">
        <v>1665</v>
      </c>
      <c r="AP193" t="s">
        <v>1639</v>
      </c>
      <c r="AQ193" t="s">
        <v>1685</v>
      </c>
      <c r="AR193" t="s">
        <v>1686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 t="s">
        <v>1642</v>
      </c>
    </row>
    <row r="194" spans="1:51">
      <c r="A194" t="s">
        <v>373</v>
      </c>
      <c r="B194" t="s">
        <v>403</v>
      </c>
      <c r="C194" t="s">
        <v>375</v>
      </c>
      <c r="E194" t="s">
        <v>96</v>
      </c>
      <c r="F194">
        <v>3</v>
      </c>
      <c r="G194" t="s">
        <v>185</v>
      </c>
      <c r="H194" t="s">
        <v>376</v>
      </c>
      <c r="I194" t="s">
        <v>377</v>
      </c>
      <c r="J194" t="s">
        <v>400</v>
      </c>
      <c r="K194" t="s">
        <v>149</v>
      </c>
      <c r="L194" t="s">
        <v>30</v>
      </c>
      <c r="M194" t="s">
        <v>188</v>
      </c>
      <c r="N194" s="7">
        <v>6.84</v>
      </c>
      <c r="O194" s="7"/>
      <c r="P194" s="7">
        <v>3</v>
      </c>
      <c r="Q194" s="7">
        <v>7.97</v>
      </c>
      <c r="R194" s="7"/>
      <c r="S194" s="7">
        <v>3</v>
      </c>
      <c r="T194" s="7">
        <v>1.07</v>
      </c>
      <c r="U194" s="7">
        <v>0.24</v>
      </c>
      <c r="V194" s="7">
        <v>0.1528967611676646</v>
      </c>
      <c r="W194" s="7">
        <v>8.4593309915481554E-3</v>
      </c>
      <c r="X194" t="s">
        <v>379</v>
      </c>
      <c r="Y194" t="s">
        <v>380</v>
      </c>
      <c r="Z194" t="s">
        <v>381</v>
      </c>
      <c r="AA194" t="s">
        <v>404</v>
      </c>
      <c r="AB194" t="s">
        <v>92</v>
      </c>
      <c r="AC194" t="s">
        <v>373</v>
      </c>
      <c r="AD194" t="s">
        <v>373</v>
      </c>
      <c r="AE194" t="s">
        <v>1688</v>
      </c>
      <c r="AF194" t="s">
        <v>1689</v>
      </c>
      <c r="AG194" t="s">
        <v>1688</v>
      </c>
      <c r="AI194" t="s">
        <v>30</v>
      </c>
      <c r="AJ194" t="s">
        <v>1636</v>
      </c>
      <c r="AK194" t="s">
        <v>1637</v>
      </c>
      <c r="AL194" s="4">
        <v>3</v>
      </c>
      <c r="AM194" t="s">
        <v>185</v>
      </c>
      <c r="AN194">
        <v>3</v>
      </c>
      <c r="AO194" t="s">
        <v>1665</v>
      </c>
      <c r="AP194" t="s">
        <v>1639</v>
      </c>
      <c r="AQ194" t="s">
        <v>1685</v>
      </c>
      <c r="AR194" t="s">
        <v>1686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 t="s">
        <v>1642</v>
      </c>
    </row>
    <row r="195" spans="1:51">
      <c r="A195" t="s">
        <v>373</v>
      </c>
      <c r="B195" t="s">
        <v>405</v>
      </c>
      <c r="C195" t="s">
        <v>375</v>
      </c>
      <c r="E195" t="s">
        <v>96</v>
      </c>
      <c r="F195">
        <v>6</v>
      </c>
      <c r="G195" t="s">
        <v>185</v>
      </c>
      <c r="H195" t="s">
        <v>376</v>
      </c>
      <c r="I195" t="s">
        <v>377</v>
      </c>
      <c r="J195" t="s">
        <v>400</v>
      </c>
      <c r="K195" t="s">
        <v>149</v>
      </c>
      <c r="L195" t="s">
        <v>30</v>
      </c>
      <c r="M195" t="s">
        <v>188</v>
      </c>
      <c r="N195" s="7">
        <v>6.84</v>
      </c>
      <c r="O195" s="7"/>
      <c r="P195" s="7">
        <v>3</v>
      </c>
      <c r="Q195" s="7">
        <v>9.64</v>
      </c>
      <c r="R195" s="7"/>
      <c r="S195" s="7">
        <v>3</v>
      </c>
      <c r="T195" s="7">
        <v>1.07</v>
      </c>
      <c r="U195" s="7">
        <v>1.03</v>
      </c>
      <c r="V195" s="7">
        <v>0.34313337698799523</v>
      </c>
      <c r="W195" s="7">
        <v>1.1962457871301126E-2</v>
      </c>
      <c r="X195" t="s">
        <v>379</v>
      </c>
      <c r="Y195" t="s">
        <v>380</v>
      </c>
      <c r="Z195" t="s">
        <v>381</v>
      </c>
      <c r="AA195" t="s">
        <v>404</v>
      </c>
      <c r="AB195" t="s">
        <v>92</v>
      </c>
      <c r="AC195" t="s">
        <v>373</v>
      </c>
      <c r="AD195" t="s">
        <v>373</v>
      </c>
      <c r="AE195" t="s">
        <v>1688</v>
      </c>
      <c r="AF195" t="s">
        <v>1690</v>
      </c>
      <c r="AG195" t="s">
        <v>1688</v>
      </c>
      <c r="AI195" t="s">
        <v>30</v>
      </c>
      <c r="AJ195" t="s">
        <v>1636</v>
      </c>
      <c r="AK195" t="s">
        <v>1637</v>
      </c>
      <c r="AL195" s="4">
        <v>6</v>
      </c>
      <c r="AM195" t="s">
        <v>185</v>
      </c>
      <c r="AN195">
        <v>6</v>
      </c>
      <c r="AO195" t="s">
        <v>1665</v>
      </c>
      <c r="AP195" t="s">
        <v>1639</v>
      </c>
      <c r="AQ195" t="s">
        <v>1685</v>
      </c>
      <c r="AR195" t="s">
        <v>1686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 t="s">
        <v>1642</v>
      </c>
    </row>
    <row r="196" spans="1:51">
      <c r="A196" t="s">
        <v>373</v>
      </c>
      <c r="B196" t="s">
        <v>406</v>
      </c>
      <c r="C196" t="s">
        <v>375</v>
      </c>
      <c r="E196" t="s">
        <v>96</v>
      </c>
      <c r="F196">
        <v>3</v>
      </c>
      <c r="G196" t="s">
        <v>185</v>
      </c>
      <c r="H196" t="s">
        <v>376</v>
      </c>
      <c r="I196" t="s">
        <v>377</v>
      </c>
      <c r="J196" t="s">
        <v>400</v>
      </c>
      <c r="K196" t="s">
        <v>149</v>
      </c>
      <c r="L196" t="s">
        <v>337</v>
      </c>
      <c r="M196" t="s">
        <v>188</v>
      </c>
      <c r="N196" s="7">
        <v>2.4500000000000002</v>
      </c>
      <c r="O196" s="7"/>
      <c r="P196" s="7">
        <v>3</v>
      </c>
      <c r="Q196" s="7">
        <v>3.17</v>
      </c>
      <c r="R196" s="7"/>
      <c r="S196" s="7">
        <v>3</v>
      </c>
      <c r="T196" s="7">
        <v>0.14000000000000001</v>
      </c>
      <c r="U196" s="7">
        <v>1.1499999999999999</v>
      </c>
      <c r="V196" s="7">
        <v>0.25764356333255362</v>
      </c>
      <c r="W196" s="7">
        <v>4.4957250202970055E-2</v>
      </c>
      <c r="X196" t="s">
        <v>379</v>
      </c>
      <c r="Y196" t="s">
        <v>380</v>
      </c>
      <c r="Z196" t="s">
        <v>381</v>
      </c>
      <c r="AA196" t="s">
        <v>407</v>
      </c>
      <c r="AB196" t="s">
        <v>92</v>
      </c>
      <c r="AC196" t="s">
        <v>373</v>
      </c>
      <c r="AD196" t="s">
        <v>373</v>
      </c>
      <c r="AE196" t="s">
        <v>1688</v>
      </c>
      <c r="AF196" t="s">
        <v>1689</v>
      </c>
      <c r="AG196" t="s">
        <v>1688</v>
      </c>
      <c r="AI196" t="s">
        <v>337</v>
      </c>
      <c r="AJ196" t="s">
        <v>1636</v>
      </c>
      <c r="AK196" t="s">
        <v>1637</v>
      </c>
      <c r="AL196" s="4">
        <v>3</v>
      </c>
      <c r="AM196" t="s">
        <v>185</v>
      </c>
      <c r="AN196">
        <v>3</v>
      </c>
      <c r="AO196" t="s">
        <v>1665</v>
      </c>
      <c r="AP196" t="s">
        <v>1639</v>
      </c>
      <c r="AQ196" t="s">
        <v>1685</v>
      </c>
      <c r="AR196" t="s">
        <v>1686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 t="s">
        <v>1642</v>
      </c>
    </row>
    <row r="197" spans="1:51">
      <c r="A197" t="s">
        <v>373</v>
      </c>
      <c r="B197" t="s">
        <v>408</v>
      </c>
      <c r="C197" t="s">
        <v>375</v>
      </c>
      <c r="E197" t="s">
        <v>96</v>
      </c>
      <c r="F197">
        <v>6</v>
      </c>
      <c r="G197" t="s">
        <v>185</v>
      </c>
      <c r="H197" t="s">
        <v>376</v>
      </c>
      <c r="I197" t="s">
        <v>377</v>
      </c>
      <c r="J197" t="s">
        <v>400</v>
      </c>
      <c r="K197" t="s">
        <v>149</v>
      </c>
      <c r="L197" t="s">
        <v>337</v>
      </c>
      <c r="M197" t="s">
        <v>188</v>
      </c>
      <c r="N197" s="7">
        <v>2.4500000000000002</v>
      </c>
      <c r="O197" s="7"/>
      <c r="P197" s="7">
        <v>3</v>
      </c>
      <c r="Q197" s="7">
        <v>3.95</v>
      </c>
      <c r="R197" s="7"/>
      <c r="S197" s="7">
        <v>3</v>
      </c>
      <c r="T197" s="7">
        <v>0.14000000000000001</v>
      </c>
      <c r="U197" s="7">
        <v>2.1800000000000002</v>
      </c>
      <c r="V197" s="7">
        <v>0.47762755435639487</v>
      </c>
      <c r="W197" s="7">
        <v>0.10261917296962048</v>
      </c>
      <c r="X197" t="s">
        <v>379</v>
      </c>
      <c r="Y197" t="s">
        <v>380</v>
      </c>
      <c r="Z197" t="s">
        <v>381</v>
      </c>
      <c r="AA197" t="s">
        <v>407</v>
      </c>
      <c r="AB197" t="s">
        <v>92</v>
      </c>
      <c r="AC197" t="s">
        <v>373</v>
      </c>
      <c r="AD197" t="s">
        <v>373</v>
      </c>
      <c r="AE197" t="s">
        <v>1688</v>
      </c>
      <c r="AF197" t="s">
        <v>1690</v>
      </c>
      <c r="AG197" t="s">
        <v>1688</v>
      </c>
      <c r="AI197" t="s">
        <v>337</v>
      </c>
      <c r="AJ197" t="s">
        <v>1636</v>
      </c>
      <c r="AK197" t="s">
        <v>1637</v>
      </c>
      <c r="AL197" s="4">
        <v>6</v>
      </c>
      <c r="AM197" t="s">
        <v>185</v>
      </c>
      <c r="AN197">
        <v>6</v>
      </c>
      <c r="AO197" t="s">
        <v>1665</v>
      </c>
      <c r="AP197" t="s">
        <v>1639</v>
      </c>
      <c r="AQ197" t="s">
        <v>1685</v>
      </c>
      <c r="AR197" t="s">
        <v>1686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 t="s">
        <v>1642</v>
      </c>
    </row>
    <row r="198" spans="1:51">
      <c r="A198" t="s">
        <v>373</v>
      </c>
      <c r="B198" t="s">
        <v>409</v>
      </c>
      <c r="C198" t="s">
        <v>375</v>
      </c>
      <c r="E198" t="s">
        <v>96</v>
      </c>
      <c r="F198">
        <v>3</v>
      </c>
      <c r="G198" t="s">
        <v>185</v>
      </c>
      <c r="H198" t="s">
        <v>376</v>
      </c>
      <c r="I198" t="s">
        <v>377</v>
      </c>
      <c r="J198" t="s">
        <v>400</v>
      </c>
      <c r="K198" t="s">
        <v>29</v>
      </c>
      <c r="L198" t="s">
        <v>40</v>
      </c>
      <c r="M198" t="s">
        <v>188</v>
      </c>
      <c r="N198" s="7">
        <v>15.15</v>
      </c>
      <c r="O198" s="7"/>
      <c r="P198" s="7">
        <v>3</v>
      </c>
      <c r="Q198" s="7">
        <v>16.309999999999999</v>
      </c>
      <c r="R198" s="7"/>
      <c r="S198" s="7">
        <v>3</v>
      </c>
      <c r="T198" s="7">
        <v>0.26</v>
      </c>
      <c r="U198" s="7">
        <v>0.1</v>
      </c>
      <c r="V198" s="7">
        <v>7.3777884677544342E-2</v>
      </c>
      <c r="W198" s="7">
        <v>1.1070540387662041E-4</v>
      </c>
      <c r="X198" t="s">
        <v>379</v>
      </c>
      <c r="Y198" t="s">
        <v>380</v>
      </c>
      <c r="Z198" t="s">
        <v>381</v>
      </c>
      <c r="AA198" t="s">
        <v>410</v>
      </c>
      <c r="AB198" t="s">
        <v>92</v>
      </c>
      <c r="AC198" t="s">
        <v>373</v>
      </c>
      <c r="AD198" t="s">
        <v>373</v>
      </c>
      <c r="AE198" t="s">
        <v>1688</v>
      </c>
      <c r="AF198" t="s">
        <v>1689</v>
      </c>
      <c r="AG198" t="s">
        <v>1688</v>
      </c>
      <c r="AI198" t="s">
        <v>40</v>
      </c>
      <c r="AJ198" t="s">
        <v>1636</v>
      </c>
      <c r="AK198" t="s">
        <v>1637</v>
      </c>
      <c r="AL198" s="4">
        <v>3</v>
      </c>
      <c r="AM198" t="s">
        <v>185</v>
      </c>
      <c r="AN198">
        <v>3</v>
      </c>
      <c r="AO198" t="s">
        <v>1665</v>
      </c>
      <c r="AP198" t="s">
        <v>1639</v>
      </c>
      <c r="AQ198" t="s">
        <v>1685</v>
      </c>
      <c r="AR198" t="s">
        <v>1686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 t="s">
        <v>1642</v>
      </c>
    </row>
    <row r="199" spans="1:51">
      <c r="A199" t="s">
        <v>373</v>
      </c>
      <c r="B199" t="s">
        <v>411</v>
      </c>
      <c r="C199" t="s">
        <v>375</v>
      </c>
      <c r="E199" t="s">
        <v>96</v>
      </c>
      <c r="F199">
        <v>6</v>
      </c>
      <c r="G199" t="s">
        <v>185</v>
      </c>
      <c r="H199" t="s">
        <v>376</v>
      </c>
      <c r="I199" t="s">
        <v>377</v>
      </c>
      <c r="J199" t="s">
        <v>400</v>
      </c>
      <c r="K199" t="s">
        <v>29</v>
      </c>
      <c r="L199" t="s">
        <v>40</v>
      </c>
      <c r="M199" t="s">
        <v>188</v>
      </c>
      <c r="N199" s="7">
        <v>15.15</v>
      </c>
      <c r="O199" s="7"/>
      <c r="P199" s="7">
        <v>3</v>
      </c>
      <c r="Q199" s="7">
        <v>18.100000000000001</v>
      </c>
      <c r="R199" s="7"/>
      <c r="S199" s="7">
        <v>3</v>
      </c>
      <c r="T199" s="7">
        <v>0.26</v>
      </c>
      <c r="U199" s="7">
        <v>0.72</v>
      </c>
      <c r="V199" s="7">
        <v>0.17791140631640193</v>
      </c>
      <c r="W199" s="7">
        <v>6.2563126083404585E-4</v>
      </c>
      <c r="X199" t="s">
        <v>379</v>
      </c>
      <c r="Y199" t="s">
        <v>380</v>
      </c>
      <c r="Z199" t="s">
        <v>381</v>
      </c>
      <c r="AA199" t="s">
        <v>410</v>
      </c>
      <c r="AB199" t="s">
        <v>92</v>
      </c>
      <c r="AC199" t="s">
        <v>373</v>
      </c>
      <c r="AD199" t="s">
        <v>373</v>
      </c>
      <c r="AE199" t="s">
        <v>1688</v>
      </c>
      <c r="AF199" t="s">
        <v>1690</v>
      </c>
      <c r="AG199" t="s">
        <v>1688</v>
      </c>
      <c r="AI199" t="s">
        <v>40</v>
      </c>
      <c r="AJ199" t="s">
        <v>1636</v>
      </c>
      <c r="AK199" t="s">
        <v>1637</v>
      </c>
      <c r="AL199" s="4">
        <v>6</v>
      </c>
      <c r="AM199" t="s">
        <v>185</v>
      </c>
      <c r="AN199">
        <v>6</v>
      </c>
      <c r="AO199" t="s">
        <v>1665</v>
      </c>
      <c r="AP199" t="s">
        <v>1639</v>
      </c>
      <c r="AQ199" t="s">
        <v>1685</v>
      </c>
      <c r="AR199" t="s">
        <v>1686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 t="s">
        <v>1642</v>
      </c>
    </row>
    <row r="200" spans="1:51">
      <c r="A200" t="s">
        <v>373</v>
      </c>
      <c r="B200" t="s">
        <v>412</v>
      </c>
      <c r="C200" t="s">
        <v>375</v>
      </c>
      <c r="E200" t="s">
        <v>96</v>
      </c>
      <c r="F200">
        <v>3</v>
      </c>
      <c r="G200" t="s">
        <v>185</v>
      </c>
      <c r="H200" t="s">
        <v>376</v>
      </c>
      <c r="I200" t="s">
        <v>377</v>
      </c>
      <c r="J200" t="s">
        <v>400</v>
      </c>
      <c r="K200" t="s">
        <v>29</v>
      </c>
      <c r="L200" t="s">
        <v>30</v>
      </c>
      <c r="M200" t="s">
        <v>188</v>
      </c>
      <c r="N200" s="7">
        <v>5.36</v>
      </c>
      <c r="O200" s="7"/>
      <c r="P200" s="7">
        <v>3</v>
      </c>
      <c r="Q200" s="7">
        <v>6.78</v>
      </c>
      <c r="R200" s="7"/>
      <c r="S200" s="7">
        <v>3</v>
      </c>
      <c r="T200" s="7">
        <v>0.65</v>
      </c>
      <c r="U200" s="7">
        <v>0.106</v>
      </c>
      <c r="V200" s="7">
        <v>0.23501312686959361</v>
      </c>
      <c r="W200" s="7">
        <v>4.9835052944383956E-3</v>
      </c>
      <c r="X200" t="s">
        <v>379</v>
      </c>
      <c r="Y200" t="s">
        <v>380</v>
      </c>
      <c r="Z200" t="s">
        <v>381</v>
      </c>
      <c r="AA200" t="s">
        <v>413</v>
      </c>
      <c r="AB200" t="s">
        <v>92</v>
      </c>
      <c r="AC200" t="s">
        <v>373</v>
      </c>
      <c r="AD200" t="s">
        <v>373</v>
      </c>
      <c r="AE200" t="s">
        <v>1688</v>
      </c>
      <c r="AF200" t="s">
        <v>1689</v>
      </c>
      <c r="AG200" t="s">
        <v>1688</v>
      </c>
      <c r="AI200" t="s">
        <v>30</v>
      </c>
      <c r="AJ200" t="s">
        <v>1636</v>
      </c>
      <c r="AK200" t="s">
        <v>1637</v>
      </c>
      <c r="AL200" s="4">
        <v>3</v>
      </c>
      <c r="AM200" t="s">
        <v>185</v>
      </c>
      <c r="AN200">
        <v>3</v>
      </c>
      <c r="AO200" t="s">
        <v>1665</v>
      </c>
      <c r="AP200" t="s">
        <v>1639</v>
      </c>
      <c r="AQ200" t="s">
        <v>1685</v>
      </c>
      <c r="AR200" t="s">
        <v>1686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 t="s">
        <v>1642</v>
      </c>
    </row>
    <row r="201" spans="1:51">
      <c r="A201" t="s">
        <v>373</v>
      </c>
      <c r="B201" t="s">
        <v>414</v>
      </c>
      <c r="C201" t="s">
        <v>375</v>
      </c>
      <c r="E201" t="s">
        <v>96</v>
      </c>
      <c r="F201">
        <v>6</v>
      </c>
      <c r="G201" t="s">
        <v>185</v>
      </c>
      <c r="H201" t="s">
        <v>376</v>
      </c>
      <c r="I201" t="s">
        <v>377</v>
      </c>
      <c r="J201" t="s">
        <v>400</v>
      </c>
      <c r="K201" t="s">
        <v>29</v>
      </c>
      <c r="L201" t="s">
        <v>30</v>
      </c>
      <c r="M201" t="s">
        <v>188</v>
      </c>
      <c r="N201" s="7">
        <v>5.36</v>
      </c>
      <c r="O201" s="7"/>
      <c r="P201" s="7">
        <v>3</v>
      </c>
      <c r="Q201" s="7">
        <v>8.43</v>
      </c>
      <c r="R201" s="7"/>
      <c r="S201" s="7">
        <v>3</v>
      </c>
      <c r="T201" s="7">
        <v>0.65</v>
      </c>
      <c r="U201" s="7">
        <v>0.85</v>
      </c>
      <c r="V201" s="7">
        <v>0.45283279693105344</v>
      </c>
      <c r="W201" s="7">
        <v>8.2909500530783369E-3</v>
      </c>
      <c r="X201" t="s">
        <v>379</v>
      </c>
      <c r="Y201" t="s">
        <v>380</v>
      </c>
      <c r="Z201" t="s">
        <v>381</v>
      </c>
      <c r="AA201" t="s">
        <v>413</v>
      </c>
      <c r="AB201" t="s">
        <v>92</v>
      </c>
      <c r="AC201" t="s">
        <v>373</v>
      </c>
      <c r="AD201" t="s">
        <v>373</v>
      </c>
      <c r="AE201" t="s">
        <v>1688</v>
      </c>
      <c r="AF201" t="s">
        <v>1690</v>
      </c>
      <c r="AG201" t="s">
        <v>1688</v>
      </c>
      <c r="AI201" t="s">
        <v>30</v>
      </c>
      <c r="AJ201" t="s">
        <v>1636</v>
      </c>
      <c r="AK201" t="s">
        <v>1637</v>
      </c>
      <c r="AL201" s="4">
        <v>6</v>
      </c>
      <c r="AM201" t="s">
        <v>185</v>
      </c>
      <c r="AN201">
        <v>6</v>
      </c>
      <c r="AO201" t="s">
        <v>1665</v>
      </c>
      <c r="AP201" t="s">
        <v>1639</v>
      </c>
      <c r="AQ201" t="s">
        <v>1685</v>
      </c>
      <c r="AR201" t="s">
        <v>1686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 t="s">
        <v>1642</v>
      </c>
    </row>
    <row r="202" spans="1:51">
      <c r="A202" t="s">
        <v>373</v>
      </c>
      <c r="B202" t="s">
        <v>415</v>
      </c>
      <c r="C202" t="s">
        <v>375</v>
      </c>
      <c r="E202" t="s">
        <v>96</v>
      </c>
      <c r="F202">
        <v>3</v>
      </c>
      <c r="G202" t="s">
        <v>185</v>
      </c>
      <c r="H202" t="s">
        <v>376</v>
      </c>
      <c r="I202" t="s">
        <v>377</v>
      </c>
      <c r="J202" t="s">
        <v>400</v>
      </c>
      <c r="K202" t="s">
        <v>29</v>
      </c>
      <c r="L202" t="s">
        <v>337</v>
      </c>
      <c r="M202" t="s">
        <v>188</v>
      </c>
      <c r="N202" s="7">
        <v>2.0699999999999998</v>
      </c>
      <c r="O202" s="7"/>
      <c r="P202" s="7">
        <v>3</v>
      </c>
      <c r="Q202" s="7">
        <v>2.52</v>
      </c>
      <c r="R202" s="7"/>
      <c r="S202" s="7">
        <v>3</v>
      </c>
      <c r="T202" s="7">
        <v>0.11</v>
      </c>
      <c r="U202" s="7">
        <v>7.0000000000000007E-2</v>
      </c>
      <c r="V202" s="7">
        <v>0.1967102942460543</v>
      </c>
      <c r="W202" s="7">
        <v>1.1984916022933249E-3</v>
      </c>
      <c r="X202" t="s">
        <v>379</v>
      </c>
      <c r="Y202" t="s">
        <v>380</v>
      </c>
      <c r="Z202" t="s">
        <v>381</v>
      </c>
      <c r="AA202" t="s">
        <v>416</v>
      </c>
      <c r="AB202" t="s">
        <v>92</v>
      </c>
      <c r="AC202" t="s">
        <v>373</v>
      </c>
      <c r="AD202" t="s">
        <v>373</v>
      </c>
      <c r="AE202" t="s">
        <v>1688</v>
      </c>
      <c r="AF202" t="s">
        <v>1689</v>
      </c>
      <c r="AG202" t="s">
        <v>1688</v>
      </c>
      <c r="AI202" t="s">
        <v>337</v>
      </c>
      <c r="AJ202" t="s">
        <v>1636</v>
      </c>
      <c r="AK202" t="s">
        <v>1637</v>
      </c>
      <c r="AL202" s="4">
        <v>3</v>
      </c>
      <c r="AM202" t="s">
        <v>185</v>
      </c>
      <c r="AN202">
        <v>3</v>
      </c>
      <c r="AO202" t="s">
        <v>1665</v>
      </c>
      <c r="AP202" t="s">
        <v>1639</v>
      </c>
      <c r="AQ202" t="s">
        <v>1685</v>
      </c>
      <c r="AR202" t="s">
        <v>1686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 t="s">
        <v>1642</v>
      </c>
    </row>
    <row r="203" spans="1:51">
      <c r="A203" t="s">
        <v>373</v>
      </c>
      <c r="B203" t="s">
        <v>417</v>
      </c>
      <c r="C203" t="s">
        <v>375</v>
      </c>
      <c r="E203" t="s">
        <v>96</v>
      </c>
      <c r="F203">
        <v>6</v>
      </c>
      <c r="G203" t="s">
        <v>185</v>
      </c>
      <c r="H203" t="s">
        <v>376</v>
      </c>
      <c r="I203" t="s">
        <v>377</v>
      </c>
      <c r="J203" t="s">
        <v>400</v>
      </c>
      <c r="K203" t="s">
        <v>29</v>
      </c>
      <c r="L203" t="s">
        <v>337</v>
      </c>
      <c r="M203" t="s">
        <v>188</v>
      </c>
      <c r="N203" s="7">
        <v>2.0699999999999998</v>
      </c>
      <c r="O203" s="7"/>
      <c r="P203" s="7">
        <v>3</v>
      </c>
      <c r="Q203" s="7">
        <v>3.11</v>
      </c>
      <c r="R203" s="7"/>
      <c r="S203" s="7">
        <v>3</v>
      </c>
      <c r="T203" s="7">
        <v>0.11</v>
      </c>
      <c r="U203" s="7">
        <v>0.81</v>
      </c>
      <c r="V203" s="7">
        <v>0.40707411891386508</v>
      </c>
      <c r="W203" s="7">
        <v>2.3552718704871651E-2</v>
      </c>
      <c r="X203" t="s">
        <v>379</v>
      </c>
      <c r="Y203" t="s">
        <v>380</v>
      </c>
      <c r="Z203" t="s">
        <v>381</v>
      </c>
      <c r="AA203" t="s">
        <v>416</v>
      </c>
      <c r="AB203" t="s">
        <v>92</v>
      </c>
      <c r="AC203" t="s">
        <v>373</v>
      </c>
      <c r="AD203" t="s">
        <v>373</v>
      </c>
      <c r="AE203" t="s">
        <v>1688</v>
      </c>
      <c r="AF203" t="s">
        <v>1690</v>
      </c>
      <c r="AG203" t="s">
        <v>1688</v>
      </c>
      <c r="AI203" t="s">
        <v>337</v>
      </c>
      <c r="AJ203" t="s">
        <v>1636</v>
      </c>
      <c r="AK203" t="s">
        <v>1637</v>
      </c>
      <c r="AL203" s="4">
        <v>6</v>
      </c>
      <c r="AM203" t="s">
        <v>185</v>
      </c>
      <c r="AN203">
        <v>6</v>
      </c>
      <c r="AO203" t="s">
        <v>1665</v>
      </c>
      <c r="AP203" t="s">
        <v>1639</v>
      </c>
      <c r="AQ203" t="s">
        <v>1685</v>
      </c>
      <c r="AR203" t="s">
        <v>1686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 t="s">
        <v>1642</v>
      </c>
    </row>
    <row r="204" spans="1:51">
      <c r="A204" t="s">
        <v>418</v>
      </c>
      <c r="B204" t="s">
        <v>419</v>
      </c>
      <c r="C204" t="s">
        <v>420</v>
      </c>
      <c r="E204" t="s">
        <v>421</v>
      </c>
      <c r="F204">
        <v>150</v>
      </c>
      <c r="G204" t="s">
        <v>83</v>
      </c>
      <c r="H204" t="s">
        <v>84</v>
      </c>
      <c r="I204" t="s">
        <v>85</v>
      </c>
      <c r="J204" t="s">
        <v>422</v>
      </c>
      <c r="K204" t="s">
        <v>149</v>
      </c>
      <c r="L204" t="s">
        <v>42</v>
      </c>
      <c r="M204" t="s">
        <v>423</v>
      </c>
      <c r="N204" s="7">
        <v>1.6</v>
      </c>
      <c r="O204" s="7"/>
      <c r="P204" s="7">
        <v>4</v>
      </c>
      <c r="Q204" s="7">
        <v>1.9</v>
      </c>
      <c r="R204" s="7"/>
      <c r="S204" s="7">
        <v>4</v>
      </c>
      <c r="T204" s="7">
        <v>0.1</v>
      </c>
      <c r="U204" s="7">
        <v>0.1</v>
      </c>
      <c r="V204" s="7">
        <v>0.17185025692665903</v>
      </c>
      <c r="W204" s="7">
        <v>1.6690832756232688E-3</v>
      </c>
      <c r="X204" t="s">
        <v>424</v>
      </c>
      <c r="Y204" t="s">
        <v>380</v>
      </c>
      <c r="Z204" t="s">
        <v>381</v>
      </c>
      <c r="AA204" t="s">
        <v>425</v>
      </c>
      <c r="AB204" t="s">
        <v>92</v>
      </c>
      <c r="AC204" t="s">
        <v>418</v>
      </c>
      <c r="AD204" t="s">
        <v>418</v>
      </c>
      <c r="AE204" t="s">
        <v>1691</v>
      </c>
      <c r="AF204" t="s">
        <v>1692</v>
      </c>
      <c r="AG204" t="s">
        <v>1691</v>
      </c>
      <c r="AI204" t="s">
        <v>42</v>
      </c>
      <c r="AJ204" t="s">
        <v>1636</v>
      </c>
      <c r="AK204" t="s">
        <v>1637</v>
      </c>
      <c r="AL204" s="4">
        <v>150</v>
      </c>
      <c r="AM204" t="s">
        <v>83</v>
      </c>
      <c r="AN204">
        <v>0.86107921928817455</v>
      </c>
      <c r="AO204" t="s">
        <v>1638</v>
      </c>
      <c r="AP204" t="s">
        <v>1639</v>
      </c>
      <c r="AQ204" t="s">
        <v>1685</v>
      </c>
      <c r="AR204" t="s">
        <v>1686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 t="s">
        <v>1642</v>
      </c>
    </row>
    <row r="205" spans="1:51">
      <c r="A205" t="s">
        <v>418</v>
      </c>
      <c r="B205" t="s">
        <v>426</v>
      </c>
      <c r="C205" t="s">
        <v>420</v>
      </c>
      <c r="E205" t="s">
        <v>421</v>
      </c>
      <c r="F205">
        <v>150</v>
      </c>
      <c r="G205" t="s">
        <v>83</v>
      </c>
      <c r="H205" t="s">
        <v>84</v>
      </c>
      <c r="I205" t="s">
        <v>85</v>
      </c>
      <c r="J205" t="s">
        <v>422</v>
      </c>
      <c r="K205" t="s">
        <v>149</v>
      </c>
      <c r="L205" t="s">
        <v>53</v>
      </c>
      <c r="M205" t="s">
        <v>423</v>
      </c>
      <c r="N205" s="7">
        <v>0.3</v>
      </c>
      <c r="O205" s="7"/>
      <c r="P205" s="7">
        <v>4</v>
      </c>
      <c r="Q205" s="7">
        <v>0.5</v>
      </c>
      <c r="R205" s="7"/>
      <c r="S205" s="7">
        <v>4</v>
      </c>
      <c r="T205" s="7">
        <v>0.1</v>
      </c>
      <c r="U205" s="7">
        <v>0.1</v>
      </c>
      <c r="V205" s="7">
        <v>0.51082562376599072</v>
      </c>
      <c r="W205" s="7">
        <v>3.7777777777777785E-2</v>
      </c>
      <c r="X205" t="s">
        <v>424</v>
      </c>
      <c r="Y205" t="s">
        <v>380</v>
      </c>
      <c r="Z205" t="s">
        <v>381</v>
      </c>
      <c r="AA205" t="s">
        <v>427</v>
      </c>
      <c r="AB205" t="s">
        <v>92</v>
      </c>
      <c r="AC205" t="s">
        <v>418</v>
      </c>
      <c r="AD205" t="s">
        <v>418</v>
      </c>
      <c r="AE205" t="s">
        <v>1691</v>
      </c>
      <c r="AF205" t="s">
        <v>1692</v>
      </c>
      <c r="AG205" t="s">
        <v>1691</v>
      </c>
      <c r="AI205" t="s">
        <v>53</v>
      </c>
      <c r="AJ205" t="s">
        <v>1636</v>
      </c>
      <c r="AK205" t="s">
        <v>1637</v>
      </c>
      <c r="AL205" s="4">
        <v>150</v>
      </c>
      <c r="AM205" t="s">
        <v>83</v>
      </c>
      <c r="AN205">
        <v>0.86107921928817455</v>
      </c>
      <c r="AO205" t="s">
        <v>1638</v>
      </c>
      <c r="AP205" t="s">
        <v>1639</v>
      </c>
      <c r="AQ205" t="s">
        <v>1685</v>
      </c>
      <c r="AR205" t="s">
        <v>1686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 t="s">
        <v>1642</v>
      </c>
    </row>
    <row r="206" spans="1:51">
      <c r="A206" t="s">
        <v>418</v>
      </c>
      <c r="B206" t="s">
        <v>428</v>
      </c>
      <c r="C206" t="s">
        <v>420</v>
      </c>
      <c r="E206" t="s">
        <v>421</v>
      </c>
      <c r="F206">
        <v>150</v>
      </c>
      <c r="G206" t="s">
        <v>83</v>
      </c>
      <c r="H206" t="s">
        <v>84</v>
      </c>
      <c r="I206" t="s">
        <v>85</v>
      </c>
      <c r="J206" t="s">
        <v>422</v>
      </c>
      <c r="K206" t="s">
        <v>149</v>
      </c>
      <c r="L206" t="s">
        <v>40</v>
      </c>
      <c r="M206" t="s">
        <v>423</v>
      </c>
      <c r="N206" s="7">
        <v>0.4</v>
      </c>
      <c r="O206" s="7"/>
      <c r="P206" s="7">
        <v>4</v>
      </c>
      <c r="Q206" s="7">
        <v>0.6</v>
      </c>
      <c r="R206" s="7"/>
      <c r="S206" s="7">
        <v>4</v>
      </c>
      <c r="T206" s="7">
        <v>0.1</v>
      </c>
      <c r="U206" s="7">
        <v>0.1</v>
      </c>
      <c r="V206" s="7">
        <v>0.40546510810816422</v>
      </c>
      <c r="W206" s="7">
        <v>2.2569444444444448E-2</v>
      </c>
      <c r="X206" t="s">
        <v>424</v>
      </c>
      <c r="Y206" t="s">
        <v>380</v>
      </c>
      <c r="Z206" t="s">
        <v>381</v>
      </c>
      <c r="AA206" t="s">
        <v>429</v>
      </c>
      <c r="AB206" t="s">
        <v>92</v>
      </c>
      <c r="AC206" t="s">
        <v>418</v>
      </c>
      <c r="AD206" t="s">
        <v>418</v>
      </c>
      <c r="AE206" t="s">
        <v>1691</v>
      </c>
      <c r="AF206" t="s">
        <v>1692</v>
      </c>
      <c r="AG206" t="s">
        <v>1691</v>
      </c>
      <c r="AI206" t="s">
        <v>40</v>
      </c>
      <c r="AJ206" t="s">
        <v>1636</v>
      </c>
      <c r="AK206" t="s">
        <v>1637</v>
      </c>
      <c r="AL206" s="4">
        <v>150</v>
      </c>
      <c r="AM206" t="s">
        <v>83</v>
      </c>
      <c r="AN206">
        <v>0.86107921928817455</v>
      </c>
      <c r="AO206" t="s">
        <v>1638</v>
      </c>
      <c r="AP206" t="s">
        <v>1639</v>
      </c>
      <c r="AQ206" t="s">
        <v>1685</v>
      </c>
      <c r="AR206" t="s">
        <v>1686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 t="s">
        <v>1642</v>
      </c>
    </row>
    <row r="207" spans="1:51">
      <c r="A207" t="s">
        <v>418</v>
      </c>
      <c r="B207" t="s">
        <v>430</v>
      </c>
      <c r="C207" t="s">
        <v>420</v>
      </c>
      <c r="E207" t="s">
        <v>421</v>
      </c>
      <c r="F207">
        <v>300</v>
      </c>
      <c r="G207" t="s">
        <v>83</v>
      </c>
      <c r="H207" t="s">
        <v>84</v>
      </c>
      <c r="I207" t="s">
        <v>85</v>
      </c>
      <c r="J207" t="s">
        <v>422</v>
      </c>
      <c r="K207" t="s">
        <v>149</v>
      </c>
      <c r="L207" t="s">
        <v>42</v>
      </c>
      <c r="M207" t="s">
        <v>423</v>
      </c>
      <c r="N207" s="7">
        <v>1.6</v>
      </c>
      <c r="O207" s="7"/>
      <c r="P207" s="7">
        <v>4</v>
      </c>
      <c r="Q207" s="7">
        <v>1.7</v>
      </c>
      <c r="R207" s="7"/>
      <c r="S207" s="7">
        <v>4</v>
      </c>
      <c r="T207" s="7">
        <v>0.1</v>
      </c>
      <c r="U207" s="7">
        <v>0.2</v>
      </c>
      <c r="V207" s="7">
        <v>6.062462181643484E-2</v>
      </c>
      <c r="W207" s="7">
        <v>4.4367701124567484E-3</v>
      </c>
      <c r="X207" t="s">
        <v>424</v>
      </c>
      <c r="Y207" t="s">
        <v>380</v>
      </c>
      <c r="Z207" t="s">
        <v>381</v>
      </c>
      <c r="AA207" t="s">
        <v>425</v>
      </c>
      <c r="AB207" t="s">
        <v>92</v>
      </c>
      <c r="AC207" t="s">
        <v>418</v>
      </c>
      <c r="AD207" t="s">
        <v>418</v>
      </c>
      <c r="AE207" t="s">
        <v>1691</v>
      </c>
      <c r="AF207" t="s">
        <v>1693</v>
      </c>
      <c r="AG207" t="s">
        <v>1691</v>
      </c>
      <c r="AI207" t="s">
        <v>42</v>
      </c>
      <c r="AJ207" t="s">
        <v>1636</v>
      </c>
      <c r="AK207" t="s">
        <v>1637</v>
      </c>
      <c r="AL207" s="4">
        <v>300</v>
      </c>
      <c r="AM207" t="s">
        <v>83</v>
      </c>
      <c r="AN207">
        <v>1.7221584385763491</v>
      </c>
      <c r="AO207" t="s">
        <v>1638</v>
      </c>
      <c r="AP207" t="s">
        <v>1639</v>
      </c>
      <c r="AQ207" t="s">
        <v>1685</v>
      </c>
      <c r="AR207" t="s">
        <v>1686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0</v>
      </c>
      <c r="AY207" t="s">
        <v>1642</v>
      </c>
    </row>
    <row r="208" spans="1:51">
      <c r="A208" t="s">
        <v>418</v>
      </c>
      <c r="B208" t="s">
        <v>431</v>
      </c>
      <c r="C208" t="s">
        <v>420</v>
      </c>
      <c r="E208" t="s">
        <v>421</v>
      </c>
      <c r="F208">
        <v>300</v>
      </c>
      <c r="G208" t="s">
        <v>83</v>
      </c>
      <c r="H208" t="s">
        <v>84</v>
      </c>
      <c r="I208" t="s">
        <v>85</v>
      </c>
      <c r="J208" t="s">
        <v>422</v>
      </c>
      <c r="K208" t="s">
        <v>149</v>
      </c>
      <c r="L208" t="s">
        <v>53</v>
      </c>
      <c r="M208" t="s">
        <v>423</v>
      </c>
      <c r="N208" s="7">
        <v>0.3</v>
      </c>
      <c r="O208" s="7"/>
      <c r="P208" s="7">
        <v>4</v>
      </c>
      <c r="Q208" s="7">
        <v>0.4</v>
      </c>
      <c r="R208" s="7"/>
      <c r="S208" s="7">
        <v>4</v>
      </c>
      <c r="T208" s="7">
        <v>0.1</v>
      </c>
      <c r="U208" s="7">
        <v>0.1</v>
      </c>
      <c r="V208" s="7">
        <v>0.28768207245178101</v>
      </c>
      <c r="W208" s="7">
        <v>4.3402777777777783E-2</v>
      </c>
      <c r="X208" t="s">
        <v>424</v>
      </c>
      <c r="Y208" t="s">
        <v>380</v>
      </c>
      <c r="Z208" t="s">
        <v>381</v>
      </c>
      <c r="AA208" t="s">
        <v>427</v>
      </c>
      <c r="AB208" t="s">
        <v>92</v>
      </c>
      <c r="AC208" t="s">
        <v>418</v>
      </c>
      <c r="AD208" t="s">
        <v>418</v>
      </c>
      <c r="AE208" t="s">
        <v>1691</v>
      </c>
      <c r="AF208" t="s">
        <v>1693</v>
      </c>
      <c r="AG208" t="s">
        <v>1691</v>
      </c>
      <c r="AI208" t="s">
        <v>53</v>
      </c>
      <c r="AJ208" t="s">
        <v>1636</v>
      </c>
      <c r="AK208" t="s">
        <v>1637</v>
      </c>
      <c r="AL208" s="4">
        <v>300</v>
      </c>
      <c r="AM208" t="s">
        <v>83</v>
      </c>
      <c r="AN208">
        <v>1.7221584385763491</v>
      </c>
      <c r="AO208" t="s">
        <v>1638</v>
      </c>
      <c r="AP208" t="s">
        <v>1639</v>
      </c>
      <c r="AQ208" t="s">
        <v>1685</v>
      </c>
      <c r="AR208" t="s">
        <v>1686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 t="s">
        <v>1642</v>
      </c>
    </row>
    <row r="209" spans="1:51">
      <c r="A209" t="s">
        <v>418</v>
      </c>
      <c r="B209" t="s">
        <v>432</v>
      </c>
      <c r="C209" t="s">
        <v>420</v>
      </c>
      <c r="E209" t="s">
        <v>421</v>
      </c>
      <c r="F209">
        <v>300</v>
      </c>
      <c r="G209" t="s">
        <v>83</v>
      </c>
      <c r="H209" t="s">
        <v>84</v>
      </c>
      <c r="I209" t="s">
        <v>85</v>
      </c>
      <c r="J209" t="s">
        <v>422</v>
      </c>
      <c r="K209" t="s">
        <v>149</v>
      </c>
      <c r="L209" t="s">
        <v>40</v>
      </c>
      <c r="M209" t="s">
        <v>423</v>
      </c>
      <c r="N209" s="7">
        <v>0.4</v>
      </c>
      <c r="O209" s="7"/>
      <c r="P209" s="7">
        <v>4</v>
      </c>
      <c r="Q209" s="7">
        <v>0.5</v>
      </c>
      <c r="R209" s="7"/>
      <c r="S209" s="7">
        <v>4</v>
      </c>
      <c r="T209" s="7">
        <v>0.1</v>
      </c>
      <c r="U209" s="7">
        <v>0.1</v>
      </c>
      <c r="V209" s="7">
        <v>0.22314355131420976</v>
      </c>
      <c r="W209" s="7">
        <v>2.5625000000000002E-2</v>
      </c>
      <c r="X209" t="s">
        <v>424</v>
      </c>
      <c r="Y209" t="s">
        <v>380</v>
      </c>
      <c r="Z209" t="s">
        <v>381</v>
      </c>
      <c r="AA209" t="s">
        <v>429</v>
      </c>
      <c r="AB209" t="s">
        <v>92</v>
      </c>
      <c r="AC209" t="s">
        <v>418</v>
      </c>
      <c r="AD209" t="s">
        <v>418</v>
      </c>
      <c r="AE209" t="s">
        <v>1691</v>
      </c>
      <c r="AF209" t="s">
        <v>1693</v>
      </c>
      <c r="AG209" t="s">
        <v>1691</v>
      </c>
      <c r="AI209" t="s">
        <v>40</v>
      </c>
      <c r="AJ209" t="s">
        <v>1636</v>
      </c>
      <c r="AK209" t="s">
        <v>1637</v>
      </c>
      <c r="AL209" s="4">
        <v>300</v>
      </c>
      <c r="AM209" t="s">
        <v>83</v>
      </c>
      <c r="AN209">
        <v>1.7221584385763491</v>
      </c>
      <c r="AO209" t="s">
        <v>1638</v>
      </c>
      <c r="AP209" t="s">
        <v>1639</v>
      </c>
      <c r="AQ209" t="s">
        <v>1685</v>
      </c>
      <c r="AR209" t="s">
        <v>1686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 t="s">
        <v>1642</v>
      </c>
    </row>
    <row r="210" spans="1:51">
      <c r="A210" t="s">
        <v>418</v>
      </c>
      <c r="B210" t="s">
        <v>433</v>
      </c>
      <c r="C210" t="s">
        <v>420</v>
      </c>
      <c r="E210" t="s">
        <v>421</v>
      </c>
      <c r="F210">
        <v>150</v>
      </c>
      <c r="G210" t="s">
        <v>83</v>
      </c>
      <c r="H210" t="s">
        <v>84</v>
      </c>
      <c r="I210" t="s">
        <v>85</v>
      </c>
      <c r="J210" t="s">
        <v>434</v>
      </c>
      <c r="K210" t="s">
        <v>149</v>
      </c>
      <c r="L210" t="s">
        <v>42</v>
      </c>
      <c r="M210" t="s">
        <v>423</v>
      </c>
      <c r="N210" s="7">
        <v>1.3</v>
      </c>
      <c r="O210" s="7"/>
      <c r="P210" s="7">
        <v>4</v>
      </c>
      <c r="Q210" s="7">
        <v>1.7</v>
      </c>
      <c r="R210" s="7"/>
      <c r="S210" s="7">
        <v>4</v>
      </c>
      <c r="T210" s="7">
        <v>0.1</v>
      </c>
      <c r="U210" s="7">
        <v>0.2</v>
      </c>
      <c r="V210" s="7">
        <v>0.26826398659467937</v>
      </c>
      <c r="W210" s="7">
        <v>4.9394975532851514E-3</v>
      </c>
      <c r="X210" t="s">
        <v>424</v>
      </c>
      <c r="Y210" t="s">
        <v>380</v>
      </c>
      <c r="Z210" t="s">
        <v>381</v>
      </c>
      <c r="AA210" t="s">
        <v>435</v>
      </c>
      <c r="AB210" t="s">
        <v>92</v>
      </c>
      <c r="AC210" t="s">
        <v>418</v>
      </c>
      <c r="AD210" t="s">
        <v>418</v>
      </c>
      <c r="AE210" t="s">
        <v>1694</v>
      </c>
      <c r="AF210" t="s">
        <v>1695</v>
      </c>
      <c r="AG210" t="s">
        <v>1694</v>
      </c>
      <c r="AI210" t="s">
        <v>42</v>
      </c>
      <c r="AJ210" t="s">
        <v>1636</v>
      </c>
      <c r="AK210" t="s">
        <v>1637</v>
      </c>
      <c r="AL210" s="4">
        <v>150</v>
      </c>
      <c r="AM210" t="s">
        <v>83</v>
      </c>
      <c r="AN210">
        <v>0.86107921928817455</v>
      </c>
      <c r="AO210" t="s">
        <v>1638</v>
      </c>
      <c r="AP210" t="s">
        <v>1639</v>
      </c>
      <c r="AQ210" t="s">
        <v>1685</v>
      </c>
      <c r="AR210" t="s">
        <v>1686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 t="s">
        <v>1642</v>
      </c>
    </row>
    <row r="211" spans="1:51">
      <c r="A211" t="s">
        <v>418</v>
      </c>
      <c r="B211" t="s">
        <v>436</v>
      </c>
      <c r="C211" t="s">
        <v>420</v>
      </c>
      <c r="E211" t="s">
        <v>421</v>
      </c>
      <c r="F211">
        <v>150</v>
      </c>
      <c r="G211" t="s">
        <v>83</v>
      </c>
      <c r="H211" t="s">
        <v>84</v>
      </c>
      <c r="I211" t="s">
        <v>85</v>
      </c>
      <c r="J211" t="s">
        <v>434</v>
      </c>
      <c r="K211" t="s">
        <v>149</v>
      </c>
      <c r="L211" t="s">
        <v>53</v>
      </c>
      <c r="M211" t="s">
        <v>423</v>
      </c>
      <c r="N211" s="7">
        <v>0.2</v>
      </c>
      <c r="O211" s="7"/>
      <c r="P211" s="7">
        <v>4</v>
      </c>
      <c r="Q211" s="7">
        <v>0.4</v>
      </c>
      <c r="R211" s="7"/>
      <c r="S211" s="7">
        <v>4</v>
      </c>
      <c r="T211" s="7">
        <v>0.1</v>
      </c>
      <c r="U211" s="7">
        <v>0.1</v>
      </c>
      <c r="V211" s="7">
        <v>0.69314718055994529</v>
      </c>
      <c r="W211" s="7">
        <v>7.8125E-2</v>
      </c>
      <c r="X211" t="s">
        <v>424</v>
      </c>
      <c r="Y211" t="s">
        <v>380</v>
      </c>
      <c r="Z211" t="s">
        <v>381</v>
      </c>
      <c r="AA211" t="s">
        <v>437</v>
      </c>
      <c r="AB211" t="s">
        <v>92</v>
      </c>
      <c r="AC211" t="s">
        <v>418</v>
      </c>
      <c r="AD211" t="s">
        <v>418</v>
      </c>
      <c r="AE211" t="s">
        <v>1694</v>
      </c>
      <c r="AF211" t="s">
        <v>1695</v>
      </c>
      <c r="AG211" t="s">
        <v>1694</v>
      </c>
      <c r="AI211" t="s">
        <v>53</v>
      </c>
      <c r="AJ211" t="s">
        <v>1636</v>
      </c>
      <c r="AK211" t="s">
        <v>1637</v>
      </c>
      <c r="AL211" s="4">
        <v>150</v>
      </c>
      <c r="AM211" t="s">
        <v>83</v>
      </c>
      <c r="AN211">
        <v>0.86107921928817455</v>
      </c>
      <c r="AO211" t="s">
        <v>1638</v>
      </c>
      <c r="AP211" t="s">
        <v>1639</v>
      </c>
      <c r="AQ211" t="s">
        <v>1685</v>
      </c>
      <c r="AR211" t="s">
        <v>1686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0</v>
      </c>
      <c r="AY211" t="s">
        <v>1642</v>
      </c>
    </row>
    <row r="212" spans="1:51">
      <c r="A212" t="s">
        <v>418</v>
      </c>
      <c r="B212" t="s">
        <v>438</v>
      </c>
      <c r="C212" t="s">
        <v>420</v>
      </c>
      <c r="E212" t="s">
        <v>421</v>
      </c>
      <c r="F212">
        <v>150</v>
      </c>
      <c r="G212" t="s">
        <v>83</v>
      </c>
      <c r="H212" t="s">
        <v>84</v>
      </c>
      <c r="I212" t="s">
        <v>85</v>
      </c>
      <c r="J212" t="s">
        <v>434</v>
      </c>
      <c r="K212" t="s">
        <v>149</v>
      </c>
      <c r="L212" t="s">
        <v>40</v>
      </c>
      <c r="M212" t="s">
        <v>423</v>
      </c>
      <c r="N212" s="7">
        <v>0.3</v>
      </c>
      <c r="O212" s="7"/>
      <c r="P212" s="7">
        <v>4</v>
      </c>
      <c r="Q212" s="7">
        <v>0.5</v>
      </c>
      <c r="R212" s="7"/>
      <c r="S212" s="7">
        <v>4</v>
      </c>
      <c r="T212" s="7">
        <v>0.1</v>
      </c>
      <c r="U212" s="7">
        <v>0.1</v>
      </c>
      <c r="V212" s="7">
        <v>0.51082562376599072</v>
      </c>
      <c r="W212" s="7">
        <v>3.7777777777777785E-2</v>
      </c>
      <c r="X212" t="s">
        <v>424</v>
      </c>
      <c r="Y212" t="s">
        <v>380</v>
      </c>
      <c r="Z212" t="s">
        <v>381</v>
      </c>
      <c r="AA212" t="s">
        <v>439</v>
      </c>
      <c r="AB212" t="s">
        <v>92</v>
      </c>
      <c r="AC212" t="s">
        <v>418</v>
      </c>
      <c r="AD212" t="s">
        <v>418</v>
      </c>
      <c r="AE212" t="s">
        <v>1694</v>
      </c>
      <c r="AF212" t="s">
        <v>1695</v>
      </c>
      <c r="AG212" t="s">
        <v>1694</v>
      </c>
      <c r="AI212" t="s">
        <v>40</v>
      </c>
      <c r="AJ212" t="s">
        <v>1636</v>
      </c>
      <c r="AK212" t="s">
        <v>1637</v>
      </c>
      <c r="AL212" s="4">
        <v>150</v>
      </c>
      <c r="AM212" t="s">
        <v>83</v>
      </c>
      <c r="AN212">
        <v>0.86107921928817455</v>
      </c>
      <c r="AO212" t="s">
        <v>1638</v>
      </c>
      <c r="AP212" t="s">
        <v>1639</v>
      </c>
      <c r="AQ212" t="s">
        <v>1685</v>
      </c>
      <c r="AR212" t="s">
        <v>1686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 t="s">
        <v>1642</v>
      </c>
    </row>
    <row r="213" spans="1:51">
      <c r="A213" t="s">
        <v>418</v>
      </c>
      <c r="B213" t="s">
        <v>440</v>
      </c>
      <c r="C213" t="s">
        <v>420</v>
      </c>
      <c r="E213" t="s">
        <v>421</v>
      </c>
      <c r="F213">
        <v>300</v>
      </c>
      <c r="G213" t="s">
        <v>83</v>
      </c>
      <c r="H213" t="s">
        <v>84</v>
      </c>
      <c r="I213" t="s">
        <v>85</v>
      </c>
      <c r="J213" t="s">
        <v>434</v>
      </c>
      <c r="K213" t="s">
        <v>149</v>
      </c>
      <c r="L213" t="s">
        <v>42</v>
      </c>
      <c r="M213" t="s">
        <v>423</v>
      </c>
      <c r="N213" s="7">
        <v>1.3</v>
      </c>
      <c r="O213" s="7"/>
      <c r="P213" s="7">
        <v>4</v>
      </c>
      <c r="Q213" s="7">
        <v>1.5</v>
      </c>
      <c r="R213" s="7"/>
      <c r="S213" s="7">
        <v>4</v>
      </c>
      <c r="T213" s="7">
        <v>0.1</v>
      </c>
      <c r="U213" s="7">
        <v>0.2</v>
      </c>
      <c r="V213" s="7">
        <v>0.14310084364067324</v>
      </c>
      <c r="W213" s="7">
        <v>5.9237343852728483E-3</v>
      </c>
      <c r="X213" t="s">
        <v>424</v>
      </c>
      <c r="Y213" t="s">
        <v>380</v>
      </c>
      <c r="Z213" t="s">
        <v>381</v>
      </c>
      <c r="AA213" t="s">
        <v>435</v>
      </c>
      <c r="AB213" t="s">
        <v>92</v>
      </c>
      <c r="AC213" t="s">
        <v>418</v>
      </c>
      <c r="AD213" t="s">
        <v>418</v>
      </c>
      <c r="AE213" t="s">
        <v>1694</v>
      </c>
      <c r="AF213" t="s">
        <v>1696</v>
      </c>
      <c r="AG213" t="s">
        <v>1694</v>
      </c>
      <c r="AI213" t="s">
        <v>42</v>
      </c>
      <c r="AJ213" t="s">
        <v>1636</v>
      </c>
      <c r="AK213" t="s">
        <v>1637</v>
      </c>
      <c r="AL213" s="4">
        <v>300</v>
      </c>
      <c r="AM213" t="s">
        <v>83</v>
      </c>
      <c r="AN213">
        <v>1.7221584385763491</v>
      </c>
      <c r="AO213" t="s">
        <v>1638</v>
      </c>
      <c r="AP213" t="s">
        <v>1639</v>
      </c>
      <c r="AQ213" t="s">
        <v>1685</v>
      </c>
      <c r="AR213" t="s">
        <v>1686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0</v>
      </c>
      <c r="AY213" t="s">
        <v>1642</v>
      </c>
    </row>
    <row r="214" spans="1:51">
      <c r="A214" t="s">
        <v>418</v>
      </c>
      <c r="B214" t="s">
        <v>441</v>
      </c>
      <c r="C214" t="s">
        <v>420</v>
      </c>
      <c r="E214" t="s">
        <v>421</v>
      </c>
      <c r="F214">
        <v>300</v>
      </c>
      <c r="G214" t="s">
        <v>83</v>
      </c>
      <c r="H214" t="s">
        <v>84</v>
      </c>
      <c r="I214" t="s">
        <v>85</v>
      </c>
      <c r="J214" t="s">
        <v>434</v>
      </c>
      <c r="K214" t="s">
        <v>149</v>
      </c>
      <c r="L214" t="s">
        <v>53</v>
      </c>
      <c r="M214" t="s">
        <v>423</v>
      </c>
      <c r="N214" s="7">
        <v>0.2</v>
      </c>
      <c r="O214" s="7"/>
      <c r="P214" s="7">
        <v>4</v>
      </c>
      <c r="Q214" s="7">
        <v>0.3</v>
      </c>
      <c r="R214" s="7"/>
      <c r="S214" s="7">
        <v>4</v>
      </c>
      <c r="T214" s="7">
        <v>0.1</v>
      </c>
      <c r="U214" s="7">
        <v>0.1</v>
      </c>
      <c r="V214" s="7">
        <v>0.40546510810816422</v>
      </c>
      <c r="W214" s="7">
        <v>9.027777777777779E-2</v>
      </c>
      <c r="X214" t="s">
        <v>424</v>
      </c>
      <c r="Y214" t="s">
        <v>380</v>
      </c>
      <c r="Z214" t="s">
        <v>381</v>
      </c>
      <c r="AA214" t="s">
        <v>437</v>
      </c>
      <c r="AB214" t="s">
        <v>92</v>
      </c>
      <c r="AC214" t="s">
        <v>418</v>
      </c>
      <c r="AD214" t="s">
        <v>418</v>
      </c>
      <c r="AE214" t="s">
        <v>1694</v>
      </c>
      <c r="AF214" t="s">
        <v>1696</v>
      </c>
      <c r="AG214" t="s">
        <v>1694</v>
      </c>
      <c r="AI214" t="s">
        <v>53</v>
      </c>
      <c r="AJ214" t="s">
        <v>1636</v>
      </c>
      <c r="AK214" t="s">
        <v>1637</v>
      </c>
      <c r="AL214" s="4">
        <v>300</v>
      </c>
      <c r="AM214" t="s">
        <v>83</v>
      </c>
      <c r="AN214">
        <v>1.7221584385763491</v>
      </c>
      <c r="AO214" t="s">
        <v>1638</v>
      </c>
      <c r="AP214" t="s">
        <v>1639</v>
      </c>
      <c r="AQ214" t="s">
        <v>1685</v>
      </c>
      <c r="AR214" t="s">
        <v>1686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 t="s">
        <v>1642</v>
      </c>
    </row>
    <row r="215" spans="1:51">
      <c r="A215" t="s">
        <v>418</v>
      </c>
      <c r="B215" t="s">
        <v>442</v>
      </c>
      <c r="C215" t="s">
        <v>420</v>
      </c>
      <c r="E215" t="s">
        <v>421</v>
      </c>
      <c r="F215">
        <v>300</v>
      </c>
      <c r="G215" t="s">
        <v>83</v>
      </c>
      <c r="H215" t="s">
        <v>84</v>
      </c>
      <c r="I215" t="s">
        <v>85</v>
      </c>
      <c r="J215" t="s">
        <v>434</v>
      </c>
      <c r="K215" t="s">
        <v>149</v>
      </c>
      <c r="L215" t="s">
        <v>40</v>
      </c>
      <c r="M215" t="s">
        <v>423</v>
      </c>
      <c r="N215" s="7">
        <v>0.3</v>
      </c>
      <c r="O215" s="7"/>
      <c r="P215" s="7">
        <v>4</v>
      </c>
      <c r="Q215" s="7">
        <v>0.4</v>
      </c>
      <c r="R215" s="7"/>
      <c r="S215" s="7">
        <v>4</v>
      </c>
      <c r="T215" s="7">
        <v>0.1</v>
      </c>
      <c r="U215" s="7">
        <v>0.1</v>
      </c>
      <c r="V215" s="7">
        <v>0.28768207245178101</v>
      </c>
      <c r="W215" s="7">
        <v>4.3402777777777783E-2</v>
      </c>
      <c r="X215" t="s">
        <v>424</v>
      </c>
      <c r="Y215" t="s">
        <v>380</v>
      </c>
      <c r="Z215" t="s">
        <v>381</v>
      </c>
      <c r="AA215" t="s">
        <v>439</v>
      </c>
      <c r="AB215" t="s">
        <v>92</v>
      </c>
      <c r="AC215" t="s">
        <v>418</v>
      </c>
      <c r="AD215" t="s">
        <v>418</v>
      </c>
      <c r="AE215" t="s">
        <v>1694</v>
      </c>
      <c r="AF215" t="s">
        <v>1696</v>
      </c>
      <c r="AG215" t="s">
        <v>1694</v>
      </c>
      <c r="AI215" t="s">
        <v>40</v>
      </c>
      <c r="AJ215" t="s">
        <v>1636</v>
      </c>
      <c r="AK215" t="s">
        <v>1637</v>
      </c>
      <c r="AL215" s="4">
        <v>300</v>
      </c>
      <c r="AM215" t="s">
        <v>83</v>
      </c>
      <c r="AN215">
        <v>1.7221584385763491</v>
      </c>
      <c r="AO215" t="s">
        <v>1638</v>
      </c>
      <c r="AP215" t="s">
        <v>1639</v>
      </c>
      <c r="AQ215" t="s">
        <v>1685</v>
      </c>
      <c r="AR215" t="s">
        <v>1686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1642</v>
      </c>
    </row>
    <row r="216" spans="1:51">
      <c r="A216" t="s">
        <v>443</v>
      </c>
      <c r="B216" t="s">
        <v>444</v>
      </c>
      <c r="C216" t="s">
        <v>445</v>
      </c>
      <c r="D216" t="s">
        <v>446</v>
      </c>
      <c r="E216" t="s">
        <v>96</v>
      </c>
      <c r="F216">
        <v>0.3</v>
      </c>
      <c r="G216" t="s">
        <v>185</v>
      </c>
      <c r="H216" t="s">
        <v>84</v>
      </c>
      <c r="I216" t="s">
        <v>85</v>
      </c>
      <c r="J216" t="s">
        <v>86</v>
      </c>
      <c r="K216" t="s">
        <v>149</v>
      </c>
      <c r="L216" t="s">
        <v>42</v>
      </c>
      <c r="M216" t="s">
        <v>447</v>
      </c>
      <c r="N216" s="7">
        <v>7.45</v>
      </c>
      <c r="O216" s="7">
        <v>0.1</v>
      </c>
      <c r="P216" s="7">
        <v>3</v>
      </c>
      <c r="Q216" s="7">
        <v>7.35</v>
      </c>
      <c r="R216" s="7">
        <v>0.12</v>
      </c>
      <c r="S216" s="7">
        <v>3</v>
      </c>
      <c r="T216" s="7">
        <v>0.17320508075688773</v>
      </c>
      <c r="U216" s="7">
        <v>0.20784609690826525</v>
      </c>
      <c r="V216" s="7">
        <v>-1.3513719166722933E-2</v>
      </c>
      <c r="W216" s="7">
        <v>4.4672766615399661E-4</v>
      </c>
      <c r="X216" t="s">
        <v>448</v>
      </c>
      <c r="Y216" t="s">
        <v>89</v>
      </c>
      <c r="Z216" t="s">
        <v>449</v>
      </c>
      <c r="AA216" t="s">
        <v>450</v>
      </c>
      <c r="AB216" t="s">
        <v>92</v>
      </c>
      <c r="AC216" t="s">
        <v>443</v>
      </c>
      <c r="AD216" t="s">
        <v>443</v>
      </c>
      <c r="AE216" t="s">
        <v>1697</v>
      </c>
      <c r="AF216" t="s">
        <v>1698</v>
      </c>
      <c r="AG216" t="s">
        <v>1697</v>
      </c>
      <c r="AI216" t="s">
        <v>42</v>
      </c>
      <c r="AJ216" t="s">
        <v>1636</v>
      </c>
      <c r="AK216" t="s">
        <v>1637</v>
      </c>
      <c r="AL216" s="4">
        <v>0.3</v>
      </c>
      <c r="AM216" t="s">
        <v>185</v>
      </c>
      <c r="AN216">
        <v>0.3</v>
      </c>
      <c r="AO216" t="s">
        <v>1665</v>
      </c>
      <c r="AP216" t="s">
        <v>1639</v>
      </c>
      <c r="AQ216" t="s">
        <v>1640</v>
      </c>
      <c r="AR216" t="s">
        <v>1641</v>
      </c>
      <c r="AS216">
        <v>1</v>
      </c>
      <c r="AT216">
        <v>0</v>
      </c>
      <c r="AU216">
        <v>0</v>
      </c>
      <c r="AV216">
        <v>1</v>
      </c>
      <c r="AW216">
        <v>0</v>
      </c>
      <c r="AX216">
        <v>0</v>
      </c>
      <c r="AY216" t="s">
        <v>1642</v>
      </c>
    </row>
    <row r="217" spans="1:51">
      <c r="A217" t="s">
        <v>443</v>
      </c>
      <c r="B217" t="s">
        <v>451</v>
      </c>
      <c r="C217" t="s">
        <v>445</v>
      </c>
      <c r="D217" t="s">
        <v>446</v>
      </c>
      <c r="E217" t="s">
        <v>96</v>
      </c>
      <c r="F217">
        <v>0.3</v>
      </c>
      <c r="G217" t="s">
        <v>185</v>
      </c>
      <c r="H217" t="s">
        <v>84</v>
      </c>
      <c r="I217" t="s">
        <v>85</v>
      </c>
      <c r="J217" t="s">
        <v>86</v>
      </c>
      <c r="K217" t="s">
        <v>452</v>
      </c>
      <c r="L217" t="s">
        <v>42</v>
      </c>
      <c r="M217" t="s">
        <v>447</v>
      </c>
      <c r="N217" s="7">
        <v>3.1</v>
      </c>
      <c r="O217" s="7">
        <v>0.08</v>
      </c>
      <c r="P217" s="7">
        <v>3</v>
      </c>
      <c r="Q217" s="7">
        <v>3.5</v>
      </c>
      <c r="R217" s="7">
        <v>0.22</v>
      </c>
      <c r="S217" s="7">
        <v>3</v>
      </c>
      <c r="T217" s="7">
        <v>0.13856406460551018</v>
      </c>
      <c r="U217" s="7">
        <v>0.38105117766515301</v>
      </c>
      <c r="V217" s="7">
        <v>0.12136085700426734</v>
      </c>
      <c r="W217" s="7">
        <v>4.6169933530123804E-3</v>
      </c>
      <c r="X217" t="s">
        <v>448</v>
      </c>
      <c r="Y217" t="s">
        <v>89</v>
      </c>
      <c r="Z217" t="s">
        <v>449</v>
      </c>
      <c r="AA217" t="s">
        <v>453</v>
      </c>
      <c r="AB217" t="s">
        <v>92</v>
      </c>
      <c r="AC217" t="s">
        <v>443</v>
      </c>
      <c r="AD217" t="s">
        <v>443</v>
      </c>
      <c r="AE217" t="s">
        <v>1697</v>
      </c>
      <c r="AF217" t="s">
        <v>1698</v>
      </c>
      <c r="AG217" t="s">
        <v>1697</v>
      </c>
      <c r="AI217" t="s">
        <v>42</v>
      </c>
      <c r="AJ217" t="s">
        <v>1636</v>
      </c>
      <c r="AK217" t="s">
        <v>1637</v>
      </c>
      <c r="AL217" s="4">
        <v>0.3</v>
      </c>
      <c r="AM217" t="s">
        <v>185</v>
      </c>
      <c r="AN217">
        <v>0.3</v>
      </c>
      <c r="AO217" t="s">
        <v>1665</v>
      </c>
      <c r="AP217" t="s">
        <v>1639</v>
      </c>
      <c r="AQ217" t="s">
        <v>1640</v>
      </c>
      <c r="AR217" t="s">
        <v>1641</v>
      </c>
      <c r="AS217">
        <v>1</v>
      </c>
      <c r="AT217">
        <v>0</v>
      </c>
      <c r="AU217">
        <v>0</v>
      </c>
      <c r="AV217">
        <v>1</v>
      </c>
      <c r="AW217">
        <v>0</v>
      </c>
      <c r="AX217">
        <v>0</v>
      </c>
      <c r="AY217" t="s">
        <v>1642</v>
      </c>
    </row>
    <row r="218" spans="1:51">
      <c r="A218" t="s">
        <v>443</v>
      </c>
      <c r="B218" t="s">
        <v>454</v>
      </c>
      <c r="C218" t="s">
        <v>445</v>
      </c>
      <c r="D218" t="s">
        <v>446</v>
      </c>
      <c r="E218" t="s">
        <v>96</v>
      </c>
      <c r="F218">
        <v>0.3</v>
      </c>
      <c r="G218" t="s">
        <v>185</v>
      </c>
      <c r="H218" t="s">
        <v>84</v>
      </c>
      <c r="I218" t="s">
        <v>85</v>
      </c>
      <c r="J218" t="s">
        <v>86</v>
      </c>
      <c r="K218" t="s">
        <v>29</v>
      </c>
      <c r="L218" t="s">
        <v>42</v>
      </c>
      <c r="M218" t="s">
        <v>447</v>
      </c>
      <c r="N218" s="7">
        <v>3.85</v>
      </c>
      <c r="O218" s="7">
        <v>0.12</v>
      </c>
      <c r="P218" s="7">
        <v>3</v>
      </c>
      <c r="Q218" s="7">
        <v>4.45</v>
      </c>
      <c r="R218" s="7">
        <v>0.1</v>
      </c>
      <c r="S218" s="7">
        <v>3</v>
      </c>
      <c r="T218" s="7">
        <v>0.20784609690826525</v>
      </c>
      <c r="U218" s="7">
        <v>0.17320508075688773</v>
      </c>
      <c r="V218" s="7">
        <v>0.14483094787845605</v>
      </c>
      <c r="W218" s="7">
        <v>1.4764827805290683E-3</v>
      </c>
      <c r="X218" t="s">
        <v>448</v>
      </c>
      <c r="Y218" t="s">
        <v>89</v>
      </c>
      <c r="Z218" t="s">
        <v>449</v>
      </c>
      <c r="AA218" t="s">
        <v>455</v>
      </c>
      <c r="AB218" t="s">
        <v>92</v>
      </c>
      <c r="AC218" t="s">
        <v>443</v>
      </c>
      <c r="AD218" t="s">
        <v>443</v>
      </c>
      <c r="AE218" t="s">
        <v>1697</v>
      </c>
      <c r="AF218" t="s">
        <v>1698</v>
      </c>
      <c r="AG218" t="s">
        <v>1697</v>
      </c>
      <c r="AI218" t="s">
        <v>42</v>
      </c>
      <c r="AJ218" t="s">
        <v>1636</v>
      </c>
      <c r="AK218" t="s">
        <v>1637</v>
      </c>
      <c r="AL218" s="4">
        <v>0.3</v>
      </c>
      <c r="AM218" t="s">
        <v>185</v>
      </c>
      <c r="AN218">
        <v>0.3</v>
      </c>
      <c r="AO218" t="s">
        <v>1665</v>
      </c>
      <c r="AP218" t="s">
        <v>1639</v>
      </c>
      <c r="AQ218" t="s">
        <v>1640</v>
      </c>
      <c r="AR218" t="s">
        <v>1641</v>
      </c>
      <c r="AS218">
        <v>1</v>
      </c>
      <c r="AT218">
        <v>0</v>
      </c>
      <c r="AU218">
        <v>0</v>
      </c>
      <c r="AV218">
        <v>1</v>
      </c>
      <c r="AW218">
        <v>0</v>
      </c>
      <c r="AX218">
        <v>0</v>
      </c>
      <c r="AY218" t="s">
        <v>1642</v>
      </c>
    </row>
    <row r="219" spans="1:51">
      <c r="A219" t="s">
        <v>443</v>
      </c>
      <c r="B219" t="s">
        <v>456</v>
      </c>
      <c r="C219" t="s">
        <v>445</v>
      </c>
      <c r="D219" t="s">
        <v>446</v>
      </c>
      <c r="E219" t="s">
        <v>96</v>
      </c>
      <c r="F219">
        <v>0.3</v>
      </c>
      <c r="G219" t="s">
        <v>185</v>
      </c>
      <c r="H219" t="s">
        <v>84</v>
      </c>
      <c r="I219" t="s">
        <v>85</v>
      </c>
      <c r="J219" t="s">
        <v>86</v>
      </c>
      <c r="K219" t="s">
        <v>149</v>
      </c>
      <c r="L219" t="s">
        <v>53</v>
      </c>
      <c r="M219" t="s">
        <v>447</v>
      </c>
      <c r="N219" s="7">
        <v>5.05</v>
      </c>
      <c r="O219" s="7">
        <v>0.12</v>
      </c>
      <c r="P219" s="7">
        <v>3</v>
      </c>
      <c r="Q219" s="7">
        <v>5.75</v>
      </c>
      <c r="R219" s="7">
        <v>0.1</v>
      </c>
      <c r="S219" s="7">
        <v>3</v>
      </c>
      <c r="T219" s="7">
        <v>0.20784609690826525</v>
      </c>
      <c r="U219" s="7">
        <v>0.17320508075688773</v>
      </c>
      <c r="V219" s="7">
        <v>0.12981161152199072</v>
      </c>
      <c r="W219" s="7">
        <v>8.6710799137710085E-4</v>
      </c>
      <c r="X219" t="s">
        <v>448</v>
      </c>
      <c r="Y219" t="s">
        <v>89</v>
      </c>
      <c r="Z219" t="s">
        <v>449</v>
      </c>
      <c r="AA219" t="s">
        <v>457</v>
      </c>
      <c r="AB219" t="s">
        <v>92</v>
      </c>
      <c r="AC219" t="s">
        <v>443</v>
      </c>
      <c r="AD219" t="s">
        <v>443</v>
      </c>
      <c r="AE219" t="s">
        <v>1697</v>
      </c>
      <c r="AF219" t="s">
        <v>1698</v>
      </c>
      <c r="AG219" t="s">
        <v>1697</v>
      </c>
      <c r="AI219" t="s">
        <v>53</v>
      </c>
      <c r="AJ219" t="s">
        <v>1636</v>
      </c>
      <c r="AK219" t="s">
        <v>1637</v>
      </c>
      <c r="AL219" s="4">
        <v>0.3</v>
      </c>
      <c r="AM219" t="s">
        <v>185</v>
      </c>
      <c r="AN219">
        <v>0.3</v>
      </c>
      <c r="AO219" t="s">
        <v>1665</v>
      </c>
      <c r="AP219" t="s">
        <v>1639</v>
      </c>
      <c r="AQ219" t="s">
        <v>1640</v>
      </c>
      <c r="AR219" t="s">
        <v>1641</v>
      </c>
      <c r="AS219">
        <v>1</v>
      </c>
      <c r="AT219">
        <v>0</v>
      </c>
      <c r="AU219">
        <v>0</v>
      </c>
      <c r="AV219">
        <v>1</v>
      </c>
      <c r="AW219">
        <v>0</v>
      </c>
      <c r="AX219">
        <v>0</v>
      </c>
      <c r="AY219" t="s">
        <v>1642</v>
      </c>
    </row>
    <row r="220" spans="1:51">
      <c r="A220" t="s">
        <v>443</v>
      </c>
      <c r="B220" t="s">
        <v>458</v>
      </c>
      <c r="C220" t="s">
        <v>445</v>
      </c>
      <c r="D220" t="s">
        <v>446</v>
      </c>
      <c r="E220" t="s">
        <v>96</v>
      </c>
      <c r="F220">
        <v>0.3</v>
      </c>
      <c r="G220" t="s">
        <v>185</v>
      </c>
      <c r="H220" t="s">
        <v>84</v>
      </c>
      <c r="I220" t="s">
        <v>85</v>
      </c>
      <c r="J220" t="s">
        <v>86</v>
      </c>
      <c r="K220" t="s">
        <v>452</v>
      </c>
      <c r="L220" t="s">
        <v>53</v>
      </c>
      <c r="M220" t="s">
        <v>447</v>
      </c>
      <c r="N220" s="7">
        <v>5.05</v>
      </c>
      <c r="O220" s="7">
        <v>0.12</v>
      </c>
      <c r="P220" s="7">
        <v>3</v>
      </c>
      <c r="Q220" s="7">
        <v>4.8</v>
      </c>
      <c r="R220" s="7">
        <v>0.18</v>
      </c>
      <c r="S220" s="7">
        <v>3</v>
      </c>
      <c r="T220" s="7">
        <v>0.20784609690826525</v>
      </c>
      <c r="U220" s="7">
        <v>0.31176914536239786</v>
      </c>
      <c r="V220" s="7">
        <v>-5.0772325373423258E-2</v>
      </c>
      <c r="W220" s="7">
        <v>1.9709005244583858E-3</v>
      </c>
      <c r="X220" t="s">
        <v>448</v>
      </c>
      <c r="Y220" t="s">
        <v>89</v>
      </c>
      <c r="Z220" t="s">
        <v>449</v>
      </c>
      <c r="AA220" t="s">
        <v>459</v>
      </c>
      <c r="AB220" t="s">
        <v>92</v>
      </c>
      <c r="AC220" t="s">
        <v>443</v>
      </c>
      <c r="AD220" t="s">
        <v>443</v>
      </c>
      <c r="AE220" t="s">
        <v>1697</v>
      </c>
      <c r="AF220" t="s">
        <v>1698</v>
      </c>
      <c r="AG220" t="s">
        <v>1697</v>
      </c>
      <c r="AI220" t="s">
        <v>53</v>
      </c>
      <c r="AJ220" t="s">
        <v>1636</v>
      </c>
      <c r="AK220" t="s">
        <v>1637</v>
      </c>
      <c r="AL220" s="4">
        <v>0.3</v>
      </c>
      <c r="AM220" t="s">
        <v>185</v>
      </c>
      <c r="AN220">
        <v>0.3</v>
      </c>
      <c r="AO220" t="s">
        <v>1665</v>
      </c>
      <c r="AP220" t="s">
        <v>1639</v>
      </c>
      <c r="AQ220" t="s">
        <v>1640</v>
      </c>
      <c r="AR220" t="s">
        <v>1641</v>
      </c>
      <c r="AS220">
        <v>1</v>
      </c>
      <c r="AT220">
        <v>0</v>
      </c>
      <c r="AU220">
        <v>0</v>
      </c>
      <c r="AV220">
        <v>1</v>
      </c>
      <c r="AW220">
        <v>0</v>
      </c>
      <c r="AX220">
        <v>0</v>
      </c>
      <c r="AY220" t="s">
        <v>1642</v>
      </c>
    </row>
    <row r="221" spans="1:51">
      <c r="A221" t="s">
        <v>443</v>
      </c>
      <c r="B221" t="s">
        <v>460</v>
      </c>
      <c r="C221" t="s">
        <v>445</v>
      </c>
      <c r="D221" t="s">
        <v>446</v>
      </c>
      <c r="E221" t="s">
        <v>96</v>
      </c>
      <c r="F221">
        <v>0.3</v>
      </c>
      <c r="G221" t="s">
        <v>185</v>
      </c>
      <c r="H221" t="s">
        <v>84</v>
      </c>
      <c r="I221" t="s">
        <v>85</v>
      </c>
      <c r="J221" t="s">
        <v>86</v>
      </c>
      <c r="K221" t="s">
        <v>29</v>
      </c>
      <c r="L221" t="s">
        <v>53</v>
      </c>
      <c r="M221" t="s">
        <v>447</v>
      </c>
      <c r="N221" s="7">
        <v>5.7</v>
      </c>
      <c r="O221" s="7">
        <v>0.08</v>
      </c>
      <c r="P221" s="7">
        <v>3</v>
      </c>
      <c r="Q221" s="7">
        <v>6.1</v>
      </c>
      <c r="R221" s="7">
        <v>0.08</v>
      </c>
      <c r="S221" s="7">
        <v>3</v>
      </c>
      <c r="T221" s="7">
        <v>0.13856406460551018</v>
      </c>
      <c r="U221" s="7">
        <v>0.13856406460551018</v>
      </c>
      <c r="V221" s="7">
        <v>6.7822596338761088E-2</v>
      </c>
      <c r="W221" s="7">
        <v>3.6898046234886414E-4</v>
      </c>
      <c r="X221" t="s">
        <v>448</v>
      </c>
      <c r="Y221" t="s">
        <v>89</v>
      </c>
      <c r="Z221" t="s">
        <v>449</v>
      </c>
      <c r="AA221" t="s">
        <v>461</v>
      </c>
      <c r="AB221" t="s">
        <v>92</v>
      </c>
      <c r="AC221" t="s">
        <v>443</v>
      </c>
      <c r="AD221" t="s">
        <v>443</v>
      </c>
      <c r="AE221" t="s">
        <v>1697</v>
      </c>
      <c r="AF221" t="s">
        <v>1698</v>
      </c>
      <c r="AG221" t="s">
        <v>1697</v>
      </c>
      <c r="AI221" t="s">
        <v>53</v>
      </c>
      <c r="AJ221" t="s">
        <v>1636</v>
      </c>
      <c r="AK221" t="s">
        <v>1637</v>
      </c>
      <c r="AL221" s="4">
        <v>0.3</v>
      </c>
      <c r="AM221" t="s">
        <v>185</v>
      </c>
      <c r="AN221">
        <v>0.3</v>
      </c>
      <c r="AO221" t="s">
        <v>1665</v>
      </c>
      <c r="AP221" t="s">
        <v>1639</v>
      </c>
      <c r="AQ221" t="s">
        <v>1640</v>
      </c>
      <c r="AR221" t="s">
        <v>1641</v>
      </c>
      <c r="AS221">
        <v>1</v>
      </c>
      <c r="AT221">
        <v>0</v>
      </c>
      <c r="AU221">
        <v>0</v>
      </c>
      <c r="AV221">
        <v>1</v>
      </c>
      <c r="AW221">
        <v>0</v>
      </c>
      <c r="AX221">
        <v>0</v>
      </c>
      <c r="AY221" t="s">
        <v>1642</v>
      </c>
    </row>
    <row r="222" spans="1:51">
      <c r="A222" t="s">
        <v>443</v>
      </c>
      <c r="B222" t="s">
        <v>462</v>
      </c>
      <c r="C222" t="s">
        <v>445</v>
      </c>
      <c r="D222" t="s">
        <v>446</v>
      </c>
      <c r="E222" t="s">
        <v>96</v>
      </c>
      <c r="F222">
        <v>0.3</v>
      </c>
      <c r="G222" t="s">
        <v>185</v>
      </c>
      <c r="H222" t="s">
        <v>84</v>
      </c>
      <c r="I222" t="s">
        <v>85</v>
      </c>
      <c r="J222" t="s">
        <v>86</v>
      </c>
      <c r="K222" t="s">
        <v>149</v>
      </c>
      <c r="L222" t="s">
        <v>40</v>
      </c>
      <c r="M222" t="s">
        <v>447</v>
      </c>
      <c r="N222" s="7">
        <v>2.5499999999999998</v>
      </c>
      <c r="O222" s="7">
        <v>0.1</v>
      </c>
      <c r="P222" s="7">
        <v>3</v>
      </c>
      <c r="Q222" s="7">
        <v>5.2</v>
      </c>
      <c r="R222" s="7">
        <v>0.12</v>
      </c>
      <c r="S222" s="7">
        <v>3</v>
      </c>
      <c r="T222" s="7">
        <v>0.17320508075688773</v>
      </c>
      <c r="U222" s="7">
        <v>0.20784609690826525</v>
      </c>
      <c r="V222" s="7">
        <v>0.71256526641704709</v>
      </c>
      <c r="W222" s="7">
        <v>2.0704144286790012E-3</v>
      </c>
      <c r="X222" t="s">
        <v>448</v>
      </c>
      <c r="Y222" t="s">
        <v>89</v>
      </c>
      <c r="Z222" t="s">
        <v>449</v>
      </c>
      <c r="AA222" t="s">
        <v>463</v>
      </c>
      <c r="AB222" t="s">
        <v>92</v>
      </c>
      <c r="AC222" t="s">
        <v>443</v>
      </c>
      <c r="AD222" t="s">
        <v>443</v>
      </c>
      <c r="AE222" t="s">
        <v>1697</v>
      </c>
      <c r="AF222" t="s">
        <v>1698</v>
      </c>
      <c r="AG222" t="s">
        <v>1697</v>
      </c>
      <c r="AI222" t="s">
        <v>40</v>
      </c>
      <c r="AJ222" t="s">
        <v>1636</v>
      </c>
      <c r="AK222" t="s">
        <v>1637</v>
      </c>
      <c r="AL222" s="4">
        <v>0.3</v>
      </c>
      <c r="AM222" t="s">
        <v>185</v>
      </c>
      <c r="AN222">
        <v>0.3</v>
      </c>
      <c r="AO222" t="s">
        <v>1665</v>
      </c>
      <c r="AP222" t="s">
        <v>1639</v>
      </c>
      <c r="AQ222" t="s">
        <v>1640</v>
      </c>
      <c r="AR222" t="s">
        <v>1641</v>
      </c>
      <c r="AS222">
        <v>1</v>
      </c>
      <c r="AT222">
        <v>0</v>
      </c>
      <c r="AU222">
        <v>0</v>
      </c>
      <c r="AV222">
        <v>1</v>
      </c>
      <c r="AW222">
        <v>0</v>
      </c>
      <c r="AX222">
        <v>0</v>
      </c>
      <c r="AY222" t="s">
        <v>1642</v>
      </c>
    </row>
    <row r="223" spans="1:51">
      <c r="A223" t="s">
        <v>443</v>
      </c>
      <c r="B223" t="s">
        <v>464</v>
      </c>
      <c r="C223" t="s">
        <v>445</v>
      </c>
      <c r="D223" t="s">
        <v>446</v>
      </c>
      <c r="E223" t="s">
        <v>96</v>
      </c>
      <c r="F223">
        <v>0.3</v>
      </c>
      <c r="G223" t="s">
        <v>185</v>
      </c>
      <c r="H223" t="s">
        <v>84</v>
      </c>
      <c r="I223" t="s">
        <v>85</v>
      </c>
      <c r="J223" t="s">
        <v>86</v>
      </c>
      <c r="K223" t="s">
        <v>452</v>
      </c>
      <c r="L223" t="s">
        <v>40</v>
      </c>
      <c r="M223" t="s">
        <v>447</v>
      </c>
      <c r="N223" s="7">
        <v>8.1</v>
      </c>
      <c r="O223" s="7">
        <v>0.12</v>
      </c>
      <c r="P223" s="7">
        <v>3</v>
      </c>
      <c r="Q223" s="7">
        <v>9.8000000000000007</v>
      </c>
      <c r="R223" s="7">
        <v>0.25</v>
      </c>
      <c r="S223" s="7">
        <v>3</v>
      </c>
      <c r="T223" s="7">
        <v>0.20784609690826525</v>
      </c>
      <c r="U223" s="7">
        <v>0.4330127018922193</v>
      </c>
      <c r="V223" s="7">
        <v>0.19051832399813318</v>
      </c>
      <c r="W223" s="7">
        <v>8.7024925028380347E-4</v>
      </c>
      <c r="X223" t="s">
        <v>448</v>
      </c>
      <c r="Y223" t="s">
        <v>89</v>
      </c>
      <c r="Z223" t="s">
        <v>449</v>
      </c>
      <c r="AA223" t="s">
        <v>465</v>
      </c>
      <c r="AB223" t="s">
        <v>92</v>
      </c>
      <c r="AC223" t="s">
        <v>443</v>
      </c>
      <c r="AD223" t="s">
        <v>443</v>
      </c>
      <c r="AE223" t="s">
        <v>1697</v>
      </c>
      <c r="AF223" t="s">
        <v>1698</v>
      </c>
      <c r="AG223" t="s">
        <v>1697</v>
      </c>
      <c r="AI223" t="s">
        <v>40</v>
      </c>
      <c r="AJ223" t="s">
        <v>1636</v>
      </c>
      <c r="AK223" t="s">
        <v>1637</v>
      </c>
      <c r="AL223" s="4">
        <v>0.3</v>
      </c>
      <c r="AM223" t="s">
        <v>185</v>
      </c>
      <c r="AN223">
        <v>0.3</v>
      </c>
      <c r="AO223" t="s">
        <v>1665</v>
      </c>
      <c r="AP223" t="s">
        <v>1639</v>
      </c>
      <c r="AQ223" t="s">
        <v>1640</v>
      </c>
      <c r="AR223" t="s">
        <v>1641</v>
      </c>
      <c r="AS223">
        <v>1</v>
      </c>
      <c r="AT223">
        <v>0</v>
      </c>
      <c r="AU223">
        <v>0</v>
      </c>
      <c r="AV223">
        <v>1</v>
      </c>
      <c r="AW223">
        <v>0</v>
      </c>
      <c r="AX223">
        <v>0</v>
      </c>
      <c r="AY223" t="s">
        <v>1642</v>
      </c>
    </row>
    <row r="224" spans="1:51">
      <c r="A224" t="s">
        <v>443</v>
      </c>
      <c r="B224" t="s">
        <v>466</v>
      </c>
      <c r="C224" t="s">
        <v>445</v>
      </c>
      <c r="D224" t="s">
        <v>446</v>
      </c>
      <c r="E224" t="s">
        <v>96</v>
      </c>
      <c r="F224">
        <v>0.3</v>
      </c>
      <c r="G224" t="s">
        <v>185</v>
      </c>
      <c r="H224" t="s">
        <v>84</v>
      </c>
      <c r="I224" t="s">
        <v>85</v>
      </c>
      <c r="J224" t="s">
        <v>86</v>
      </c>
      <c r="K224" t="s">
        <v>29</v>
      </c>
      <c r="L224" t="s">
        <v>40</v>
      </c>
      <c r="M224" t="s">
        <v>447</v>
      </c>
      <c r="N224" s="7">
        <v>3</v>
      </c>
      <c r="O224" s="7">
        <v>0.35</v>
      </c>
      <c r="P224" s="7">
        <v>3</v>
      </c>
      <c r="Q224" s="7">
        <v>3.6</v>
      </c>
      <c r="R224" s="7">
        <v>0.12</v>
      </c>
      <c r="S224" s="7">
        <v>3</v>
      </c>
      <c r="T224" s="7">
        <v>0.60621778264910697</v>
      </c>
      <c r="U224" s="7">
        <v>0.20784609690826525</v>
      </c>
      <c r="V224" s="7">
        <v>0.18232155679395459</v>
      </c>
      <c r="W224" s="7">
        <v>1.4722222222222218E-2</v>
      </c>
      <c r="X224" t="s">
        <v>448</v>
      </c>
      <c r="Y224" t="s">
        <v>89</v>
      </c>
      <c r="Z224" t="s">
        <v>449</v>
      </c>
      <c r="AA224" t="s">
        <v>467</v>
      </c>
      <c r="AB224" t="s">
        <v>92</v>
      </c>
      <c r="AC224" t="s">
        <v>443</v>
      </c>
      <c r="AD224" t="s">
        <v>443</v>
      </c>
      <c r="AE224" t="s">
        <v>1697</v>
      </c>
      <c r="AF224" t="s">
        <v>1698</v>
      </c>
      <c r="AG224" t="s">
        <v>1697</v>
      </c>
      <c r="AI224" t="s">
        <v>40</v>
      </c>
      <c r="AJ224" t="s">
        <v>1636</v>
      </c>
      <c r="AK224" t="s">
        <v>1637</v>
      </c>
      <c r="AL224" s="4">
        <v>0.3</v>
      </c>
      <c r="AM224" t="s">
        <v>185</v>
      </c>
      <c r="AN224">
        <v>0.3</v>
      </c>
      <c r="AO224" t="s">
        <v>1665</v>
      </c>
      <c r="AP224" t="s">
        <v>1639</v>
      </c>
      <c r="AQ224" t="s">
        <v>1640</v>
      </c>
      <c r="AR224" t="s">
        <v>1641</v>
      </c>
      <c r="AS224">
        <v>1</v>
      </c>
      <c r="AT224">
        <v>0</v>
      </c>
      <c r="AU224">
        <v>0</v>
      </c>
      <c r="AV224">
        <v>1</v>
      </c>
      <c r="AW224">
        <v>0</v>
      </c>
      <c r="AX224">
        <v>0</v>
      </c>
      <c r="AY224" t="s">
        <v>1642</v>
      </c>
    </row>
    <row r="225" spans="1:51">
      <c r="A225" t="s">
        <v>443</v>
      </c>
      <c r="B225" t="s">
        <v>468</v>
      </c>
      <c r="C225" t="s">
        <v>445</v>
      </c>
      <c r="D225" t="s">
        <v>446</v>
      </c>
      <c r="E225" t="s">
        <v>96</v>
      </c>
      <c r="F225">
        <v>0.3</v>
      </c>
      <c r="G225" t="s">
        <v>185</v>
      </c>
      <c r="H225" t="s">
        <v>84</v>
      </c>
      <c r="I225" t="s">
        <v>85</v>
      </c>
      <c r="J225" t="s">
        <v>86</v>
      </c>
      <c r="K225" t="s">
        <v>149</v>
      </c>
      <c r="L225" t="s">
        <v>30</v>
      </c>
      <c r="M225" t="s">
        <v>447</v>
      </c>
      <c r="N225" s="7">
        <v>5.9</v>
      </c>
      <c r="O225" s="7">
        <v>0.1</v>
      </c>
      <c r="P225" s="7">
        <v>3</v>
      </c>
      <c r="Q225" s="7">
        <v>6.2</v>
      </c>
      <c r="R225" s="7">
        <v>0.18</v>
      </c>
      <c r="S225" s="7">
        <v>3</v>
      </c>
      <c r="T225" s="7">
        <v>0.17320508075688773</v>
      </c>
      <c r="U225" s="7">
        <v>0.31176914536239786</v>
      </c>
      <c r="V225" s="7">
        <v>4.9596941139371978E-2</v>
      </c>
      <c r="W225" s="7">
        <v>1.1301457802292865E-3</v>
      </c>
      <c r="X225" t="s">
        <v>448</v>
      </c>
      <c r="Y225" t="s">
        <v>89</v>
      </c>
      <c r="Z225" t="s">
        <v>449</v>
      </c>
      <c r="AA225" t="s">
        <v>469</v>
      </c>
      <c r="AB225" t="s">
        <v>92</v>
      </c>
      <c r="AC225" t="s">
        <v>443</v>
      </c>
      <c r="AD225" t="s">
        <v>443</v>
      </c>
      <c r="AE225" t="s">
        <v>1697</v>
      </c>
      <c r="AF225" t="s">
        <v>1698</v>
      </c>
      <c r="AG225" t="s">
        <v>1697</v>
      </c>
      <c r="AI225" t="s">
        <v>30</v>
      </c>
      <c r="AJ225" t="s">
        <v>1636</v>
      </c>
      <c r="AK225" t="s">
        <v>1637</v>
      </c>
      <c r="AL225" s="4">
        <v>0.3</v>
      </c>
      <c r="AM225" t="s">
        <v>185</v>
      </c>
      <c r="AN225">
        <v>0.3</v>
      </c>
      <c r="AO225" t="s">
        <v>1665</v>
      </c>
      <c r="AP225" t="s">
        <v>1639</v>
      </c>
      <c r="AQ225" t="s">
        <v>1640</v>
      </c>
      <c r="AR225" t="s">
        <v>1641</v>
      </c>
      <c r="AS225">
        <v>1</v>
      </c>
      <c r="AT225">
        <v>0</v>
      </c>
      <c r="AU225">
        <v>0</v>
      </c>
      <c r="AV225">
        <v>1</v>
      </c>
      <c r="AW225">
        <v>0</v>
      </c>
      <c r="AX225">
        <v>0</v>
      </c>
      <c r="AY225" t="s">
        <v>1642</v>
      </c>
    </row>
    <row r="226" spans="1:51">
      <c r="A226" t="s">
        <v>443</v>
      </c>
      <c r="B226" t="s">
        <v>470</v>
      </c>
      <c r="C226" t="s">
        <v>445</v>
      </c>
      <c r="D226" t="s">
        <v>446</v>
      </c>
      <c r="E226" t="s">
        <v>96</v>
      </c>
      <c r="F226">
        <v>0.3</v>
      </c>
      <c r="G226" t="s">
        <v>185</v>
      </c>
      <c r="H226" t="s">
        <v>84</v>
      </c>
      <c r="I226" t="s">
        <v>85</v>
      </c>
      <c r="J226" t="s">
        <v>86</v>
      </c>
      <c r="K226" t="s">
        <v>452</v>
      </c>
      <c r="L226" t="s">
        <v>30</v>
      </c>
      <c r="M226" t="s">
        <v>447</v>
      </c>
      <c r="N226" s="7">
        <v>5.7</v>
      </c>
      <c r="O226" s="7">
        <v>0.1</v>
      </c>
      <c r="P226" s="7">
        <v>3</v>
      </c>
      <c r="Q226" s="7">
        <v>7.1</v>
      </c>
      <c r="R226" s="7">
        <v>0.3</v>
      </c>
      <c r="S226" s="7">
        <v>3</v>
      </c>
      <c r="T226" s="7">
        <v>0.17320508075688773</v>
      </c>
      <c r="U226" s="7">
        <v>0.51961524227066314</v>
      </c>
      <c r="V226" s="7">
        <v>0.21962860920676516</v>
      </c>
      <c r="W226" s="7">
        <v>2.0931470589977204E-3</v>
      </c>
      <c r="X226" t="s">
        <v>448</v>
      </c>
      <c r="Y226" t="s">
        <v>89</v>
      </c>
      <c r="Z226" t="s">
        <v>449</v>
      </c>
      <c r="AA226" t="s">
        <v>471</v>
      </c>
      <c r="AB226" t="s">
        <v>92</v>
      </c>
      <c r="AC226" t="s">
        <v>443</v>
      </c>
      <c r="AD226" t="s">
        <v>443</v>
      </c>
      <c r="AE226" t="s">
        <v>1697</v>
      </c>
      <c r="AF226" t="s">
        <v>1698</v>
      </c>
      <c r="AG226" t="s">
        <v>1697</v>
      </c>
      <c r="AI226" t="s">
        <v>30</v>
      </c>
      <c r="AJ226" t="s">
        <v>1636</v>
      </c>
      <c r="AK226" t="s">
        <v>1637</v>
      </c>
      <c r="AL226" s="4">
        <v>0.3</v>
      </c>
      <c r="AM226" t="s">
        <v>185</v>
      </c>
      <c r="AN226">
        <v>0.3</v>
      </c>
      <c r="AO226" t="s">
        <v>1665</v>
      </c>
      <c r="AP226" t="s">
        <v>1639</v>
      </c>
      <c r="AQ226" t="s">
        <v>1640</v>
      </c>
      <c r="AR226" t="s">
        <v>1641</v>
      </c>
      <c r="AS226">
        <v>1</v>
      </c>
      <c r="AT226">
        <v>0</v>
      </c>
      <c r="AU226">
        <v>0</v>
      </c>
      <c r="AV226">
        <v>1</v>
      </c>
      <c r="AW226">
        <v>0</v>
      </c>
      <c r="AX226">
        <v>0</v>
      </c>
      <c r="AY226" t="s">
        <v>1642</v>
      </c>
    </row>
    <row r="227" spans="1:51">
      <c r="A227" t="s">
        <v>443</v>
      </c>
      <c r="B227" t="s">
        <v>472</v>
      </c>
      <c r="C227" t="s">
        <v>445</v>
      </c>
      <c r="D227" t="s">
        <v>446</v>
      </c>
      <c r="E227" t="s">
        <v>96</v>
      </c>
      <c r="F227">
        <v>0.3</v>
      </c>
      <c r="G227" t="s">
        <v>185</v>
      </c>
      <c r="H227" t="s">
        <v>84</v>
      </c>
      <c r="I227" t="s">
        <v>85</v>
      </c>
      <c r="J227" t="s">
        <v>86</v>
      </c>
      <c r="K227" t="s">
        <v>29</v>
      </c>
      <c r="L227" t="s">
        <v>30</v>
      </c>
      <c r="M227" t="s">
        <v>447</v>
      </c>
      <c r="N227" s="7">
        <v>6.8</v>
      </c>
      <c r="O227" s="7">
        <v>0.4</v>
      </c>
      <c r="P227" s="7">
        <v>3</v>
      </c>
      <c r="Q227" s="7">
        <v>10.6</v>
      </c>
      <c r="R227" s="7">
        <v>0.45</v>
      </c>
      <c r="S227" s="7">
        <v>3</v>
      </c>
      <c r="T227" s="7">
        <v>0.69282032302755092</v>
      </c>
      <c r="U227" s="7">
        <v>0.77942286340599476</v>
      </c>
      <c r="V227" s="7">
        <v>0.44393138893596046</v>
      </c>
      <c r="W227" s="7">
        <v>5.2624504034855836E-3</v>
      </c>
      <c r="X227" t="s">
        <v>448</v>
      </c>
      <c r="Y227" t="s">
        <v>89</v>
      </c>
      <c r="Z227" t="s">
        <v>449</v>
      </c>
      <c r="AA227" t="s">
        <v>473</v>
      </c>
      <c r="AB227" t="s">
        <v>92</v>
      </c>
      <c r="AC227" t="s">
        <v>443</v>
      </c>
      <c r="AD227" t="s">
        <v>443</v>
      </c>
      <c r="AE227" t="s">
        <v>1697</v>
      </c>
      <c r="AF227" t="s">
        <v>1698</v>
      </c>
      <c r="AG227" t="s">
        <v>1697</v>
      </c>
      <c r="AI227" t="s">
        <v>30</v>
      </c>
      <c r="AJ227" t="s">
        <v>1636</v>
      </c>
      <c r="AK227" t="s">
        <v>1637</v>
      </c>
      <c r="AL227" s="4">
        <v>0.3</v>
      </c>
      <c r="AM227" t="s">
        <v>185</v>
      </c>
      <c r="AN227">
        <v>0.3</v>
      </c>
      <c r="AO227" t="s">
        <v>1665</v>
      </c>
      <c r="AP227" t="s">
        <v>1639</v>
      </c>
      <c r="AQ227" t="s">
        <v>1640</v>
      </c>
      <c r="AR227" t="s">
        <v>1641</v>
      </c>
      <c r="AS227">
        <v>1</v>
      </c>
      <c r="AT227">
        <v>0</v>
      </c>
      <c r="AU227">
        <v>0</v>
      </c>
      <c r="AV227">
        <v>1</v>
      </c>
      <c r="AW227">
        <v>0</v>
      </c>
      <c r="AX227">
        <v>0</v>
      </c>
      <c r="AY227" t="s">
        <v>1642</v>
      </c>
    </row>
    <row r="228" spans="1:51">
      <c r="A228" t="s">
        <v>443</v>
      </c>
      <c r="B228" t="s">
        <v>474</v>
      </c>
      <c r="C228" t="s">
        <v>445</v>
      </c>
      <c r="D228" t="s">
        <v>446</v>
      </c>
      <c r="E228" t="s">
        <v>96</v>
      </c>
      <c r="F228">
        <v>0.3</v>
      </c>
      <c r="G228" t="s">
        <v>185</v>
      </c>
      <c r="H228" t="s">
        <v>84</v>
      </c>
      <c r="I228" t="s">
        <v>85</v>
      </c>
      <c r="J228" t="s">
        <v>86</v>
      </c>
      <c r="K228" t="s">
        <v>149</v>
      </c>
      <c r="L228" t="s">
        <v>337</v>
      </c>
      <c r="M228" t="s">
        <v>447</v>
      </c>
      <c r="N228" s="7">
        <v>0.69499999999999995</v>
      </c>
      <c r="O228" s="7">
        <v>6.0000000000000001E-3</v>
      </c>
      <c r="P228" s="7">
        <v>3</v>
      </c>
      <c r="Q228" s="7">
        <v>0.72</v>
      </c>
      <c r="R228" s="7">
        <v>0.01</v>
      </c>
      <c r="S228" s="7">
        <v>3</v>
      </c>
      <c r="T228" s="7">
        <v>1.0392304845413263E-2</v>
      </c>
      <c r="U228" s="7">
        <v>1.7320508075688773E-2</v>
      </c>
      <c r="V228" s="7">
        <v>3.5339366445308863E-2</v>
      </c>
      <c r="W228" s="7">
        <v>2.6743153838240359E-4</v>
      </c>
      <c r="X228" t="s">
        <v>448</v>
      </c>
      <c r="Y228" t="s">
        <v>89</v>
      </c>
      <c r="Z228" t="s">
        <v>449</v>
      </c>
      <c r="AA228" t="s">
        <v>475</v>
      </c>
      <c r="AB228" t="s">
        <v>92</v>
      </c>
      <c r="AC228" t="s">
        <v>443</v>
      </c>
      <c r="AD228" t="s">
        <v>443</v>
      </c>
      <c r="AE228" t="s">
        <v>1697</v>
      </c>
      <c r="AF228" t="s">
        <v>1698</v>
      </c>
      <c r="AG228" t="s">
        <v>1697</v>
      </c>
      <c r="AI228" t="s">
        <v>337</v>
      </c>
      <c r="AJ228" t="s">
        <v>1636</v>
      </c>
      <c r="AK228" t="s">
        <v>1637</v>
      </c>
      <c r="AL228" s="4">
        <v>0.3</v>
      </c>
      <c r="AM228" t="s">
        <v>185</v>
      </c>
      <c r="AN228">
        <v>0.3</v>
      </c>
      <c r="AO228" t="s">
        <v>1665</v>
      </c>
      <c r="AP228" t="s">
        <v>1639</v>
      </c>
      <c r="AQ228" t="s">
        <v>1640</v>
      </c>
      <c r="AR228" t="s">
        <v>1641</v>
      </c>
      <c r="AS228">
        <v>1</v>
      </c>
      <c r="AT228">
        <v>0</v>
      </c>
      <c r="AU228">
        <v>0</v>
      </c>
      <c r="AV228">
        <v>1</v>
      </c>
      <c r="AW228">
        <v>0</v>
      </c>
      <c r="AX228">
        <v>0</v>
      </c>
      <c r="AY228" t="s">
        <v>1642</v>
      </c>
    </row>
    <row r="229" spans="1:51">
      <c r="A229" t="s">
        <v>443</v>
      </c>
      <c r="B229" t="s">
        <v>476</v>
      </c>
      <c r="C229" t="s">
        <v>445</v>
      </c>
      <c r="D229" t="s">
        <v>446</v>
      </c>
      <c r="E229" t="s">
        <v>96</v>
      </c>
      <c r="F229">
        <v>0.3</v>
      </c>
      <c r="G229" t="s">
        <v>185</v>
      </c>
      <c r="H229" t="s">
        <v>84</v>
      </c>
      <c r="I229" t="s">
        <v>85</v>
      </c>
      <c r="J229" t="s">
        <v>86</v>
      </c>
      <c r="K229" t="s">
        <v>452</v>
      </c>
      <c r="L229" t="s">
        <v>337</v>
      </c>
      <c r="M229" t="s">
        <v>447</v>
      </c>
      <c r="N229" s="7">
        <v>0.69</v>
      </c>
      <c r="O229" s="7">
        <v>1.2E-2</v>
      </c>
      <c r="P229" s="7">
        <v>3</v>
      </c>
      <c r="Q229" s="7">
        <v>0.75</v>
      </c>
      <c r="R229" s="7">
        <v>0.01</v>
      </c>
      <c r="S229" s="7">
        <v>3</v>
      </c>
      <c r="T229" s="7">
        <v>2.0784609690826527E-2</v>
      </c>
      <c r="U229" s="7">
        <v>1.7320508075688773E-2</v>
      </c>
      <c r="V229" s="7">
        <v>8.3381608939051208E-2</v>
      </c>
      <c r="W229" s="7">
        <v>4.8023524469649242E-4</v>
      </c>
      <c r="X229" t="s">
        <v>448</v>
      </c>
      <c r="Y229" t="s">
        <v>89</v>
      </c>
      <c r="Z229" t="s">
        <v>449</v>
      </c>
      <c r="AA229" t="s">
        <v>477</v>
      </c>
      <c r="AB229" t="s">
        <v>92</v>
      </c>
      <c r="AC229" t="s">
        <v>443</v>
      </c>
      <c r="AD229" t="s">
        <v>443</v>
      </c>
      <c r="AE229" t="s">
        <v>1697</v>
      </c>
      <c r="AF229" t="s">
        <v>1698</v>
      </c>
      <c r="AG229" t="s">
        <v>1697</v>
      </c>
      <c r="AI229" t="s">
        <v>337</v>
      </c>
      <c r="AJ229" t="s">
        <v>1636</v>
      </c>
      <c r="AK229" t="s">
        <v>1637</v>
      </c>
      <c r="AL229" s="4">
        <v>0.3</v>
      </c>
      <c r="AM229" t="s">
        <v>185</v>
      </c>
      <c r="AN229">
        <v>0.3</v>
      </c>
      <c r="AO229" t="s">
        <v>1665</v>
      </c>
      <c r="AP229" t="s">
        <v>1639</v>
      </c>
      <c r="AQ229" t="s">
        <v>1640</v>
      </c>
      <c r="AR229" t="s">
        <v>1641</v>
      </c>
      <c r="AS229">
        <v>1</v>
      </c>
      <c r="AT229">
        <v>0</v>
      </c>
      <c r="AU229">
        <v>0</v>
      </c>
      <c r="AV229">
        <v>1</v>
      </c>
      <c r="AW229">
        <v>0</v>
      </c>
      <c r="AX229">
        <v>0</v>
      </c>
      <c r="AY229" t="s">
        <v>1642</v>
      </c>
    </row>
    <row r="230" spans="1:51">
      <c r="A230" t="s">
        <v>443</v>
      </c>
      <c r="B230" t="s">
        <v>478</v>
      </c>
      <c r="C230" t="s">
        <v>445</v>
      </c>
      <c r="D230" t="s">
        <v>446</v>
      </c>
      <c r="E230" t="s">
        <v>96</v>
      </c>
      <c r="F230">
        <v>0.3</v>
      </c>
      <c r="G230" t="s">
        <v>185</v>
      </c>
      <c r="H230" t="s">
        <v>84</v>
      </c>
      <c r="I230" t="s">
        <v>85</v>
      </c>
      <c r="J230" t="s">
        <v>86</v>
      </c>
      <c r="K230" t="s">
        <v>29</v>
      </c>
      <c r="L230" t="s">
        <v>337</v>
      </c>
      <c r="M230" t="s">
        <v>447</v>
      </c>
      <c r="N230" s="7">
        <v>0.70499999999999996</v>
      </c>
      <c r="O230" s="7">
        <v>8.0000000000000002E-3</v>
      </c>
      <c r="P230" s="7">
        <v>3</v>
      </c>
      <c r="Q230" s="7">
        <v>0.7</v>
      </c>
      <c r="R230" s="7">
        <v>2.5000000000000001E-2</v>
      </c>
      <c r="S230" s="7">
        <v>3</v>
      </c>
      <c r="T230" s="7">
        <v>1.3856406460551017E-2</v>
      </c>
      <c r="U230" s="7">
        <v>4.3301270189221933E-2</v>
      </c>
      <c r="V230" s="7">
        <v>-7.1174677688639896E-3</v>
      </c>
      <c r="W230" s="7">
        <v>1.4042763627255641E-3</v>
      </c>
      <c r="X230" t="s">
        <v>448</v>
      </c>
      <c r="Y230" t="s">
        <v>89</v>
      </c>
      <c r="Z230" t="s">
        <v>449</v>
      </c>
      <c r="AA230" t="s">
        <v>479</v>
      </c>
      <c r="AB230" t="s">
        <v>92</v>
      </c>
      <c r="AC230" t="s">
        <v>443</v>
      </c>
      <c r="AD230" t="s">
        <v>443</v>
      </c>
      <c r="AE230" t="s">
        <v>1697</v>
      </c>
      <c r="AF230" t="s">
        <v>1698</v>
      </c>
      <c r="AG230" t="s">
        <v>1697</v>
      </c>
      <c r="AI230" t="s">
        <v>337</v>
      </c>
      <c r="AJ230" t="s">
        <v>1636</v>
      </c>
      <c r="AK230" t="s">
        <v>1637</v>
      </c>
      <c r="AL230" s="4">
        <v>0.3</v>
      </c>
      <c r="AM230" t="s">
        <v>185</v>
      </c>
      <c r="AN230">
        <v>0.3</v>
      </c>
      <c r="AO230" t="s">
        <v>1665</v>
      </c>
      <c r="AP230" t="s">
        <v>1639</v>
      </c>
      <c r="AQ230" t="s">
        <v>1640</v>
      </c>
      <c r="AR230" t="s">
        <v>1641</v>
      </c>
      <c r="AS230">
        <v>1</v>
      </c>
      <c r="AT230">
        <v>0</v>
      </c>
      <c r="AU230">
        <v>0</v>
      </c>
      <c r="AV230">
        <v>1</v>
      </c>
      <c r="AW230">
        <v>0</v>
      </c>
      <c r="AX230">
        <v>0</v>
      </c>
      <c r="AY230" t="s">
        <v>1642</v>
      </c>
    </row>
    <row r="231" spans="1:51">
      <c r="A231" t="s">
        <v>443</v>
      </c>
      <c r="B231" t="s">
        <v>480</v>
      </c>
      <c r="C231" t="s">
        <v>445</v>
      </c>
      <c r="D231" t="s">
        <v>446</v>
      </c>
      <c r="E231" t="s">
        <v>96</v>
      </c>
      <c r="F231">
        <v>0.3</v>
      </c>
      <c r="G231" t="s">
        <v>185</v>
      </c>
      <c r="H231" t="s">
        <v>84</v>
      </c>
      <c r="I231" t="s">
        <v>85</v>
      </c>
      <c r="J231" t="s">
        <v>86</v>
      </c>
      <c r="K231" t="s">
        <v>149</v>
      </c>
      <c r="L231" t="s">
        <v>481</v>
      </c>
      <c r="M231" t="s">
        <v>482</v>
      </c>
      <c r="N231" s="7">
        <v>18</v>
      </c>
      <c r="O231" s="7">
        <v>0.3</v>
      </c>
      <c r="P231" s="7">
        <v>3</v>
      </c>
      <c r="Q231" s="7">
        <v>22</v>
      </c>
      <c r="R231" s="7">
        <v>0.4</v>
      </c>
      <c r="S231" s="7">
        <v>3</v>
      </c>
      <c r="T231" s="7">
        <v>0.51961524227066314</v>
      </c>
      <c r="U231" s="7">
        <v>0.69282032302755092</v>
      </c>
      <c r="V231" s="7">
        <v>0.20067069546215124</v>
      </c>
      <c r="W231" s="7">
        <v>6.0835629017447191E-4</v>
      </c>
      <c r="X231" t="s">
        <v>448</v>
      </c>
      <c r="Y231" t="s">
        <v>89</v>
      </c>
      <c r="Z231" t="s">
        <v>449</v>
      </c>
      <c r="AA231" t="s">
        <v>483</v>
      </c>
      <c r="AB231" t="s">
        <v>92</v>
      </c>
      <c r="AC231" t="s">
        <v>443</v>
      </c>
      <c r="AD231" t="s">
        <v>443</v>
      </c>
      <c r="AE231" t="s">
        <v>1697</v>
      </c>
      <c r="AF231" t="s">
        <v>1698</v>
      </c>
      <c r="AG231" t="s">
        <v>1697</v>
      </c>
      <c r="AI231" t="s">
        <v>481</v>
      </c>
      <c r="AJ231" t="s">
        <v>1636</v>
      </c>
      <c r="AK231" t="s">
        <v>1637</v>
      </c>
      <c r="AL231" s="4">
        <v>0.3</v>
      </c>
      <c r="AM231" t="s">
        <v>185</v>
      </c>
      <c r="AN231">
        <v>0.3</v>
      </c>
      <c r="AO231" t="s">
        <v>1665</v>
      </c>
      <c r="AP231" t="s">
        <v>1639</v>
      </c>
      <c r="AQ231" t="s">
        <v>1640</v>
      </c>
      <c r="AR231" t="s">
        <v>1641</v>
      </c>
      <c r="AS231">
        <v>1</v>
      </c>
      <c r="AT231">
        <v>0</v>
      </c>
      <c r="AU231">
        <v>0</v>
      </c>
      <c r="AV231">
        <v>1</v>
      </c>
      <c r="AW231">
        <v>0</v>
      </c>
      <c r="AX231">
        <v>0</v>
      </c>
      <c r="AY231" t="s">
        <v>1642</v>
      </c>
    </row>
    <row r="232" spans="1:51">
      <c r="A232" t="s">
        <v>443</v>
      </c>
      <c r="B232" t="s">
        <v>484</v>
      </c>
      <c r="C232" t="s">
        <v>445</v>
      </c>
      <c r="D232" t="s">
        <v>446</v>
      </c>
      <c r="E232" t="s">
        <v>96</v>
      </c>
      <c r="F232">
        <v>0.3</v>
      </c>
      <c r="G232" t="s">
        <v>185</v>
      </c>
      <c r="H232" t="s">
        <v>84</v>
      </c>
      <c r="I232" t="s">
        <v>85</v>
      </c>
      <c r="J232" t="s">
        <v>86</v>
      </c>
      <c r="K232" t="s">
        <v>452</v>
      </c>
      <c r="L232" t="s">
        <v>481</v>
      </c>
      <c r="M232" t="s">
        <v>482</v>
      </c>
      <c r="N232" s="7">
        <v>21</v>
      </c>
      <c r="O232" s="7">
        <v>0.4</v>
      </c>
      <c r="P232" s="7">
        <v>3</v>
      </c>
      <c r="Q232" s="7">
        <v>21.5</v>
      </c>
      <c r="R232" s="7">
        <v>0.3</v>
      </c>
      <c r="S232" s="7">
        <v>3</v>
      </c>
      <c r="T232" s="7">
        <v>0.69282032302755092</v>
      </c>
      <c r="U232" s="7">
        <v>0.51961524227066314</v>
      </c>
      <c r="V232" s="7">
        <v>2.3530497410194036E-2</v>
      </c>
      <c r="W232" s="7">
        <v>5.5751162913335512E-4</v>
      </c>
      <c r="X232" t="s">
        <v>448</v>
      </c>
      <c r="Y232" t="s">
        <v>89</v>
      </c>
      <c r="Z232" t="s">
        <v>449</v>
      </c>
      <c r="AA232" t="s">
        <v>485</v>
      </c>
      <c r="AB232" t="s">
        <v>92</v>
      </c>
      <c r="AC232" t="s">
        <v>443</v>
      </c>
      <c r="AD232" t="s">
        <v>443</v>
      </c>
      <c r="AE232" t="s">
        <v>1697</v>
      </c>
      <c r="AF232" t="s">
        <v>1698</v>
      </c>
      <c r="AG232" t="s">
        <v>1697</v>
      </c>
      <c r="AI232" t="s">
        <v>481</v>
      </c>
      <c r="AJ232" t="s">
        <v>1636</v>
      </c>
      <c r="AK232" t="s">
        <v>1637</v>
      </c>
      <c r="AL232" s="4">
        <v>0.3</v>
      </c>
      <c r="AM232" t="s">
        <v>185</v>
      </c>
      <c r="AN232">
        <v>0.3</v>
      </c>
      <c r="AO232" t="s">
        <v>1665</v>
      </c>
      <c r="AP232" t="s">
        <v>1639</v>
      </c>
      <c r="AQ232" t="s">
        <v>1640</v>
      </c>
      <c r="AR232" t="s">
        <v>1641</v>
      </c>
      <c r="AS232">
        <v>1</v>
      </c>
      <c r="AT232">
        <v>0</v>
      </c>
      <c r="AU232">
        <v>0</v>
      </c>
      <c r="AV232">
        <v>1</v>
      </c>
      <c r="AW232">
        <v>0</v>
      </c>
      <c r="AX232">
        <v>0</v>
      </c>
      <c r="AY232" t="s">
        <v>1642</v>
      </c>
    </row>
    <row r="233" spans="1:51">
      <c r="A233" t="s">
        <v>443</v>
      </c>
      <c r="B233" t="s">
        <v>486</v>
      </c>
      <c r="C233" t="s">
        <v>445</v>
      </c>
      <c r="D233" t="s">
        <v>446</v>
      </c>
      <c r="E233" t="s">
        <v>96</v>
      </c>
      <c r="F233">
        <v>0.3</v>
      </c>
      <c r="G233" t="s">
        <v>185</v>
      </c>
      <c r="H233" t="s">
        <v>84</v>
      </c>
      <c r="I233" t="s">
        <v>85</v>
      </c>
      <c r="J233" t="s">
        <v>86</v>
      </c>
      <c r="K233" t="s">
        <v>29</v>
      </c>
      <c r="L233" t="s">
        <v>481</v>
      </c>
      <c r="M233" t="s">
        <v>482</v>
      </c>
      <c r="N233" s="7">
        <v>19</v>
      </c>
      <c r="O233" s="7">
        <v>2</v>
      </c>
      <c r="P233" s="7">
        <v>3</v>
      </c>
      <c r="Q233" s="7">
        <v>40</v>
      </c>
      <c r="R233" s="7">
        <v>1.5</v>
      </c>
      <c r="S233" s="7">
        <v>3</v>
      </c>
      <c r="T233" s="7">
        <v>3.4641016151377544</v>
      </c>
      <c r="U233" s="7">
        <v>2.598076211353316</v>
      </c>
      <c r="V233" s="7">
        <v>0.74444047494749577</v>
      </c>
      <c r="W233" s="7">
        <v>1.2486582409972297E-2</v>
      </c>
      <c r="X233" t="s">
        <v>448</v>
      </c>
      <c r="Y233" t="s">
        <v>89</v>
      </c>
      <c r="Z233" t="s">
        <v>449</v>
      </c>
      <c r="AA233" t="s">
        <v>487</v>
      </c>
      <c r="AB233" t="s">
        <v>92</v>
      </c>
      <c r="AC233" t="s">
        <v>443</v>
      </c>
      <c r="AD233" t="s">
        <v>443</v>
      </c>
      <c r="AE233" t="s">
        <v>1697</v>
      </c>
      <c r="AF233" t="s">
        <v>1698</v>
      </c>
      <c r="AG233" t="s">
        <v>1697</v>
      </c>
      <c r="AI233" t="s">
        <v>481</v>
      </c>
      <c r="AJ233" t="s">
        <v>1636</v>
      </c>
      <c r="AK233" t="s">
        <v>1637</v>
      </c>
      <c r="AL233" s="4">
        <v>0.3</v>
      </c>
      <c r="AM233" t="s">
        <v>185</v>
      </c>
      <c r="AN233">
        <v>0.3</v>
      </c>
      <c r="AO233" t="s">
        <v>1665</v>
      </c>
      <c r="AP233" t="s">
        <v>1639</v>
      </c>
      <c r="AQ233" t="s">
        <v>1640</v>
      </c>
      <c r="AR233" t="s">
        <v>1641</v>
      </c>
      <c r="AS233">
        <v>1</v>
      </c>
      <c r="AT233">
        <v>0</v>
      </c>
      <c r="AU233">
        <v>0</v>
      </c>
      <c r="AV233">
        <v>1</v>
      </c>
      <c r="AW233">
        <v>0</v>
      </c>
      <c r="AX233">
        <v>0</v>
      </c>
      <c r="AY233" t="s">
        <v>1642</v>
      </c>
    </row>
    <row r="234" spans="1:51">
      <c r="A234" t="s">
        <v>443</v>
      </c>
      <c r="B234" t="s">
        <v>488</v>
      </c>
      <c r="C234" t="s">
        <v>445</v>
      </c>
      <c r="D234" t="s">
        <v>446</v>
      </c>
      <c r="E234" t="s">
        <v>96</v>
      </c>
      <c r="F234">
        <v>0.3</v>
      </c>
      <c r="G234" t="s">
        <v>185</v>
      </c>
      <c r="H234" t="s">
        <v>84</v>
      </c>
      <c r="I234" t="s">
        <v>85</v>
      </c>
      <c r="J234" t="s">
        <v>86</v>
      </c>
      <c r="K234" t="s">
        <v>149</v>
      </c>
      <c r="L234" t="s">
        <v>489</v>
      </c>
      <c r="M234" t="s">
        <v>482</v>
      </c>
      <c r="N234" s="7">
        <v>56</v>
      </c>
      <c r="O234" s="7">
        <v>1.5</v>
      </c>
      <c r="P234" s="7">
        <v>3</v>
      </c>
      <c r="Q234" s="7">
        <v>68</v>
      </c>
      <c r="R234" s="7">
        <v>1.5</v>
      </c>
      <c r="S234" s="7">
        <v>3</v>
      </c>
      <c r="T234" s="7">
        <v>2.598076211353316</v>
      </c>
      <c r="U234" s="7">
        <v>2.598076211353316</v>
      </c>
      <c r="V234" s="7">
        <v>0.1941560144409574</v>
      </c>
      <c r="W234" s="7">
        <v>1.2040661852976485E-3</v>
      </c>
      <c r="X234" t="s">
        <v>448</v>
      </c>
      <c r="Y234" t="s">
        <v>89</v>
      </c>
      <c r="Z234" t="s">
        <v>449</v>
      </c>
      <c r="AA234" t="s">
        <v>490</v>
      </c>
      <c r="AB234" t="s">
        <v>92</v>
      </c>
      <c r="AC234" t="s">
        <v>443</v>
      </c>
      <c r="AD234" t="s">
        <v>443</v>
      </c>
      <c r="AE234" t="s">
        <v>1697</v>
      </c>
      <c r="AF234" t="s">
        <v>1698</v>
      </c>
      <c r="AG234" t="s">
        <v>1697</v>
      </c>
      <c r="AI234" t="s">
        <v>489</v>
      </c>
      <c r="AJ234" t="s">
        <v>1636</v>
      </c>
      <c r="AK234" t="s">
        <v>1637</v>
      </c>
      <c r="AL234" s="4">
        <v>0.3</v>
      </c>
      <c r="AM234" t="s">
        <v>185</v>
      </c>
      <c r="AN234">
        <v>0.3</v>
      </c>
      <c r="AO234" t="s">
        <v>1665</v>
      </c>
      <c r="AP234" t="s">
        <v>1639</v>
      </c>
      <c r="AQ234" t="s">
        <v>1640</v>
      </c>
      <c r="AR234" t="s">
        <v>1641</v>
      </c>
      <c r="AS234">
        <v>1</v>
      </c>
      <c r="AT234">
        <v>0</v>
      </c>
      <c r="AU234">
        <v>0</v>
      </c>
      <c r="AV234">
        <v>1</v>
      </c>
      <c r="AW234">
        <v>0</v>
      </c>
      <c r="AX234">
        <v>0</v>
      </c>
      <c r="AY234" t="s">
        <v>1642</v>
      </c>
    </row>
    <row r="235" spans="1:51">
      <c r="A235" t="s">
        <v>443</v>
      </c>
      <c r="B235" t="s">
        <v>491</v>
      </c>
      <c r="C235" t="s">
        <v>445</v>
      </c>
      <c r="D235" t="s">
        <v>446</v>
      </c>
      <c r="E235" t="s">
        <v>96</v>
      </c>
      <c r="F235">
        <v>0.3</v>
      </c>
      <c r="G235" t="s">
        <v>185</v>
      </c>
      <c r="H235" t="s">
        <v>84</v>
      </c>
      <c r="I235" t="s">
        <v>85</v>
      </c>
      <c r="J235" t="s">
        <v>86</v>
      </c>
      <c r="K235" t="s">
        <v>452</v>
      </c>
      <c r="L235" t="s">
        <v>489</v>
      </c>
      <c r="M235" t="s">
        <v>482</v>
      </c>
      <c r="N235" s="7">
        <v>58</v>
      </c>
      <c r="O235" s="7">
        <v>2</v>
      </c>
      <c r="P235" s="7">
        <v>3</v>
      </c>
      <c r="Q235" s="7">
        <v>65</v>
      </c>
      <c r="R235" s="7">
        <v>4</v>
      </c>
      <c r="S235" s="7">
        <v>3</v>
      </c>
      <c r="T235" s="7">
        <v>3.4641016151377544</v>
      </c>
      <c r="U235" s="7">
        <v>6.9282032302755088</v>
      </c>
      <c r="V235" s="7">
        <v>0.11394425934921769</v>
      </c>
      <c r="W235" s="7">
        <v>4.9760428906134562E-3</v>
      </c>
      <c r="X235" t="s">
        <v>448</v>
      </c>
      <c r="Y235" t="s">
        <v>89</v>
      </c>
      <c r="Z235" t="s">
        <v>449</v>
      </c>
      <c r="AA235" t="s">
        <v>492</v>
      </c>
      <c r="AB235" t="s">
        <v>92</v>
      </c>
      <c r="AC235" t="s">
        <v>443</v>
      </c>
      <c r="AD235" t="s">
        <v>443</v>
      </c>
      <c r="AE235" t="s">
        <v>1697</v>
      </c>
      <c r="AF235" t="s">
        <v>1698</v>
      </c>
      <c r="AG235" t="s">
        <v>1697</v>
      </c>
      <c r="AI235" t="s">
        <v>489</v>
      </c>
      <c r="AJ235" t="s">
        <v>1636</v>
      </c>
      <c r="AK235" t="s">
        <v>1637</v>
      </c>
      <c r="AL235" s="4">
        <v>0.3</v>
      </c>
      <c r="AM235" t="s">
        <v>185</v>
      </c>
      <c r="AN235">
        <v>0.3</v>
      </c>
      <c r="AO235" t="s">
        <v>1665</v>
      </c>
      <c r="AP235" t="s">
        <v>1639</v>
      </c>
      <c r="AQ235" t="s">
        <v>1640</v>
      </c>
      <c r="AR235" t="s">
        <v>1641</v>
      </c>
      <c r="AS235">
        <v>1</v>
      </c>
      <c r="AT235">
        <v>0</v>
      </c>
      <c r="AU235">
        <v>0</v>
      </c>
      <c r="AV235">
        <v>1</v>
      </c>
      <c r="AW235">
        <v>0</v>
      </c>
      <c r="AX235">
        <v>0</v>
      </c>
      <c r="AY235" t="s">
        <v>1642</v>
      </c>
    </row>
    <row r="236" spans="1:51">
      <c r="A236" t="s">
        <v>443</v>
      </c>
      <c r="B236" t="s">
        <v>493</v>
      </c>
      <c r="C236" t="s">
        <v>445</v>
      </c>
      <c r="D236" t="s">
        <v>446</v>
      </c>
      <c r="E236" t="s">
        <v>96</v>
      </c>
      <c r="F236">
        <v>0.3</v>
      </c>
      <c r="G236" t="s">
        <v>185</v>
      </c>
      <c r="H236" t="s">
        <v>84</v>
      </c>
      <c r="I236" t="s">
        <v>85</v>
      </c>
      <c r="J236" t="s">
        <v>86</v>
      </c>
      <c r="K236" t="s">
        <v>29</v>
      </c>
      <c r="L236" t="s">
        <v>489</v>
      </c>
      <c r="M236" t="s">
        <v>482</v>
      </c>
      <c r="N236" s="7">
        <v>48</v>
      </c>
      <c r="O236" s="7">
        <v>1.5</v>
      </c>
      <c r="P236" s="7">
        <v>3</v>
      </c>
      <c r="Q236" s="7">
        <v>116</v>
      </c>
      <c r="R236" s="7">
        <v>4</v>
      </c>
      <c r="S236" s="7">
        <v>3</v>
      </c>
      <c r="T236" s="7">
        <v>2.598076211353316</v>
      </c>
      <c r="U236" s="7">
        <v>6.9282032302755088</v>
      </c>
      <c r="V236" s="7">
        <v>0.88238918019847368</v>
      </c>
      <c r="W236" s="7">
        <v>2.1656231420927466E-3</v>
      </c>
      <c r="X236" t="s">
        <v>448</v>
      </c>
      <c r="Y236" t="s">
        <v>89</v>
      </c>
      <c r="Z236" t="s">
        <v>449</v>
      </c>
      <c r="AA236" t="s">
        <v>494</v>
      </c>
      <c r="AB236" t="s">
        <v>92</v>
      </c>
      <c r="AC236" t="s">
        <v>443</v>
      </c>
      <c r="AD236" t="s">
        <v>443</v>
      </c>
      <c r="AE236" t="s">
        <v>1697</v>
      </c>
      <c r="AF236" t="s">
        <v>1698</v>
      </c>
      <c r="AG236" t="s">
        <v>1697</v>
      </c>
      <c r="AI236" t="s">
        <v>489</v>
      </c>
      <c r="AJ236" t="s">
        <v>1636</v>
      </c>
      <c r="AK236" t="s">
        <v>1637</v>
      </c>
      <c r="AL236" s="4">
        <v>0.3</v>
      </c>
      <c r="AM236" t="s">
        <v>185</v>
      </c>
      <c r="AN236">
        <v>0.3</v>
      </c>
      <c r="AO236" t="s">
        <v>1665</v>
      </c>
      <c r="AP236" t="s">
        <v>1639</v>
      </c>
      <c r="AQ236" t="s">
        <v>1640</v>
      </c>
      <c r="AR236" t="s">
        <v>1641</v>
      </c>
      <c r="AS236">
        <v>1</v>
      </c>
      <c r="AT236">
        <v>0</v>
      </c>
      <c r="AU236">
        <v>0</v>
      </c>
      <c r="AV236">
        <v>1</v>
      </c>
      <c r="AW236">
        <v>0</v>
      </c>
      <c r="AX236">
        <v>0</v>
      </c>
      <c r="AY236" t="s">
        <v>1642</v>
      </c>
    </row>
    <row r="237" spans="1:51">
      <c r="A237" t="s">
        <v>443</v>
      </c>
      <c r="B237" t="s">
        <v>495</v>
      </c>
      <c r="C237" t="s">
        <v>445</v>
      </c>
      <c r="D237" t="s">
        <v>446</v>
      </c>
      <c r="E237" t="s">
        <v>96</v>
      </c>
      <c r="F237">
        <v>0.3</v>
      </c>
      <c r="G237" t="s">
        <v>185</v>
      </c>
      <c r="H237" t="s">
        <v>84</v>
      </c>
      <c r="I237" t="s">
        <v>85</v>
      </c>
      <c r="J237" t="s">
        <v>86</v>
      </c>
      <c r="K237" t="s">
        <v>149</v>
      </c>
      <c r="L237" t="s">
        <v>496</v>
      </c>
      <c r="M237" t="s">
        <v>482</v>
      </c>
      <c r="N237" s="7">
        <v>15</v>
      </c>
      <c r="O237" s="7">
        <v>0.8</v>
      </c>
      <c r="P237" s="7">
        <v>3</v>
      </c>
      <c r="Q237" s="7">
        <v>38</v>
      </c>
      <c r="R237" s="7">
        <v>2.5</v>
      </c>
      <c r="S237" s="7">
        <v>3</v>
      </c>
      <c r="T237" s="7">
        <v>1.3856406460551018</v>
      </c>
      <c r="U237" s="7">
        <v>4.3301270189221928</v>
      </c>
      <c r="V237" s="7">
        <v>0.92953595862417571</v>
      </c>
      <c r="W237" s="7">
        <v>7.1726992920898725E-3</v>
      </c>
      <c r="X237" t="s">
        <v>448</v>
      </c>
      <c r="Y237" t="s">
        <v>89</v>
      </c>
      <c r="Z237" t="s">
        <v>449</v>
      </c>
      <c r="AA237" t="s">
        <v>497</v>
      </c>
      <c r="AB237" t="s">
        <v>92</v>
      </c>
      <c r="AC237" t="s">
        <v>443</v>
      </c>
      <c r="AD237" t="s">
        <v>443</v>
      </c>
      <c r="AE237" t="s">
        <v>1697</v>
      </c>
      <c r="AF237" t="s">
        <v>1698</v>
      </c>
      <c r="AG237" t="s">
        <v>1697</v>
      </c>
      <c r="AI237" t="s">
        <v>496</v>
      </c>
      <c r="AJ237" t="s">
        <v>1636</v>
      </c>
      <c r="AK237" t="s">
        <v>1637</v>
      </c>
      <c r="AL237" s="4">
        <v>0.3</v>
      </c>
      <c r="AM237" t="s">
        <v>185</v>
      </c>
      <c r="AN237">
        <v>0.3</v>
      </c>
      <c r="AO237" t="s">
        <v>1665</v>
      </c>
      <c r="AP237" t="s">
        <v>1639</v>
      </c>
      <c r="AQ237" t="s">
        <v>1640</v>
      </c>
      <c r="AR237" t="s">
        <v>1641</v>
      </c>
      <c r="AS237">
        <v>1</v>
      </c>
      <c r="AT237">
        <v>0</v>
      </c>
      <c r="AU237">
        <v>0</v>
      </c>
      <c r="AV237">
        <v>1</v>
      </c>
      <c r="AW237">
        <v>0</v>
      </c>
      <c r="AX237">
        <v>0</v>
      </c>
      <c r="AY237" t="s">
        <v>1642</v>
      </c>
    </row>
    <row r="238" spans="1:51">
      <c r="A238" t="s">
        <v>443</v>
      </c>
      <c r="B238" t="s">
        <v>498</v>
      </c>
      <c r="C238" t="s">
        <v>445</v>
      </c>
      <c r="D238" t="s">
        <v>446</v>
      </c>
      <c r="E238" t="s">
        <v>96</v>
      </c>
      <c r="F238">
        <v>0.3</v>
      </c>
      <c r="G238" t="s">
        <v>185</v>
      </c>
      <c r="H238" t="s">
        <v>84</v>
      </c>
      <c r="I238" t="s">
        <v>85</v>
      </c>
      <c r="J238" t="s">
        <v>86</v>
      </c>
      <c r="K238" t="s">
        <v>452</v>
      </c>
      <c r="L238" t="s">
        <v>496</v>
      </c>
      <c r="M238" t="s">
        <v>482</v>
      </c>
      <c r="N238" s="7">
        <v>15</v>
      </c>
      <c r="O238" s="7">
        <v>0.8</v>
      </c>
      <c r="P238" s="7">
        <v>3</v>
      </c>
      <c r="Q238" s="7">
        <v>23</v>
      </c>
      <c r="R238" s="7">
        <v>0.8</v>
      </c>
      <c r="S238" s="7">
        <v>3</v>
      </c>
      <c r="T238" s="7">
        <v>1.3856406460551018</v>
      </c>
      <c r="U238" s="7">
        <v>1.3856406460551018</v>
      </c>
      <c r="V238" s="7">
        <v>0.42744401482693967</v>
      </c>
      <c r="W238" s="7">
        <v>4.0542743121193027E-3</v>
      </c>
      <c r="X238" t="s">
        <v>448</v>
      </c>
      <c r="Y238" t="s">
        <v>89</v>
      </c>
      <c r="Z238" t="s">
        <v>449</v>
      </c>
      <c r="AA238" t="s">
        <v>499</v>
      </c>
      <c r="AB238" t="s">
        <v>92</v>
      </c>
      <c r="AC238" t="s">
        <v>443</v>
      </c>
      <c r="AD238" t="s">
        <v>443</v>
      </c>
      <c r="AE238" t="s">
        <v>1697</v>
      </c>
      <c r="AF238" t="s">
        <v>1698</v>
      </c>
      <c r="AG238" t="s">
        <v>1697</v>
      </c>
      <c r="AI238" t="s">
        <v>496</v>
      </c>
      <c r="AJ238" t="s">
        <v>1636</v>
      </c>
      <c r="AK238" t="s">
        <v>1637</v>
      </c>
      <c r="AL238" s="4">
        <v>0.3</v>
      </c>
      <c r="AM238" t="s">
        <v>185</v>
      </c>
      <c r="AN238">
        <v>0.3</v>
      </c>
      <c r="AO238" t="s">
        <v>1665</v>
      </c>
      <c r="AP238" t="s">
        <v>1639</v>
      </c>
      <c r="AQ238" t="s">
        <v>1640</v>
      </c>
      <c r="AR238" t="s">
        <v>1641</v>
      </c>
      <c r="AS238">
        <v>1</v>
      </c>
      <c r="AT238">
        <v>0</v>
      </c>
      <c r="AU238">
        <v>0</v>
      </c>
      <c r="AV238">
        <v>1</v>
      </c>
      <c r="AW238">
        <v>0</v>
      </c>
      <c r="AX238">
        <v>0</v>
      </c>
      <c r="AY238" t="s">
        <v>1642</v>
      </c>
    </row>
    <row r="239" spans="1:51">
      <c r="A239" t="s">
        <v>443</v>
      </c>
      <c r="B239" t="s">
        <v>500</v>
      </c>
      <c r="C239" t="s">
        <v>445</v>
      </c>
      <c r="D239" t="s">
        <v>446</v>
      </c>
      <c r="E239" t="s">
        <v>96</v>
      </c>
      <c r="F239">
        <v>0.3</v>
      </c>
      <c r="G239" t="s">
        <v>185</v>
      </c>
      <c r="H239" t="s">
        <v>84</v>
      </c>
      <c r="I239" t="s">
        <v>85</v>
      </c>
      <c r="J239" t="s">
        <v>86</v>
      </c>
      <c r="K239" t="s">
        <v>29</v>
      </c>
      <c r="L239" t="s">
        <v>496</v>
      </c>
      <c r="M239" t="s">
        <v>482</v>
      </c>
      <c r="N239" s="7">
        <v>16</v>
      </c>
      <c r="O239" s="7">
        <v>1.5</v>
      </c>
      <c r="P239" s="7">
        <v>3</v>
      </c>
      <c r="Q239" s="7">
        <v>6</v>
      </c>
      <c r="R239" s="7">
        <v>0.8</v>
      </c>
      <c r="S239" s="7">
        <v>3</v>
      </c>
      <c r="T239" s="7">
        <v>2.598076211353316</v>
      </c>
      <c r="U239" s="7">
        <v>1.3856406460551018</v>
      </c>
      <c r="V239" s="7">
        <v>-0.98082925301172619</v>
      </c>
      <c r="W239" s="7">
        <v>2.6566840277777778E-2</v>
      </c>
      <c r="X239" t="s">
        <v>448</v>
      </c>
      <c r="Y239" t="s">
        <v>89</v>
      </c>
      <c r="Z239" t="s">
        <v>449</v>
      </c>
      <c r="AA239" t="s">
        <v>501</v>
      </c>
      <c r="AB239" t="s">
        <v>92</v>
      </c>
      <c r="AC239" t="s">
        <v>443</v>
      </c>
      <c r="AD239" t="s">
        <v>443</v>
      </c>
      <c r="AE239" t="s">
        <v>1697</v>
      </c>
      <c r="AF239" t="s">
        <v>1698</v>
      </c>
      <c r="AG239" t="s">
        <v>1697</v>
      </c>
      <c r="AI239" t="s">
        <v>496</v>
      </c>
      <c r="AJ239" t="s">
        <v>1636</v>
      </c>
      <c r="AK239" t="s">
        <v>1637</v>
      </c>
      <c r="AL239" s="4">
        <v>0.3</v>
      </c>
      <c r="AM239" t="s">
        <v>185</v>
      </c>
      <c r="AN239">
        <v>0.3</v>
      </c>
      <c r="AO239" t="s">
        <v>1665</v>
      </c>
      <c r="AP239" t="s">
        <v>1639</v>
      </c>
      <c r="AQ239" t="s">
        <v>1640</v>
      </c>
      <c r="AR239" t="s">
        <v>1641</v>
      </c>
      <c r="AS239">
        <v>1</v>
      </c>
      <c r="AT239">
        <v>0</v>
      </c>
      <c r="AU239">
        <v>0</v>
      </c>
      <c r="AV239">
        <v>1</v>
      </c>
      <c r="AW239">
        <v>0</v>
      </c>
      <c r="AX239">
        <v>0</v>
      </c>
      <c r="AY239" t="s">
        <v>1642</v>
      </c>
    </row>
    <row r="240" spans="1:51">
      <c r="A240" t="s">
        <v>443</v>
      </c>
      <c r="B240" t="s">
        <v>502</v>
      </c>
      <c r="C240" t="s">
        <v>445</v>
      </c>
      <c r="D240" t="s">
        <v>446</v>
      </c>
      <c r="E240" t="s">
        <v>96</v>
      </c>
      <c r="F240">
        <v>0.3</v>
      </c>
      <c r="G240" t="s">
        <v>185</v>
      </c>
      <c r="H240" t="s">
        <v>84</v>
      </c>
      <c r="I240" t="s">
        <v>85</v>
      </c>
      <c r="J240" t="s">
        <v>86</v>
      </c>
      <c r="K240" t="s">
        <v>149</v>
      </c>
      <c r="L240" t="s">
        <v>503</v>
      </c>
      <c r="M240" t="s">
        <v>482</v>
      </c>
      <c r="N240" s="7">
        <v>188</v>
      </c>
      <c r="O240" s="7">
        <v>6</v>
      </c>
      <c r="P240" s="7">
        <v>3</v>
      </c>
      <c r="Q240" s="7">
        <v>194</v>
      </c>
      <c r="R240" s="7">
        <v>7</v>
      </c>
      <c r="S240" s="7">
        <v>3</v>
      </c>
      <c r="T240" s="7">
        <v>10.392304845413264</v>
      </c>
      <c r="U240" s="7">
        <v>12.124355652982141</v>
      </c>
      <c r="V240" s="7">
        <v>3.1416196233378914E-2</v>
      </c>
      <c r="W240" s="7">
        <v>2.3205053809137693E-3</v>
      </c>
      <c r="X240" t="s">
        <v>448</v>
      </c>
      <c r="Y240" t="s">
        <v>89</v>
      </c>
      <c r="Z240" t="s">
        <v>449</v>
      </c>
      <c r="AA240" t="s">
        <v>504</v>
      </c>
      <c r="AB240" t="s">
        <v>92</v>
      </c>
      <c r="AC240" t="s">
        <v>443</v>
      </c>
      <c r="AD240" t="s">
        <v>443</v>
      </c>
      <c r="AE240" t="s">
        <v>1697</v>
      </c>
      <c r="AF240" t="s">
        <v>1698</v>
      </c>
      <c r="AG240" t="s">
        <v>1697</v>
      </c>
      <c r="AI240" t="s">
        <v>503</v>
      </c>
      <c r="AJ240" t="s">
        <v>1636</v>
      </c>
      <c r="AK240" t="s">
        <v>1637</v>
      </c>
      <c r="AL240" s="4">
        <v>0.3</v>
      </c>
      <c r="AM240" t="s">
        <v>185</v>
      </c>
      <c r="AN240">
        <v>0.3</v>
      </c>
      <c r="AO240" t="s">
        <v>1665</v>
      </c>
      <c r="AP240" t="s">
        <v>1639</v>
      </c>
      <c r="AQ240" t="s">
        <v>1640</v>
      </c>
      <c r="AR240" t="s">
        <v>1641</v>
      </c>
      <c r="AS240">
        <v>1</v>
      </c>
      <c r="AT240">
        <v>0</v>
      </c>
      <c r="AU240">
        <v>0</v>
      </c>
      <c r="AV240">
        <v>1</v>
      </c>
      <c r="AW240">
        <v>0</v>
      </c>
      <c r="AX240">
        <v>0</v>
      </c>
      <c r="AY240" t="s">
        <v>1642</v>
      </c>
    </row>
    <row r="241" spans="1:51">
      <c r="A241" t="s">
        <v>443</v>
      </c>
      <c r="B241" t="s">
        <v>505</v>
      </c>
      <c r="C241" t="s">
        <v>445</v>
      </c>
      <c r="D241" t="s">
        <v>446</v>
      </c>
      <c r="E241" t="s">
        <v>96</v>
      </c>
      <c r="F241">
        <v>0.3</v>
      </c>
      <c r="G241" t="s">
        <v>185</v>
      </c>
      <c r="H241" t="s">
        <v>84</v>
      </c>
      <c r="I241" t="s">
        <v>85</v>
      </c>
      <c r="J241" t="s">
        <v>86</v>
      </c>
      <c r="K241" t="s">
        <v>452</v>
      </c>
      <c r="L241" t="s">
        <v>503</v>
      </c>
      <c r="M241" t="s">
        <v>482</v>
      </c>
      <c r="N241" s="7">
        <v>154</v>
      </c>
      <c r="O241" s="7">
        <v>4</v>
      </c>
      <c r="P241" s="7">
        <v>3</v>
      </c>
      <c r="Q241" s="7">
        <v>184</v>
      </c>
      <c r="R241" s="7">
        <v>6</v>
      </c>
      <c r="S241" s="7">
        <v>3</v>
      </c>
      <c r="T241" s="7">
        <v>6.9282032302755088</v>
      </c>
      <c r="U241" s="7">
        <v>10.392304845413264</v>
      </c>
      <c r="V241" s="7">
        <v>0.17798315519535643</v>
      </c>
      <c r="W241" s="7">
        <v>1.7379770574354816E-3</v>
      </c>
      <c r="X241" t="s">
        <v>448</v>
      </c>
      <c r="Y241" t="s">
        <v>89</v>
      </c>
      <c r="Z241" t="s">
        <v>449</v>
      </c>
      <c r="AA241" t="s">
        <v>506</v>
      </c>
      <c r="AB241" t="s">
        <v>92</v>
      </c>
      <c r="AC241" t="s">
        <v>443</v>
      </c>
      <c r="AD241" t="s">
        <v>443</v>
      </c>
      <c r="AE241" t="s">
        <v>1697</v>
      </c>
      <c r="AF241" t="s">
        <v>1698</v>
      </c>
      <c r="AG241" t="s">
        <v>1697</v>
      </c>
      <c r="AI241" t="s">
        <v>503</v>
      </c>
      <c r="AJ241" t="s">
        <v>1636</v>
      </c>
      <c r="AK241" t="s">
        <v>1637</v>
      </c>
      <c r="AL241" s="4">
        <v>0.3</v>
      </c>
      <c r="AM241" t="s">
        <v>185</v>
      </c>
      <c r="AN241">
        <v>0.3</v>
      </c>
      <c r="AO241" t="s">
        <v>1665</v>
      </c>
      <c r="AP241" t="s">
        <v>1639</v>
      </c>
      <c r="AQ241" t="s">
        <v>1640</v>
      </c>
      <c r="AR241" t="s">
        <v>1641</v>
      </c>
      <c r="AS241">
        <v>1</v>
      </c>
      <c r="AT241">
        <v>0</v>
      </c>
      <c r="AU241">
        <v>0</v>
      </c>
      <c r="AV241">
        <v>1</v>
      </c>
      <c r="AW241">
        <v>0</v>
      </c>
      <c r="AX241">
        <v>0</v>
      </c>
      <c r="AY241" t="s">
        <v>1642</v>
      </c>
    </row>
    <row r="242" spans="1:51">
      <c r="A242" t="s">
        <v>443</v>
      </c>
      <c r="B242" t="s">
        <v>507</v>
      </c>
      <c r="C242" t="s">
        <v>445</v>
      </c>
      <c r="D242" t="s">
        <v>446</v>
      </c>
      <c r="E242" t="s">
        <v>96</v>
      </c>
      <c r="F242">
        <v>0.3</v>
      </c>
      <c r="G242" t="s">
        <v>185</v>
      </c>
      <c r="H242" t="s">
        <v>84</v>
      </c>
      <c r="I242" t="s">
        <v>85</v>
      </c>
      <c r="J242" t="s">
        <v>86</v>
      </c>
      <c r="K242" t="s">
        <v>29</v>
      </c>
      <c r="L242" t="s">
        <v>503</v>
      </c>
      <c r="M242" t="s">
        <v>482</v>
      </c>
      <c r="N242" s="7">
        <v>124</v>
      </c>
      <c r="O242" s="7">
        <v>3</v>
      </c>
      <c r="P242" s="7">
        <v>3</v>
      </c>
      <c r="Q242" s="7">
        <v>157</v>
      </c>
      <c r="R242" s="7">
        <v>2</v>
      </c>
      <c r="S242" s="7">
        <v>3</v>
      </c>
      <c r="T242" s="7">
        <v>5.196152422706632</v>
      </c>
      <c r="U242" s="7">
        <v>3.4641016151377544</v>
      </c>
      <c r="V242" s="7">
        <v>0.23596423974327119</v>
      </c>
      <c r="W242" s="7">
        <v>7.4760617213439436E-4</v>
      </c>
      <c r="X242" t="s">
        <v>448</v>
      </c>
      <c r="Y242" t="s">
        <v>89</v>
      </c>
      <c r="Z242" t="s">
        <v>449</v>
      </c>
      <c r="AA242" t="s">
        <v>508</v>
      </c>
      <c r="AB242" t="s">
        <v>92</v>
      </c>
      <c r="AC242" t="s">
        <v>443</v>
      </c>
      <c r="AD242" t="s">
        <v>443</v>
      </c>
      <c r="AE242" t="s">
        <v>1697</v>
      </c>
      <c r="AF242" t="s">
        <v>1698</v>
      </c>
      <c r="AG242" t="s">
        <v>1697</v>
      </c>
      <c r="AI242" t="s">
        <v>503</v>
      </c>
      <c r="AJ242" t="s">
        <v>1636</v>
      </c>
      <c r="AK242" t="s">
        <v>1637</v>
      </c>
      <c r="AL242" s="4">
        <v>0.3</v>
      </c>
      <c r="AM242" t="s">
        <v>185</v>
      </c>
      <c r="AN242">
        <v>0.3</v>
      </c>
      <c r="AO242" t="s">
        <v>1665</v>
      </c>
      <c r="AP242" t="s">
        <v>1639</v>
      </c>
      <c r="AQ242" t="s">
        <v>1640</v>
      </c>
      <c r="AR242" t="s">
        <v>1641</v>
      </c>
      <c r="AS242">
        <v>1</v>
      </c>
      <c r="AT242">
        <v>0</v>
      </c>
      <c r="AU242">
        <v>0</v>
      </c>
      <c r="AV242">
        <v>1</v>
      </c>
      <c r="AW242">
        <v>0</v>
      </c>
      <c r="AX242">
        <v>0</v>
      </c>
      <c r="AY242" t="s">
        <v>1642</v>
      </c>
    </row>
    <row r="243" spans="1:51">
      <c r="A243" t="s">
        <v>509</v>
      </c>
      <c r="B243" t="s">
        <v>510</v>
      </c>
      <c r="C243" t="s">
        <v>511</v>
      </c>
      <c r="D243" t="s">
        <v>512</v>
      </c>
      <c r="E243" t="s">
        <v>96</v>
      </c>
      <c r="F243">
        <v>10</v>
      </c>
      <c r="G243" t="s">
        <v>185</v>
      </c>
      <c r="H243" t="s">
        <v>84</v>
      </c>
      <c r="I243" t="s">
        <v>85</v>
      </c>
      <c r="J243" t="s">
        <v>513</v>
      </c>
      <c r="K243" t="s">
        <v>41</v>
      </c>
      <c r="L243" t="s">
        <v>40</v>
      </c>
      <c r="M243" t="s">
        <v>188</v>
      </c>
      <c r="N243" s="7">
        <v>55</v>
      </c>
      <c r="O243" s="7">
        <v>6</v>
      </c>
      <c r="P243" s="7">
        <v>4</v>
      </c>
      <c r="Q243" s="7">
        <v>60</v>
      </c>
      <c r="R243" s="7">
        <v>4</v>
      </c>
      <c r="S243" s="7">
        <v>4</v>
      </c>
      <c r="T243" s="7">
        <v>12</v>
      </c>
      <c r="U243" s="7">
        <v>8</v>
      </c>
      <c r="V243" s="7">
        <v>8.7011376989629699E-2</v>
      </c>
      <c r="W243" s="7">
        <v>1.6345270890725436E-2</v>
      </c>
      <c r="X243" t="s">
        <v>514</v>
      </c>
      <c r="Y243" t="s">
        <v>89</v>
      </c>
      <c r="Z243" t="s">
        <v>515</v>
      </c>
      <c r="AA243" t="s">
        <v>516</v>
      </c>
      <c r="AB243" t="s">
        <v>92</v>
      </c>
      <c r="AC243" t="s">
        <v>509</v>
      </c>
      <c r="AD243" t="s">
        <v>509</v>
      </c>
      <c r="AE243" t="s">
        <v>1699</v>
      </c>
      <c r="AF243" t="s">
        <v>1700</v>
      </c>
      <c r="AG243" t="s">
        <v>1699</v>
      </c>
      <c r="AI243" t="s">
        <v>40</v>
      </c>
      <c r="AJ243" t="s">
        <v>1636</v>
      </c>
      <c r="AK243" t="s">
        <v>1637</v>
      </c>
      <c r="AL243" s="4">
        <v>10</v>
      </c>
      <c r="AM243" t="s">
        <v>185</v>
      </c>
      <c r="AN243">
        <v>10</v>
      </c>
      <c r="AO243" t="s">
        <v>1665</v>
      </c>
      <c r="AP243" t="s">
        <v>1639</v>
      </c>
      <c r="AQ243" t="s">
        <v>1640</v>
      </c>
      <c r="AR243" t="s">
        <v>1641</v>
      </c>
      <c r="AS243">
        <v>1</v>
      </c>
      <c r="AT243">
        <v>0</v>
      </c>
      <c r="AU243">
        <v>0</v>
      </c>
      <c r="AV243">
        <v>1</v>
      </c>
      <c r="AW243">
        <v>0</v>
      </c>
      <c r="AX243">
        <v>0</v>
      </c>
      <c r="AY243" t="s">
        <v>1642</v>
      </c>
    </row>
    <row r="244" spans="1:51">
      <c r="A244" t="s">
        <v>509</v>
      </c>
      <c r="B244" t="s">
        <v>517</v>
      </c>
      <c r="C244" t="s">
        <v>511</v>
      </c>
      <c r="D244" t="s">
        <v>512</v>
      </c>
      <c r="E244" t="s">
        <v>96</v>
      </c>
      <c r="F244">
        <v>20</v>
      </c>
      <c r="G244" t="s">
        <v>185</v>
      </c>
      <c r="H244" t="s">
        <v>84</v>
      </c>
      <c r="I244" t="s">
        <v>85</v>
      </c>
      <c r="J244" t="s">
        <v>513</v>
      </c>
      <c r="K244" t="s">
        <v>41</v>
      </c>
      <c r="L244" t="s">
        <v>40</v>
      </c>
      <c r="M244" t="s">
        <v>188</v>
      </c>
      <c r="N244" s="7">
        <v>55</v>
      </c>
      <c r="O244" s="7">
        <v>6</v>
      </c>
      <c r="P244" s="7">
        <v>4</v>
      </c>
      <c r="Q244" s="7">
        <v>57.5</v>
      </c>
      <c r="R244" s="7">
        <v>5.5</v>
      </c>
      <c r="S244" s="7">
        <v>4</v>
      </c>
      <c r="T244" s="7">
        <v>12</v>
      </c>
      <c r="U244" s="7">
        <v>11</v>
      </c>
      <c r="V244" s="7">
        <v>4.4451762570833796E-2</v>
      </c>
      <c r="W244" s="7">
        <v>2.1050164820572106E-2</v>
      </c>
      <c r="X244" t="s">
        <v>514</v>
      </c>
      <c r="Y244" t="s">
        <v>89</v>
      </c>
      <c r="Z244" t="s">
        <v>515</v>
      </c>
      <c r="AA244" t="s">
        <v>516</v>
      </c>
      <c r="AB244" t="s">
        <v>92</v>
      </c>
      <c r="AC244" t="s">
        <v>509</v>
      </c>
      <c r="AD244" t="s">
        <v>509</v>
      </c>
      <c r="AE244" t="s">
        <v>1699</v>
      </c>
      <c r="AF244" t="s">
        <v>1701</v>
      </c>
      <c r="AG244" t="s">
        <v>1699</v>
      </c>
      <c r="AI244" t="s">
        <v>40</v>
      </c>
      <c r="AJ244" t="s">
        <v>1636</v>
      </c>
      <c r="AK244" t="s">
        <v>1637</v>
      </c>
      <c r="AL244" s="4">
        <v>20</v>
      </c>
      <c r="AM244" t="s">
        <v>185</v>
      </c>
      <c r="AN244">
        <v>20</v>
      </c>
      <c r="AO244" t="s">
        <v>1665</v>
      </c>
      <c r="AP244" t="s">
        <v>1639</v>
      </c>
      <c r="AQ244" t="s">
        <v>1640</v>
      </c>
      <c r="AR244" t="s">
        <v>1641</v>
      </c>
      <c r="AS244">
        <v>1</v>
      </c>
      <c r="AT244">
        <v>0</v>
      </c>
      <c r="AU244">
        <v>0</v>
      </c>
      <c r="AV244">
        <v>1</v>
      </c>
      <c r="AW244">
        <v>0</v>
      </c>
      <c r="AX244">
        <v>0</v>
      </c>
      <c r="AY244" t="s">
        <v>1642</v>
      </c>
    </row>
    <row r="245" spans="1:51">
      <c r="A245" t="s">
        <v>509</v>
      </c>
      <c r="B245" t="s">
        <v>518</v>
      </c>
      <c r="C245" t="s">
        <v>511</v>
      </c>
      <c r="D245" t="s">
        <v>512</v>
      </c>
      <c r="E245" t="s">
        <v>96</v>
      </c>
      <c r="F245">
        <v>10</v>
      </c>
      <c r="G245" t="s">
        <v>185</v>
      </c>
      <c r="H245" t="s">
        <v>84</v>
      </c>
      <c r="I245" t="s">
        <v>85</v>
      </c>
      <c r="J245" t="s">
        <v>513</v>
      </c>
      <c r="K245" t="s">
        <v>29</v>
      </c>
      <c r="L245" t="s">
        <v>40</v>
      </c>
      <c r="M245" t="s">
        <v>188</v>
      </c>
      <c r="N245" s="7">
        <v>39.5</v>
      </c>
      <c r="O245" s="7">
        <v>2</v>
      </c>
      <c r="P245" s="7">
        <v>4</v>
      </c>
      <c r="Q245" s="7">
        <v>39</v>
      </c>
      <c r="R245" s="7">
        <v>1.2</v>
      </c>
      <c r="S245" s="7">
        <v>4</v>
      </c>
      <c r="T245" s="7">
        <v>4</v>
      </c>
      <c r="U245" s="7">
        <v>2.4</v>
      </c>
      <c r="V245" s="7">
        <v>-1.2739025777429714E-2</v>
      </c>
      <c r="W245" s="7">
        <v>3.51043727820132E-3</v>
      </c>
      <c r="X245" t="s">
        <v>514</v>
      </c>
      <c r="Y245" t="s">
        <v>89</v>
      </c>
      <c r="Z245" t="s">
        <v>515</v>
      </c>
      <c r="AA245" t="s">
        <v>519</v>
      </c>
      <c r="AB245" t="s">
        <v>92</v>
      </c>
      <c r="AC245" t="s">
        <v>509</v>
      </c>
      <c r="AD245" t="s">
        <v>509</v>
      </c>
      <c r="AE245" t="s">
        <v>1699</v>
      </c>
      <c r="AF245" t="s">
        <v>1700</v>
      </c>
      <c r="AG245" t="s">
        <v>1699</v>
      </c>
      <c r="AI245" t="s">
        <v>40</v>
      </c>
      <c r="AJ245" t="s">
        <v>1636</v>
      </c>
      <c r="AK245" t="s">
        <v>1637</v>
      </c>
      <c r="AL245" s="4">
        <v>10</v>
      </c>
      <c r="AM245" t="s">
        <v>185</v>
      </c>
      <c r="AN245">
        <v>10</v>
      </c>
      <c r="AO245" t="s">
        <v>1665</v>
      </c>
      <c r="AP245" t="s">
        <v>1639</v>
      </c>
      <c r="AQ245" t="s">
        <v>1640</v>
      </c>
      <c r="AR245" t="s">
        <v>1641</v>
      </c>
      <c r="AS245">
        <v>1</v>
      </c>
      <c r="AT245">
        <v>0</v>
      </c>
      <c r="AU245">
        <v>0</v>
      </c>
      <c r="AV245">
        <v>1</v>
      </c>
      <c r="AW245">
        <v>0</v>
      </c>
      <c r="AX245">
        <v>0</v>
      </c>
      <c r="AY245" t="s">
        <v>1642</v>
      </c>
    </row>
    <row r="246" spans="1:51">
      <c r="A246" t="s">
        <v>509</v>
      </c>
      <c r="B246" t="s">
        <v>520</v>
      </c>
      <c r="C246" t="s">
        <v>511</v>
      </c>
      <c r="D246" t="s">
        <v>512</v>
      </c>
      <c r="E246" t="s">
        <v>96</v>
      </c>
      <c r="F246">
        <v>20</v>
      </c>
      <c r="G246" t="s">
        <v>185</v>
      </c>
      <c r="H246" t="s">
        <v>84</v>
      </c>
      <c r="I246" t="s">
        <v>85</v>
      </c>
      <c r="J246" t="s">
        <v>513</v>
      </c>
      <c r="K246" t="s">
        <v>29</v>
      </c>
      <c r="L246" t="s">
        <v>40</v>
      </c>
      <c r="M246" t="s">
        <v>188</v>
      </c>
      <c r="N246" s="7">
        <v>39.5</v>
      </c>
      <c r="O246" s="7">
        <v>2</v>
      </c>
      <c r="P246" s="7">
        <v>4</v>
      </c>
      <c r="Q246" s="7">
        <v>33</v>
      </c>
      <c r="R246" s="7">
        <v>2.5</v>
      </c>
      <c r="S246" s="7">
        <v>4</v>
      </c>
      <c r="T246" s="7">
        <v>4</v>
      </c>
      <c r="U246" s="7">
        <v>5</v>
      </c>
      <c r="V246" s="7">
        <v>-0.17979311044059593</v>
      </c>
      <c r="W246" s="7">
        <v>8.3029020007359712E-3</v>
      </c>
      <c r="X246" t="s">
        <v>514</v>
      </c>
      <c r="Y246" t="s">
        <v>89</v>
      </c>
      <c r="Z246" t="s">
        <v>515</v>
      </c>
      <c r="AA246" t="s">
        <v>519</v>
      </c>
      <c r="AB246" t="s">
        <v>92</v>
      </c>
      <c r="AC246" t="s">
        <v>509</v>
      </c>
      <c r="AD246" t="s">
        <v>509</v>
      </c>
      <c r="AE246" t="s">
        <v>1699</v>
      </c>
      <c r="AF246" t="s">
        <v>1701</v>
      </c>
      <c r="AG246" t="s">
        <v>1699</v>
      </c>
      <c r="AI246" t="s">
        <v>40</v>
      </c>
      <c r="AJ246" t="s">
        <v>1636</v>
      </c>
      <c r="AK246" t="s">
        <v>1637</v>
      </c>
      <c r="AL246" s="4">
        <v>20</v>
      </c>
      <c r="AM246" t="s">
        <v>185</v>
      </c>
      <c r="AN246">
        <v>20</v>
      </c>
      <c r="AO246" t="s">
        <v>1665</v>
      </c>
      <c r="AP246" t="s">
        <v>1639</v>
      </c>
      <c r="AQ246" t="s">
        <v>1640</v>
      </c>
      <c r="AR246" t="s">
        <v>1641</v>
      </c>
      <c r="AS246">
        <v>1</v>
      </c>
      <c r="AT246">
        <v>0</v>
      </c>
      <c r="AU246">
        <v>0</v>
      </c>
      <c r="AV246">
        <v>1</v>
      </c>
      <c r="AW246">
        <v>0</v>
      </c>
      <c r="AX246">
        <v>0</v>
      </c>
      <c r="AY246" t="s">
        <v>1642</v>
      </c>
    </row>
    <row r="247" spans="1:51">
      <c r="A247" t="s">
        <v>509</v>
      </c>
      <c r="B247" t="s">
        <v>521</v>
      </c>
      <c r="C247" t="s">
        <v>511</v>
      </c>
      <c r="D247" t="s">
        <v>512</v>
      </c>
      <c r="E247" t="s">
        <v>96</v>
      </c>
      <c r="F247">
        <v>10</v>
      </c>
      <c r="G247" t="s">
        <v>185</v>
      </c>
      <c r="H247" t="s">
        <v>84</v>
      </c>
      <c r="I247" t="s">
        <v>85</v>
      </c>
      <c r="J247" t="s">
        <v>513</v>
      </c>
      <c r="K247" t="s">
        <v>41</v>
      </c>
      <c r="L247" t="s">
        <v>30</v>
      </c>
      <c r="M247" t="s">
        <v>188</v>
      </c>
      <c r="N247" s="7">
        <v>12.8</v>
      </c>
      <c r="O247" s="7">
        <v>0.4</v>
      </c>
      <c r="P247" s="7">
        <v>4</v>
      </c>
      <c r="Q247" s="7">
        <v>13</v>
      </c>
      <c r="R247" s="7">
        <v>0.8</v>
      </c>
      <c r="S247" s="7">
        <v>4</v>
      </c>
      <c r="T247" s="7">
        <v>0.8</v>
      </c>
      <c r="U247" s="7">
        <v>1.6</v>
      </c>
      <c r="V247" s="7">
        <v>1.5504186535965254E-2</v>
      </c>
      <c r="W247" s="7">
        <v>4.7635447485207105E-3</v>
      </c>
      <c r="X247" t="s">
        <v>514</v>
      </c>
      <c r="Y247" t="s">
        <v>89</v>
      </c>
      <c r="Z247" t="s">
        <v>515</v>
      </c>
      <c r="AA247" t="s">
        <v>522</v>
      </c>
      <c r="AB247" t="s">
        <v>92</v>
      </c>
      <c r="AC247" t="s">
        <v>509</v>
      </c>
      <c r="AD247" t="s">
        <v>509</v>
      </c>
      <c r="AE247" t="s">
        <v>1699</v>
      </c>
      <c r="AF247" t="s">
        <v>1700</v>
      </c>
      <c r="AG247" t="s">
        <v>1699</v>
      </c>
      <c r="AI247" t="s">
        <v>30</v>
      </c>
      <c r="AJ247" t="s">
        <v>1636</v>
      </c>
      <c r="AK247" t="s">
        <v>1637</v>
      </c>
      <c r="AL247" s="4">
        <v>10</v>
      </c>
      <c r="AM247" t="s">
        <v>185</v>
      </c>
      <c r="AN247">
        <v>10</v>
      </c>
      <c r="AO247" t="s">
        <v>1665</v>
      </c>
      <c r="AP247" t="s">
        <v>1639</v>
      </c>
      <c r="AQ247" t="s">
        <v>1640</v>
      </c>
      <c r="AR247" t="s">
        <v>1641</v>
      </c>
      <c r="AS247">
        <v>1</v>
      </c>
      <c r="AT247">
        <v>0</v>
      </c>
      <c r="AU247">
        <v>0</v>
      </c>
      <c r="AV247">
        <v>1</v>
      </c>
      <c r="AW247">
        <v>0</v>
      </c>
      <c r="AX247">
        <v>0</v>
      </c>
      <c r="AY247" t="s">
        <v>1642</v>
      </c>
    </row>
    <row r="248" spans="1:51">
      <c r="A248" t="s">
        <v>509</v>
      </c>
      <c r="B248" t="s">
        <v>523</v>
      </c>
      <c r="C248" t="s">
        <v>511</v>
      </c>
      <c r="D248" t="s">
        <v>512</v>
      </c>
      <c r="E248" t="s">
        <v>96</v>
      </c>
      <c r="F248">
        <v>20</v>
      </c>
      <c r="G248" t="s">
        <v>185</v>
      </c>
      <c r="H248" t="s">
        <v>84</v>
      </c>
      <c r="I248" t="s">
        <v>85</v>
      </c>
      <c r="J248" t="s">
        <v>513</v>
      </c>
      <c r="K248" t="s">
        <v>41</v>
      </c>
      <c r="L248" t="s">
        <v>30</v>
      </c>
      <c r="M248" t="s">
        <v>188</v>
      </c>
      <c r="N248" s="7">
        <v>12.8</v>
      </c>
      <c r="O248" s="7">
        <v>0.4</v>
      </c>
      <c r="P248" s="7">
        <v>4</v>
      </c>
      <c r="Q248" s="7">
        <v>13.3</v>
      </c>
      <c r="R248" s="7">
        <v>0.7</v>
      </c>
      <c r="S248" s="7">
        <v>4</v>
      </c>
      <c r="T248" s="7">
        <v>0.8</v>
      </c>
      <c r="U248" s="7">
        <v>1.4</v>
      </c>
      <c r="V248" s="7">
        <v>3.8318864302136602E-2</v>
      </c>
      <c r="W248" s="7">
        <v>3.7466456024930744E-3</v>
      </c>
      <c r="X248" t="s">
        <v>514</v>
      </c>
      <c r="Y248" t="s">
        <v>89</v>
      </c>
      <c r="Z248" t="s">
        <v>515</v>
      </c>
      <c r="AA248" t="s">
        <v>522</v>
      </c>
      <c r="AB248" t="s">
        <v>92</v>
      </c>
      <c r="AC248" t="s">
        <v>509</v>
      </c>
      <c r="AD248" t="s">
        <v>509</v>
      </c>
      <c r="AE248" t="s">
        <v>1699</v>
      </c>
      <c r="AF248" t="s">
        <v>1701</v>
      </c>
      <c r="AG248" t="s">
        <v>1699</v>
      </c>
      <c r="AI248" t="s">
        <v>30</v>
      </c>
      <c r="AJ248" t="s">
        <v>1636</v>
      </c>
      <c r="AK248" t="s">
        <v>1637</v>
      </c>
      <c r="AL248" s="4">
        <v>20</v>
      </c>
      <c r="AM248" t="s">
        <v>185</v>
      </c>
      <c r="AN248">
        <v>20</v>
      </c>
      <c r="AO248" t="s">
        <v>1665</v>
      </c>
      <c r="AP248" t="s">
        <v>1639</v>
      </c>
      <c r="AQ248" t="s">
        <v>1640</v>
      </c>
      <c r="AR248" t="s">
        <v>1641</v>
      </c>
      <c r="AS248">
        <v>1</v>
      </c>
      <c r="AT248">
        <v>0</v>
      </c>
      <c r="AU248">
        <v>0</v>
      </c>
      <c r="AV248">
        <v>1</v>
      </c>
      <c r="AW248">
        <v>0</v>
      </c>
      <c r="AX248">
        <v>0</v>
      </c>
      <c r="AY248" t="s">
        <v>1642</v>
      </c>
    </row>
    <row r="249" spans="1:51">
      <c r="A249" t="s">
        <v>509</v>
      </c>
      <c r="B249" t="s">
        <v>524</v>
      </c>
      <c r="C249" t="s">
        <v>511</v>
      </c>
      <c r="D249" t="s">
        <v>512</v>
      </c>
      <c r="E249" t="s">
        <v>96</v>
      </c>
      <c r="F249">
        <v>10</v>
      </c>
      <c r="G249" t="s">
        <v>185</v>
      </c>
      <c r="H249" t="s">
        <v>84</v>
      </c>
      <c r="I249" t="s">
        <v>85</v>
      </c>
      <c r="J249" t="s">
        <v>513</v>
      </c>
      <c r="K249" t="s">
        <v>29</v>
      </c>
      <c r="L249" t="s">
        <v>30</v>
      </c>
      <c r="M249" t="s">
        <v>188</v>
      </c>
      <c r="N249" s="7">
        <v>9.4</v>
      </c>
      <c r="O249" s="7">
        <v>1.1000000000000001</v>
      </c>
      <c r="P249" s="7">
        <v>4</v>
      </c>
      <c r="Q249" s="7">
        <v>10.5</v>
      </c>
      <c r="R249" s="7">
        <v>1.2</v>
      </c>
      <c r="S249" s="7">
        <v>4</v>
      </c>
      <c r="T249" s="7">
        <v>2.2000000000000002</v>
      </c>
      <c r="U249" s="7">
        <v>2.4</v>
      </c>
      <c r="V249" s="7">
        <v>0.11066556788751938</v>
      </c>
      <c r="W249" s="7">
        <v>2.67552036658937E-2</v>
      </c>
      <c r="X249" t="s">
        <v>514</v>
      </c>
      <c r="Y249" t="s">
        <v>89</v>
      </c>
      <c r="Z249" t="s">
        <v>515</v>
      </c>
      <c r="AA249" t="s">
        <v>525</v>
      </c>
      <c r="AB249" t="s">
        <v>92</v>
      </c>
      <c r="AC249" t="s">
        <v>509</v>
      </c>
      <c r="AD249" t="s">
        <v>509</v>
      </c>
      <c r="AE249" t="s">
        <v>1699</v>
      </c>
      <c r="AF249" t="s">
        <v>1700</v>
      </c>
      <c r="AG249" t="s">
        <v>1699</v>
      </c>
      <c r="AI249" t="s">
        <v>30</v>
      </c>
      <c r="AJ249" t="s">
        <v>1636</v>
      </c>
      <c r="AK249" t="s">
        <v>1637</v>
      </c>
      <c r="AL249" s="4">
        <v>10</v>
      </c>
      <c r="AM249" t="s">
        <v>185</v>
      </c>
      <c r="AN249">
        <v>10</v>
      </c>
      <c r="AO249" t="s">
        <v>1665</v>
      </c>
      <c r="AP249" t="s">
        <v>1639</v>
      </c>
      <c r="AQ249" t="s">
        <v>1640</v>
      </c>
      <c r="AR249" t="s">
        <v>1641</v>
      </c>
      <c r="AS249">
        <v>1</v>
      </c>
      <c r="AT249">
        <v>0</v>
      </c>
      <c r="AU249">
        <v>0</v>
      </c>
      <c r="AV249">
        <v>1</v>
      </c>
      <c r="AW249">
        <v>0</v>
      </c>
      <c r="AX249">
        <v>0</v>
      </c>
      <c r="AY249" t="s">
        <v>1642</v>
      </c>
    </row>
    <row r="250" spans="1:51">
      <c r="A250" t="s">
        <v>509</v>
      </c>
      <c r="B250" t="s">
        <v>526</v>
      </c>
      <c r="C250" t="s">
        <v>511</v>
      </c>
      <c r="D250" t="s">
        <v>512</v>
      </c>
      <c r="E250" t="s">
        <v>96</v>
      </c>
      <c r="F250">
        <v>20</v>
      </c>
      <c r="G250" t="s">
        <v>185</v>
      </c>
      <c r="H250" t="s">
        <v>84</v>
      </c>
      <c r="I250" t="s">
        <v>85</v>
      </c>
      <c r="J250" t="s">
        <v>513</v>
      </c>
      <c r="K250" t="s">
        <v>29</v>
      </c>
      <c r="L250" t="s">
        <v>30</v>
      </c>
      <c r="M250" t="s">
        <v>188</v>
      </c>
      <c r="N250" s="7">
        <v>9.4</v>
      </c>
      <c r="O250" s="7">
        <v>1.1000000000000001</v>
      </c>
      <c r="P250" s="7">
        <v>4</v>
      </c>
      <c r="Q250" s="7">
        <v>9.8000000000000007</v>
      </c>
      <c r="R250" s="7">
        <v>1</v>
      </c>
      <c r="S250" s="7">
        <v>4</v>
      </c>
      <c r="T250" s="7">
        <v>2.2000000000000002</v>
      </c>
      <c r="U250" s="7">
        <v>2</v>
      </c>
      <c r="V250" s="7">
        <v>4.1672696400568081E-2</v>
      </c>
      <c r="W250" s="7">
        <v>2.4106307372682538E-2</v>
      </c>
      <c r="X250" t="s">
        <v>514</v>
      </c>
      <c r="Y250" t="s">
        <v>89</v>
      </c>
      <c r="Z250" t="s">
        <v>515</v>
      </c>
      <c r="AA250" t="s">
        <v>525</v>
      </c>
      <c r="AB250" t="s">
        <v>92</v>
      </c>
      <c r="AC250" t="s">
        <v>509</v>
      </c>
      <c r="AD250" t="s">
        <v>509</v>
      </c>
      <c r="AE250" t="s">
        <v>1699</v>
      </c>
      <c r="AF250" t="s">
        <v>1701</v>
      </c>
      <c r="AG250" t="s">
        <v>1699</v>
      </c>
      <c r="AI250" t="s">
        <v>30</v>
      </c>
      <c r="AJ250" t="s">
        <v>1636</v>
      </c>
      <c r="AK250" t="s">
        <v>1637</v>
      </c>
      <c r="AL250" s="4">
        <v>20</v>
      </c>
      <c r="AM250" t="s">
        <v>185</v>
      </c>
      <c r="AN250">
        <v>20</v>
      </c>
      <c r="AO250" t="s">
        <v>1665</v>
      </c>
      <c r="AP250" t="s">
        <v>1639</v>
      </c>
      <c r="AQ250" t="s">
        <v>1640</v>
      </c>
      <c r="AR250" t="s">
        <v>1641</v>
      </c>
      <c r="AS250">
        <v>1</v>
      </c>
      <c r="AT250">
        <v>0</v>
      </c>
      <c r="AU250">
        <v>0</v>
      </c>
      <c r="AV250">
        <v>1</v>
      </c>
      <c r="AW250">
        <v>0</v>
      </c>
      <c r="AX250">
        <v>0</v>
      </c>
      <c r="AY250" t="s">
        <v>1642</v>
      </c>
    </row>
    <row r="251" spans="1:51">
      <c r="A251" t="s">
        <v>509</v>
      </c>
      <c r="B251" t="s">
        <v>527</v>
      </c>
      <c r="C251" t="s">
        <v>511</v>
      </c>
      <c r="D251" t="s">
        <v>528</v>
      </c>
      <c r="E251" t="s">
        <v>96</v>
      </c>
      <c r="F251">
        <v>10</v>
      </c>
      <c r="G251" t="s">
        <v>185</v>
      </c>
      <c r="H251" t="s">
        <v>84</v>
      </c>
      <c r="I251" t="s">
        <v>85</v>
      </c>
      <c r="J251" t="s">
        <v>513</v>
      </c>
      <c r="K251" t="s">
        <v>41</v>
      </c>
      <c r="L251" t="s">
        <v>40</v>
      </c>
      <c r="M251" t="s">
        <v>188</v>
      </c>
      <c r="N251" s="7">
        <v>60</v>
      </c>
      <c r="O251" s="7">
        <v>1.5</v>
      </c>
      <c r="P251" s="7">
        <v>4</v>
      </c>
      <c r="Q251" s="7">
        <v>61</v>
      </c>
      <c r="R251" s="7">
        <v>4.5</v>
      </c>
      <c r="S251" s="7">
        <v>4</v>
      </c>
      <c r="T251" s="7">
        <v>3</v>
      </c>
      <c r="U251" s="7">
        <v>9</v>
      </c>
      <c r="V251" s="7">
        <v>1.6529301951210506E-2</v>
      </c>
      <c r="W251" s="7">
        <v>6.0670854608976081E-3</v>
      </c>
      <c r="X251" t="s">
        <v>514</v>
      </c>
      <c r="Y251" t="s">
        <v>89</v>
      </c>
      <c r="Z251" t="s">
        <v>515</v>
      </c>
      <c r="AA251" t="s">
        <v>529</v>
      </c>
      <c r="AB251" t="s">
        <v>92</v>
      </c>
      <c r="AC251" t="s">
        <v>509</v>
      </c>
      <c r="AD251" t="s">
        <v>509</v>
      </c>
      <c r="AE251" t="s">
        <v>1702</v>
      </c>
      <c r="AF251" t="s">
        <v>1703</v>
      </c>
      <c r="AG251" t="s">
        <v>1702</v>
      </c>
      <c r="AI251" t="s">
        <v>40</v>
      </c>
      <c r="AJ251" t="s">
        <v>1636</v>
      </c>
      <c r="AK251" t="s">
        <v>1637</v>
      </c>
      <c r="AL251" s="4">
        <v>10</v>
      </c>
      <c r="AM251" t="s">
        <v>185</v>
      </c>
      <c r="AN251">
        <v>10</v>
      </c>
      <c r="AO251" t="s">
        <v>1665</v>
      </c>
      <c r="AP251" t="s">
        <v>1639</v>
      </c>
      <c r="AQ251" t="s">
        <v>1640</v>
      </c>
      <c r="AR251" t="s">
        <v>1641</v>
      </c>
      <c r="AS251">
        <v>1</v>
      </c>
      <c r="AT251">
        <v>0</v>
      </c>
      <c r="AU251">
        <v>0</v>
      </c>
      <c r="AV251">
        <v>1</v>
      </c>
      <c r="AW251">
        <v>0</v>
      </c>
      <c r="AX251">
        <v>0</v>
      </c>
      <c r="AY251" t="s">
        <v>1642</v>
      </c>
    </row>
    <row r="252" spans="1:51">
      <c r="A252" t="s">
        <v>509</v>
      </c>
      <c r="B252" t="s">
        <v>530</v>
      </c>
      <c r="C252" t="s">
        <v>511</v>
      </c>
      <c r="D252" t="s">
        <v>528</v>
      </c>
      <c r="E252" t="s">
        <v>96</v>
      </c>
      <c r="F252">
        <v>20</v>
      </c>
      <c r="G252" t="s">
        <v>185</v>
      </c>
      <c r="H252" t="s">
        <v>84</v>
      </c>
      <c r="I252" t="s">
        <v>85</v>
      </c>
      <c r="J252" t="s">
        <v>513</v>
      </c>
      <c r="K252" t="s">
        <v>41</v>
      </c>
      <c r="L252" t="s">
        <v>40</v>
      </c>
      <c r="M252" t="s">
        <v>188</v>
      </c>
      <c r="N252" s="7">
        <v>60</v>
      </c>
      <c r="O252" s="7">
        <v>1.5</v>
      </c>
      <c r="P252" s="7">
        <v>4</v>
      </c>
      <c r="Q252" s="7">
        <v>66</v>
      </c>
      <c r="R252" s="7">
        <v>3</v>
      </c>
      <c r="S252" s="7">
        <v>4</v>
      </c>
      <c r="T252" s="7">
        <v>3</v>
      </c>
      <c r="U252" s="7">
        <v>6</v>
      </c>
      <c r="V252" s="7">
        <v>9.5310179804324935E-2</v>
      </c>
      <c r="W252" s="7">
        <v>2.691115702479339E-3</v>
      </c>
      <c r="X252" t="s">
        <v>514</v>
      </c>
      <c r="Y252" t="s">
        <v>89</v>
      </c>
      <c r="Z252" t="s">
        <v>515</v>
      </c>
      <c r="AA252" t="s">
        <v>529</v>
      </c>
      <c r="AB252" t="s">
        <v>92</v>
      </c>
      <c r="AC252" t="s">
        <v>509</v>
      </c>
      <c r="AD252" t="s">
        <v>509</v>
      </c>
      <c r="AE252" t="s">
        <v>1702</v>
      </c>
      <c r="AF252" t="s">
        <v>1704</v>
      </c>
      <c r="AG252" t="s">
        <v>1702</v>
      </c>
      <c r="AI252" t="s">
        <v>40</v>
      </c>
      <c r="AJ252" t="s">
        <v>1636</v>
      </c>
      <c r="AK252" t="s">
        <v>1637</v>
      </c>
      <c r="AL252" s="4">
        <v>20</v>
      </c>
      <c r="AM252" t="s">
        <v>185</v>
      </c>
      <c r="AN252">
        <v>20</v>
      </c>
      <c r="AO252" t="s">
        <v>1665</v>
      </c>
      <c r="AP252" t="s">
        <v>1639</v>
      </c>
      <c r="AQ252" t="s">
        <v>1640</v>
      </c>
      <c r="AR252" t="s">
        <v>1641</v>
      </c>
      <c r="AS252">
        <v>1</v>
      </c>
      <c r="AT252">
        <v>0</v>
      </c>
      <c r="AU252">
        <v>0</v>
      </c>
      <c r="AV252">
        <v>1</v>
      </c>
      <c r="AW252">
        <v>0</v>
      </c>
      <c r="AX252">
        <v>0</v>
      </c>
      <c r="AY252" t="s">
        <v>1642</v>
      </c>
    </row>
    <row r="253" spans="1:51">
      <c r="A253" t="s">
        <v>509</v>
      </c>
      <c r="B253" t="s">
        <v>531</v>
      </c>
      <c r="C253" t="s">
        <v>511</v>
      </c>
      <c r="D253" t="s">
        <v>528</v>
      </c>
      <c r="E253" t="s">
        <v>96</v>
      </c>
      <c r="F253">
        <v>10</v>
      </c>
      <c r="G253" t="s">
        <v>185</v>
      </c>
      <c r="H253" t="s">
        <v>84</v>
      </c>
      <c r="I253" t="s">
        <v>85</v>
      </c>
      <c r="J253" t="s">
        <v>513</v>
      </c>
      <c r="K253" t="s">
        <v>29</v>
      </c>
      <c r="L253" t="s">
        <v>40</v>
      </c>
      <c r="M253" t="s">
        <v>188</v>
      </c>
      <c r="N253" s="7">
        <v>34</v>
      </c>
      <c r="O253" s="7">
        <v>3.5</v>
      </c>
      <c r="P253" s="7">
        <v>4</v>
      </c>
      <c r="Q253" s="7">
        <v>38</v>
      </c>
      <c r="R253" s="7">
        <v>3</v>
      </c>
      <c r="S253" s="7">
        <v>4</v>
      </c>
      <c r="T253" s="7">
        <v>7</v>
      </c>
      <c r="U253" s="7">
        <v>6</v>
      </c>
      <c r="V253" s="7">
        <v>0.1112256351102244</v>
      </c>
      <c r="W253" s="7">
        <v>1.6829572793758206E-2</v>
      </c>
      <c r="X253" t="s">
        <v>514</v>
      </c>
      <c r="Y253" t="s">
        <v>89</v>
      </c>
      <c r="Z253" t="s">
        <v>515</v>
      </c>
      <c r="AA253" t="s">
        <v>532</v>
      </c>
      <c r="AB253" t="s">
        <v>92</v>
      </c>
      <c r="AC253" t="s">
        <v>509</v>
      </c>
      <c r="AD253" t="s">
        <v>509</v>
      </c>
      <c r="AE253" t="s">
        <v>1702</v>
      </c>
      <c r="AF253" t="s">
        <v>1703</v>
      </c>
      <c r="AG253" t="s">
        <v>1702</v>
      </c>
      <c r="AI253" t="s">
        <v>40</v>
      </c>
      <c r="AJ253" t="s">
        <v>1636</v>
      </c>
      <c r="AK253" t="s">
        <v>1637</v>
      </c>
      <c r="AL253" s="4">
        <v>10</v>
      </c>
      <c r="AM253" t="s">
        <v>185</v>
      </c>
      <c r="AN253">
        <v>10</v>
      </c>
      <c r="AO253" t="s">
        <v>1665</v>
      </c>
      <c r="AP253" t="s">
        <v>1639</v>
      </c>
      <c r="AQ253" t="s">
        <v>1640</v>
      </c>
      <c r="AR253" t="s">
        <v>1641</v>
      </c>
      <c r="AS253">
        <v>1</v>
      </c>
      <c r="AT253">
        <v>0</v>
      </c>
      <c r="AU253">
        <v>0</v>
      </c>
      <c r="AV253">
        <v>1</v>
      </c>
      <c r="AW253">
        <v>0</v>
      </c>
      <c r="AX253">
        <v>0</v>
      </c>
      <c r="AY253" t="s">
        <v>1642</v>
      </c>
    </row>
    <row r="254" spans="1:51">
      <c r="A254" t="s">
        <v>509</v>
      </c>
      <c r="B254" t="s">
        <v>533</v>
      </c>
      <c r="C254" t="s">
        <v>511</v>
      </c>
      <c r="D254" t="s">
        <v>528</v>
      </c>
      <c r="E254" t="s">
        <v>96</v>
      </c>
      <c r="F254">
        <v>20</v>
      </c>
      <c r="G254" t="s">
        <v>185</v>
      </c>
      <c r="H254" t="s">
        <v>84</v>
      </c>
      <c r="I254" t="s">
        <v>85</v>
      </c>
      <c r="J254" t="s">
        <v>513</v>
      </c>
      <c r="K254" t="s">
        <v>29</v>
      </c>
      <c r="L254" t="s">
        <v>40</v>
      </c>
      <c r="M254" t="s">
        <v>188</v>
      </c>
      <c r="N254" s="7">
        <v>34</v>
      </c>
      <c r="O254" s="7">
        <v>3.5</v>
      </c>
      <c r="P254" s="7">
        <v>4</v>
      </c>
      <c r="Q254" s="7">
        <v>38.5</v>
      </c>
      <c r="R254" s="7">
        <v>3</v>
      </c>
      <c r="S254" s="7">
        <v>4</v>
      </c>
      <c r="T254" s="7">
        <v>7</v>
      </c>
      <c r="U254" s="7">
        <v>6</v>
      </c>
      <c r="V254" s="7">
        <v>0.12429771667757712</v>
      </c>
      <c r="W254" s="7">
        <v>1.6668736040843173E-2</v>
      </c>
      <c r="X254" t="s">
        <v>514</v>
      </c>
      <c r="Y254" t="s">
        <v>89</v>
      </c>
      <c r="Z254" t="s">
        <v>515</v>
      </c>
      <c r="AA254" t="s">
        <v>532</v>
      </c>
      <c r="AB254" t="s">
        <v>92</v>
      </c>
      <c r="AC254" t="s">
        <v>509</v>
      </c>
      <c r="AD254" t="s">
        <v>509</v>
      </c>
      <c r="AE254" t="s">
        <v>1702</v>
      </c>
      <c r="AF254" t="s">
        <v>1704</v>
      </c>
      <c r="AG254" t="s">
        <v>1702</v>
      </c>
      <c r="AI254" t="s">
        <v>40</v>
      </c>
      <c r="AJ254" t="s">
        <v>1636</v>
      </c>
      <c r="AK254" t="s">
        <v>1637</v>
      </c>
      <c r="AL254" s="4">
        <v>20</v>
      </c>
      <c r="AM254" t="s">
        <v>185</v>
      </c>
      <c r="AN254">
        <v>20</v>
      </c>
      <c r="AO254" t="s">
        <v>1665</v>
      </c>
      <c r="AP254" t="s">
        <v>1639</v>
      </c>
      <c r="AQ254" t="s">
        <v>1640</v>
      </c>
      <c r="AR254" t="s">
        <v>1641</v>
      </c>
      <c r="AS254">
        <v>1</v>
      </c>
      <c r="AT254">
        <v>0</v>
      </c>
      <c r="AU254">
        <v>0</v>
      </c>
      <c r="AV254">
        <v>1</v>
      </c>
      <c r="AW254">
        <v>0</v>
      </c>
      <c r="AX254">
        <v>0</v>
      </c>
      <c r="AY254" t="s">
        <v>1642</v>
      </c>
    </row>
    <row r="255" spans="1:51">
      <c r="A255" t="s">
        <v>509</v>
      </c>
      <c r="B255" t="s">
        <v>534</v>
      </c>
      <c r="C255" t="s">
        <v>511</v>
      </c>
      <c r="D255" t="s">
        <v>528</v>
      </c>
      <c r="E255" t="s">
        <v>96</v>
      </c>
      <c r="F255">
        <v>10</v>
      </c>
      <c r="G255" t="s">
        <v>185</v>
      </c>
      <c r="H255" t="s">
        <v>84</v>
      </c>
      <c r="I255" t="s">
        <v>85</v>
      </c>
      <c r="J255" t="s">
        <v>513</v>
      </c>
      <c r="K255" t="s">
        <v>41</v>
      </c>
      <c r="L255" t="s">
        <v>30</v>
      </c>
      <c r="M255" t="s">
        <v>188</v>
      </c>
      <c r="N255" s="7">
        <v>11.8</v>
      </c>
      <c r="O255" s="7">
        <v>1.4</v>
      </c>
      <c r="P255" s="7">
        <v>4</v>
      </c>
      <c r="Q255" s="7">
        <v>12</v>
      </c>
      <c r="R255" s="7">
        <v>1.2</v>
      </c>
      <c r="S255" s="7">
        <v>4</v>
      </c>
      <c r="T255" s="7">
        <v>2.8</v>
      </c>
      <c r="U255" s="7">
        <v>2.4</v>
      </c>
      <c r="V255" s="7">
        <v>1.6807118316381191E-2</v>
      </c>
      <c r="W255" s="7">
        <v>2.4076414823326626E-2</v>
      </c>
      <c r="X255" t="s">
        <v>514</v>
      </c>
      <c r="Y255" t="s">
        <v>89</v>
      </c>
      <c r="Z255" t="s">
        <v>515</v>
      </c>
      <c r="AA255" t="s">
        <v>535</v>
      </c>
      <c r="AB255" t="s">
        <v>92</v>
      </c>
      <c r="AC255" t="s">
        <v>509</v>
      </c>
      <c r="AD255" t="s">
        <v>509</v>
      </c>
      <c r="AE255" t="s">
        <v>1702</v>
      </c>
      <c r="AF255" t="s">
        <v>1703</v>
      </c>
      <c r="AG255" t="s">
        <v>1702</v>
      </c>
      <c r="AI255" t="s">
        <v>30</v>
      </c>
      <c r="AJ255" t="s">
        <v>1636</v>
      </c>
      <c r="AK255" t="s">
        <v>1637</v>
      </c>
      <c r="AL255" s="4">
        <v>10</v>
      </c>
      <c r="AM255" t="s">
        <v>185</v>
      </c>
      <c r="AN255">
        <v>10</v>
      </c>
      <c r="AO255" t="s">
        <v>1665</v>
      </c>
      <c r="AP255" t="s">
        <v>1639</v>
      </c>
      <c r="AQ255" t="s">
        <v>1640</v>
      </c>
      <c r="AR255" t="s">
        <v>1641</v>
      </c>
      <c r="AS255">
        <v>1</v>
      </c>
      <c r="AT255">
        <v>0</v>
      </c>
      <c r="AU255">
        <v>0</v>
      </c>
      <c r="AV255">
        <v>1</v>
      </c>
      <c r="AW255">
        <v>0</v>
      </c>
      <c r="AX255">
        <v>0</v>
      </c>
      <c r="AY255" t="s">
        <v>1642</v>
      </c>
    </row>
    <row r="256" spans="1:51">
      <c r="A256" t="s">
        <v>509</v>
      </c>
      <c r="B256" t="s">
        <v>536</v>
      </c>
      <c r="C256" t="s">
        <v>511</v>
      </c>
      <c r="D256" t="s">
        <v>528</v>
      </c>
      <c r="E256" t="s">
        <v>96</v>
      </c>
      <c r="F256">
        <v>20</v>
      </c>
      <c r="G256" t="s">
        <v>185</v>
      </c>
      <c r="H256" t="s">
        <v>84</v>
      </c>
      <c r="I256" t="s">
        <v>85</v>
      </c>
      <c r="J256" t="s">
        <v>513</v>
      </c>
      <c r="K256" t="s">
        <v>41</v>
      </c>
      <c r="L256" t="s">
        <v>30</v>
      </c>
      <c r="M256" t="s">
        <v>188</v>
      </c>
      <c r="N256" s="7">
        <v>11.8</v>
      </c>
      <c r="O256" s="7">
        <v>1.4</v>
      </c>
      <c r="P256" s="7">
        <v>4</v>
      </c>
      <c r="Q256" s="7">
        <v>12.8</v>
      </c>
      <c r="R256" s="7">
        <v>1</v>
      </c>
      <c r="S256" s="7">
        <v>4</v>
      </c>
      <c r="T256" s="7">
        <v>2.8</v>
      </c>
      <c r="U256" s="7">
        <v>2</v>
      </c>
      <c r="V256" s="7">
        <v>8.1345639453952401E-2</v>
      </c>
      <c r="W256" s="7">
        <v>2.0179930448326628E-2</v>
      </c>
      <c r="X256" t="s">
        <v>514</v>
      </c>
      <c r="Y256" t="s">
        <v>89</v>
      </c>
      <c r="Z256" t="s">
        <v>515</v>
      </c>
      <c r="AA256" t="s">
        <v>535</v>
      </c>
      <c r="AB256" t="s">
        <v>92</v>
      </c>
      <c r="AC256" t="s">
        <v>509</v>
      </c>
      <c r="AD256" t="s">
        <v>509</v>
      </c>
      <c r="AE256" t="s">
        <v>1702</v>
      </c>
      <c r="AF256" t="s">
        <v>1704</v>
      </c>
      <c r="AG256" t="s">
        <v>1702</v>
      </c>
      <c r="AI256" t="s">
        <v>30</v>
      </c>
      <c r="AJ256" t="s">
        <v>1636</v>
      </c>
      <c r="AK256" t="s">
        <v>1637</v>
      </c>
      <c r="AL256" s="4">
        <v>20</v>
      </c>
      <c r="AM256" t="s">
        <v>185</v>
      </c>
      <c r="AN256">
        <v>20</v>
      </c>
      <c r="AO256" t="s">
        <v>1665</v>
      </c>
      <c r="AP256" t="s">
        <v>1639</v>
      </c>
      <c r="AQ256" t="s">
        <v>1640</v>
      </c>
      <c r="AR256" t="s">
        <v>1641</v>
      </c>
      <c r="AS256">
        <v>1</v>
      </c>
      <c r="AT256">
        <v>0</v>
      </c>
      <c r="AU256">
        <v>0</v>
      </c>
      <c r="AV256">
        <v>1</v>
      </c>
      <c r="AW256">
        <v>0</v>
      </c>
      <c r="AX256">
        <v>0</v>
      </c>
      <c r="AY256" t="s">
        <v>1642</v>
      </c>
    </row>
    <row r="257" spans="1:51">
      <c r="A257" t="s">
        <v>509</v>
      </c>
      <c r="B257" t="s">
        <v>537</v>
      </c>
      <c r="C257" t="s">
        <v>511</v>
      </c>
      <c r="D257" t="s">
        <v>528</v>
      </c>
      <c r="E257" t="s">
        <v>96</v>
      </c>
      <c r="F257">
        <v>10</v>
      </c>
      <c r="G257" t="s">
        <v>185</v>
      </c>
      <c r="H257" t="s">
        <v>84</v>
      </c>
      <c r="I257" t="s">
        <v>85</v>
      </c>
      <c r="J257" t="s">
        <v>513</v>
      </c>
      <c r="K257" t="s">
        <v>29</v>
      </c>
      <c r="L257" t="s">
        <v>30</v>
      </c>
      <c r="M257" t="s">
        <v>188</v>
      </c>
      <c r="N257" s="7">
        <v>4</v>
      </c>
      <c r="O257" s="7">
        <v>0.3</v>
      </c>
      <c r="P257" s="7">
        <v>4</v>
      </c>
      <c r="Q257" s="7">
        <v>6.5</v>
      </c>
      <c r="R257" s="7">
        <v>0.3</v>
      </c>
      <c r="S257" s="7">
        <v>4</v>
      </c>
      <c r="T257" s="7">
        <v>0.6</v>
      </c>
      <c r="U257" s="7">
        <v>0.6</v>
      </c>
      <c r="V257" s="7">
        <v>0.48550781578170082</v>
      </c>
      <c r="W257" s="7">
        <v>7.7551775147928995E-3</v>
      </c>
      <c r="X257" t="s">
        <v>514</v>
      </c>
      <c r="Y257" t="s">
        <v>89</v>
      </c>
      <c r="Z257" t="s">
        <v>515</v>
      </c>
      <c r="AA257" t="s">
        <v>538</v>
      </c>
      <c r="AB257" t="s">
        <v>92</v>
      </c>
      <c r="AC257" t="s">
        <v>509</v>
      </c>
      <c r="AD257" t="s">
        <v>509</v>
      </c>
      <c r="AE257" t="s">
        <v>1702</v>
      </c>
      <c r="AF257" t="s">
        <v>1703</v>
      </c>
      <c r="AG257" t="s">
        <v>1702</v>
      </c>
      <c r="AI257" t="s">
        <v>30</v>
      </c>
      <c r="AJ257" t="s">
        <v>1636</v>
      </c>
      <c r="AK257" t="s">
        <v>1637</v>
      </c>
      <c r="AL257" s="4">
        <v>10</v>
      </c>
      <c r="AM257" t="s">
        <v>185</v>
      </c>
      <c r="AN257">
        <v>10</v>
      </c>
      <c r="AO257" t="s">
        <v>1665</v>
      </c>
      <c r="AP257" t="s">
        <v>1639</v>
      </c>
      <c r="AQ257" t="s">
        <v>1640</v>
      </c>
      <c r="AR257" t="s">
        <v>1641</v>
      </c>
      <c r="AS257">
        <v>1</v>
      </c>
      <c r="AT257">
        <v>0</v>
      </c>
      <c r="AU257">
        <v>0</v>
      </c>
      <c r="AV257">
        <v>1</v>
      </c>
      <c r="AW257">
        <v>0</v>
      </c>
      <c r="AX257">
        <v>0</v>
      </c>
      <c r="AY257" t="s">
        <v>1642</v>
      </c>
    </row>
    <row r="258" spans="1:51">
      <c r="A258" t="s">
        <v>509</v>
      </c>
      <c r="B258" t="s">
        <v>539</v>
      </c>
      <c r="C258" t="s">
        <v>511</v>
      </c>
      <c r="D258" t="s">
        <v>528</v>
      </c>
      <c r="E258" t="s">
        <v>96</v>
      </c>
      <c r="F258">
        <v>20</v>
      </c>
      <c r="G258" t="s">
        <v>185</v>
      </c>
      <c r="H258" t="s">
        <v>84</v>
      </c>
      <c r="I258" t="s">
        <v>85</v>
      </c>
      <c r="J258" t="s">
        <v>513</v>
      </c>
      <c r="K258" t="s">
        <v>29</v>
      </c>
      <c r="L258" t="s">
        <v>30</v>
      </c>
      <c r="M258" t="s">
        <v>188</v>
      </c>
      <c r="N258" s="7">
        <v>4</v>
      </c>
      <c r="O258" s="7">
        <v>0.3</v>
      </c>
      <c r="P258" s="7">
        <v>4</v>
      </c>
      <c r="Q258" s="7">
        <v>6</v>
      </c>
      <c r="R258" s="7">
        <v>0.5</v>
      </c>
      <c r="S258" s="7">
        <v>4</v>
      </c>
      <c r="T258" s="7">
        <v>0.6</v>
      </c>
      <c r="U258" s="7">
        <v>1</v>
      </c>
      <c r="V258" s="7">
        <v>0.40546510810816438</v>
      </c>
      <c r="W258" s="7">
        <v>1.2569444444444444E-2</v>
      </c>
      <c r="X258" t="s">
        <v>514</v>
      </c>
      <c r="Y258" t="s">
        <v>89</v>
      </c>
      <c r="Z258" t="s">
        <v>515</v>
      </c>
      <c r="AA258" t="s">
        <v>538</v>
      </c>
      <c r="AB258" t="s">
        <v>92</v>
      </c>
      <c r="AC258" t="s">
        <v>509</v>
      </c>
      <c r="AD258" t="s">
        <v>509</v>
      </c>
      <c r="AE258" t="s">
        <v>1702</v>
      </c>
      <c r="AF258" t="s">
        <v>1704</v>
      </c>
      <c r="AG258" t="s">
        <v>1702</v>
      </c>
      <c r="AI258" t="s">
        <v>30</v>
      </c>
      <c r="AJ258" t="s">
        <v>1636</v>
      </c>
      <c r="AK258" t="s">
        <v>1637</v>
      </c>
      <c r="AL258" s="4">
        <v>20</v>
      </c>
      <c r="AM258" t="s">
        <v>185</v>
      </c>
      <c r="AN258">
        <v>20</v>
      </c>
      <c r="AO258" t="s">
        <v>1665</v>
      </c>
      <c r="AP258" t="s">
        <v>1639</v>
      </c>
      <c r="AQ258" t="s">
        <v>1640</v>
      </c>
      <c r="AR258" t="s">
        <v>1641</v>
      </c>
      <c r="AS258">
        <v>1</v>
      </c>
      <c r="AT258">
        <v>0</v>
      </c>
      <c r="AU258">
        <v>0</v>
      </c>
      <c r="AV258">
        <v>1</v>
      </c>
      <c r="AW258">
        <v>0</v>
      </c>
      <c r="AX258">
        <v>0</v>
      </c>
      <c r="AY258" t="s">
        <v>1642</v>
      </c>
    </row>
    <row r="259" spans="1:51">
      <c r="A259" t="s">
        <v>540</v>
      </c>
      <c r="B259" t="s">
        <v>541</v>
      </c>
      <c r="C259" t="s">
        <v>542</v>
      </c>
      <c r="D259" t="s">
        <v>543</v>
      </c>
      <c r="E259" t="s">
        <v>544</v>
      </c>
      <c r="F259" t="s">
        <v>545</v>
      </c>
      <c r="G259" t="s">
        <v>546</v>
      </c>
      <c r="H259" t="s">
        <v>84</v>
      </c>
      <c r="I259" t="s">
        <v>85</v>
      </c>
      <c r="J259" t="s">
        <v>547</v>
      </c>
      <c r="K259" t="s">
        <v>149</v>
      </c>
      <c r="L259" t="s">
        <v>548</v>
      </c>
      <c r="M259" t="s">
        <v>549</v>
      </c>
      <c r="N259" s="7">
        <v>3.65</v>
      </c>
      <c r="O259" s="7">
        <v>0.15</v>
      </c>
      <c r="P259" s="7">
        <v>4</v>
      </c>
      <c r="Q259" s="7">
        <v>4.3</v>
      </c>
      <c r="R259" s="7">
        <v>0.2</v>
      </c>
      <c r="S259" s="7">
        <v>4</v>
      </c>
      <c r="T259" s="7">
        <v>0.3</v>
      </c>
      <c r="U259" s="7">
        <v>0.4</v>
      </c>
      <c r="V259" s="7">
        <v>0.16388785510511664</v>
      </c>
      <c r="W259" s="7">
        <v>3.8522037392266025E-3</v>
      </c>
      <c r="X259" t="s">
        <v>550</v>
      </c>
      <c r="Y259" t="s">
        <v>89</v>
      </c>
      <c r="Z259" t="s">
        <v>515</v>
      </c>
      <c r="AA259" t="s">
        <v>551</v>
      </c>
      <c r="AB259" t="s">
        <v>92</v>
      </c>
      <c r="AC259" t="s">
        <v>540</v>
      </c>
      <c r="AD259" t="s">
        <v>540</v>
      </c>
      <c r="AE259" t="s">
        <v>1705</v>
      </c>
      <c r="AF259" t="s">
        <v>1706</v>
      </c>
      <c r="AG259" t="s">
        <v>1705</v>
      </c>
      <c r="AI259" t="s">
        <v>42</v>
      </c>
      <c r="AJ259" t="s">
        <v>737</v>
      </c>
      <c r="AK259" t="s">
        <v>1637</v>
      </c>
      <c r="AL259" s="4" t="s">
        <v>545</v>
      </c>
      <c r="AM259" t="s">
        <v>546</v>
      </c>
      <c r="AO259" t="s">
        <v>1647</v>
      </c>
      <c r="AP259" t="s">
        <v>1639</v>
      </c>
      <c r="AQ259" t="s">
        <v>1640</v>
      </c>
      <c r="AR259" t="s">
        <v>1641</v>
      </c>
      <c r="AS259">
        <v>1</v>
      </c>
      <c r="AT259">
        <v>0</v>
      </c>
      <c r="AU259">
        <v>0</v>
      </c>
      <c r="AV259">
        <v>1</v>
      </c>
      <c r="AW259">
        <v>0</v>
      </c>
      <c r="AX259">
        <v>0</v>
      </c>
      <c r="AY259" t="s">
        <v>1642</v>
      </c>
    </row>
    <row r="260" spans="1:51">
      <c r="A260" t="s">
        <v>540</v>
      </c>
      <c r="B260" t="s">
        <v>552</v>
      </c>
      <c r="C260" t="s">
        <v>542</v>
      </c>
      <c r="D260" t="s">
        <v>543</v>
      </c>
      <c r="E260" t="s">
        <v>553</v>
      </c>
      <c r="F260" t="s">
        <v>545</v>
      </c>
      <c r="G260" t="s">
        <v>546</v>
      </c>
      <c r="H260" t="s">
        <v>84</v>
      </c>
      <c r="I260" t="s">
        <v>85</v>
      </c>
      <c r="J260" t="s">
        <v>547</v>
      </c>
      <c r="K260" t="s">
        <v>149</v>
      </c>
      <c r="L260" t="s">
        <v>548</v>
      </c>
      <c r="M260" t="s">
        <v>549</v>
      </c>
      <c r="N260" s="7">
        <v>3.65</v>
      </c>
      <c r="O260" s="7">
        <v>0.15</v>
      </c>
      <c r="P260" s="7">
        <v>4</v>
      </c>
      <c r="Q260" s="7">
        <v>4</v>
      </c>
      <c r="R260" s="7">
        <v>0.2</v>
      </c>
      <c r="S260" s="7">
        <v>4</v>
      </c>
      <c r="T260" s="7">
        <v>0.3</v>
      </c>
      <c r="U260" s="7">
        <v>0.4</v>
      </c>
      <c r="V260" s="7">
        <v>9.1567193525490434E-2</v>
      </c>
      <c r="W260" s="7">
        <v>4.1888722086695449E-3</v>
      </c>
      <c r="X260" t="s">
        <v>550</v>
      </c>
      <c r="Y260" t="s">
        <v>89</v>
      </c>
      <c r="Z260" t="s">
        <v>515</v>
      </c>
      <c r="AA260" t="s">
        <v>551</v>
      </c>
      <c r="AB260" t="s">
        <v>92</v>
      </c>
      <c r="AC260" t="s">
        <v>540</v>
      </c>
      <c r="AD260" t="s">
        <v>540</v>
      </c>
      <c r="AE260" t="s">
        <v>1705</v>
      </c>
      <c r="AF260" t="s">
        <v>1707</v>
      </c>
      <c r="AG260" t="s">
        <v>1705</v>
      </c>
      <c r="AI260" t="s">
        <v>42</v>
      </c>
      <c r="AJ260" t="s">
        <v>737</v>
      </c>
      <c r="AK260" t="s">
        <v>1637</v>
      </c>
      <c r="AL260" s="4" t="s">
        <v>545</v>
      </c>
      <c r="AM260" t="s">
        <v>546</v>
      </c>
      <c r="AO260" t="s">
        <v>1647</v>
      </c>
      <c r="AP260" t="s">
        <v>1639</v>
      </c>
      <c r="AQ260" t="s">
        <v>1640</v>
      </c>
      <c r="AR260" t="s">
        <v>1641</v>
      </c>
      <c r="AS260">
        <v>1</v>
      </c>
      <c r="AT260">
        <v>0</v>
      </c>
      <c r="AU260">
        <v>0</v>
      </c>
      <c r="AV260">
        <v>1</v>
      </c>
      <c r="AW260">
        <v>0</v>
      </c>
      <c r="AX260">
        <v>0</v>
      </c>
      <c r="AY260" t="s">
        <v>1642</v>
      </c>
    </row>
    <row r="261" spans="1:51">
      <c r="A261" t="s">
        <v>540</v>
      </c>
      <c r="B261" t="s">
        <v>554</v>
      </c>
      <c r="C261" t="s">
        <v>542</v>
      </c>
      <c r="D261" t="s">
        <v>543</v>
      </c>
      <c r="E261" t="s">
        <v>82</v>
      </c>
      <c r="F261" t="s">
        <v>545</v>
      </c>
      <c r="G261" t="s">
        <v>546</v>
      </c>
      <c r="H261" t="s">
        <v>84</v>
      </c>
      <c r="I261" t="s">
        <v>85</v>
      </c>
      <c r="J261" t="s">
        <v>547</v>
      </c>
      <c r="K261" t="s">
        <v>149</v>
      </c>
      <c r="L261" t="s">
        <v>548</v>
      </c>
      <c r="M261" t="s">
        <v>549</v>
      </c>
      <c r="N261" s="7">
        <v>3.65</v>
      </c>
      <c r="O261" s="7">
        <v>0.15</v>
      </c>
      <c r="P261" s="7">
        <v>4</v>
      </c>
      <c r="Q261" s="7">
        <v>3.55</v>
      </c>
      <c r="R261" s="7">
        <v>0.12</v>
      </c>
      <c r="S261" s="7">
        <v>4</v>
      </c>
      <c r="T261" s="7">
        <v>0.3</v>
      </c>
      <c r="U261" s="7">
        <v>0.24</v>
      </c>
      <c r="V261" s="7">
        <v>-2.7779564107075706E-2</v>
      </c>
      <c r="W261" s="7">
        <v>2.8315026391396887E-3</v>
      </c>
      <c r="X261" t="s">
        <v>550</v>
      </c>
      <c r="Y261" t="s">
        <v>89</v>
      </c>
      <c r="Z261" t="s">
        <v>515</v>
      </c>
      <c r="AA261" t="s">
        <v>551</v>
      </c>
      <c r="AB261" t="s">
        <v>92</v>
      </c>
      <c r="AC261" t="s">
        <v>540</v>
      </c>
      <c r="AD261" t="s">
        <v>540</v>
      </c>
      <c r="AE261" t="s">
        <v>1705</v>
      </c>
      <c r="AF261" t="s">
        <v>1708</v>
      </c>
      <c r="AG261" t="s">
        <v>1705</v>
      </c>
      <c r="AI261" t="s">
        <v>42</v>
      </c>
      <c r="AJ261" t="s">
        <v>737</v>
      </c>
      <c r="AK261" t="s">
        <v>1637</v>
      </c>
      <c r="AL261" s="4" t="s">
        <v>545</v>
      </c>
      <c r="AM261" t="s">
        <v>546</v>
      </c>
      <c r="AO261" t="s">
        <v>1647</v>
      </c>
      <c r="AP261" t="s">
        <v>1639</v>
      </c>
      <c r="AQ261" t="s">
        <v>1640</v>
      </c>
      <c r="AR261" t="s">
        <v>1641</v>
      </c>
      <c r="AS261">
        <v>1</v>
      </c>
      <c r="AT261">
        <v>0</v>
      </c>
      <c r="AU261">
        <v>0</v>
      </c>
      <c r="AV261">
        <v>1</v>
      </c>
      <c r="AW261">
        <v>0</v>
      </c>
      <c r="AX261">
        <v>0</v>
      </c>
      <c r="AY261" t="s">
        <v>1642</v>
      </c>
    </row>
    <row r="262" spans="1:51">
      <c r="A262" t="s">
        <v>540</v>
      </c>
      <c r="B262" t="s">
        <v>555</v>
      </c>
      <c r="C262" t="s">
        <v>542</v>
      </c>
      <c r="D262" t="s">
        <v>543</v>
      </c>
      <c r="E262" t="s">
        <v>421</v>
      </c>
      <c r="F262" t="s">
        <v>545</v>
      </c>
      <c r="G262" t="s">
        <v>546</v>
      </c>
      <c r="H262" t="s">
        <v>84</v>
      </c>
      <c r="I262" t="s">
        <v>85</v>
      </c>
      <c r="J262" t="s">
        <v>547</v>
      </c>
      <c r="K262" t="s">
        <v>149</v>
      </c>
      <c r="L262" t="s">
        <v>548</v>
      </c>
      <c r="M262" t="s">
        <v>549</v>
      </c>
      <c r="N262" s="7">
        <v>3.65</v>
      </c>
      <c r="O262" s="7">
        <v>0.15</v>
      </c>
      <c r="P262" s="7">
        <v>4</v>
      </c>
      <c r="Q262" s="7">
        <v>3.25</v>
      </c>
      <c r="R262" s="7">
        <v>0.12</v>
      </c>
      <c r="S262" s="7">
        <v>4</v>
      </c>
      <c r="T262" s="7">
        <v>0.3</v>
      </c>
      <c r="U262" s="7">
        <v>0.24</v>
      </c>
      <c r="V262" s="7">
        <v>-0.11607217125275401</v>
      </c>
      <c r="W262" s="7">
        <v>3.0521858181369998E-3</v>
      </c>
      <c r="X262" t="s">
        <v>550</v>
      </c>
      <c r="Y262" t="s">
        <v>89</v>
      </c>
      <c r="Z262" t="s">
        <v>515</v>
      </c>
      <c r="AA262" t="s">
        <v>551</v>
      </c>
      <c r="AB262" t="s">
        <v>92</v>
      </c>
      <c r="AC262" t="s">
        <v>540</v>
      </c>
      <c r="AD262" t="s">
        <v>540</v>
      </c>
      <c r="AE262" t="s">
        <v>1705</v>
      </c>
      <c r="AF262" t="s">
        <v>1709</v>
      </c>
      <c r="AG262" t="s">
        <v>1705</v>
      </c>
      <c r="AI262" t="s">
        <v>42</v>
      </c>
      <c r="AJ262" t="s">
        <v>737</v>
      </c>
      <c r="AK262" t="s">
        <v>1637</v>
      </c>
      <c r="AL262" s="4" t="s">
        <v>545</v>
      </c>
      <c r="AM262" t="s">
        <v>546</v>
      </c>
      <c r="AO262" t="s">
        <v>1647</v>
      </c>
      <c r="AP262" t="s">
        <v>1639</v>
      </c>
      <c r="AQ262" t="s">
        <v>1640</v>
      </c>
      <c r="AR262" t="s">
        <v>1641</v>
      </c>
      <c r="AS262">
        <v>1</v>
      </c>
      <c r="AT262">
        <v>0</v>
      </c>
      <c r="AU262">
        <v>0</v>
      </c>
      <c r="AV262">
        <v>1</v>
      </c>
      <c r="AW262">
        <v>0</v>
      </c>
      <c r="AX262">
        <v>0</v>
      </c>
      <c r="AY262" t="s">
        <v>1642</v>
      </c>
    </row>
    <row r="263" spans="1:51">
      <c r="A263" t="s">
        <v>540</v>
      </c>
      <c r="B263" t="s">
        <v>556</v>
      </c>
      <c r="C263" t="s">
        <v>542</v>
      </c>
      <c r="D263" t="s">
        <v>543</v>
      </c>
      <c r="E263" t="s">
        <v>557</v>
      </c>
      <c r="F263" t="s">
        <v>545</v>
      </c>
      <c r="G263" t="s">
        <v>546</v>
      </c>
      <c r="H263" t="s">
        <v>84</v>
      </c>
      <c r="I263" t="s">
        <v>85</v>
      </c>
      <c r="J263" t="s">
        <v>547</v>
      </c>
      <c r="K263" t="s">
        <v>149</v>
      </c>
      <c r="L263" t="s">
        <v>548</v>
      </c>
      <c r="M263" t="s">
        <v>549</v>
      </c>
      <c r="N263" s="7">
        <v>3.65</v>
      </c>
      <c r="O263" s="7">
        <v>0.15</v>
      </c>
      <c r="P263" s="7">
        <v>4</v>
      </c>
      <c r="Q263" s="7">
        <v>3.85</v>
      </c>
      <c r="R263" s="7">
        <v>0.18</v>
      </c>
      <c r="S263" s="7">
        <v>4</v>
      </c>
      <c r="T263" s="7">
        <v>0.3</v>
      </c>
      <c r="U263" s="7">
        <v>0.36</v>
      </c>
      <c r="V263" s="7">
        <v>5.3345980705292714E-2</v>
      </c>
      <c r="W263" s="7">
        <v>3.8747382906395215E-3</v>
      </c>
      <c r="X263" t="s">
        <v>550</v>
      </c>
      <c r="Y263" t="s">
        <v>89</v>
      </c>
      <c r="Z263" t="s">
        <v>515</v>
      </c>
      <c r="AA263" t="s">
        <v>551</v>
      </c>
      <c r="AB263" t="s">
        <v>92</v>
      </c>
      <c r="AC263" t="s">
        <v>540</v>
      </c>
      <c r="AD263" t="s">
        <v>540</v>
      </c>
      <c r="AE263" t="s">
        <v>1705</v>
      </c>
      <c r="AF263" t="s">
        <v>1710</v>
      </c>
      <c r="AG263" t="s">
        <v>1705</v>
      </c>
      <c r="AI263" t="s">
        <v>42</v>
      </c>
      <c r="AJ263" t="s">
        <v>737</v>
      </c>
      <c r="AK263" t="s">
        <v>1637</v>
      </c>
      <c r="AL263" s="4" t="s">
        <v>545</v>
      </c>
      <c r="AM263" t="s">
        <v>546</v>
      </c>
      <c r="AO263" t="s">
        <v>1647</v>
      </c>
      <c r="AP263" t="s">
        <v>1639</v>
      </c>
      <c r="AQ263" t="s">
        <v>1640</v>
      </c>
      <c r="AR263" t="s">
        <v>1641</v>
      </c>
      <c r="AS263">
        <v>1</v>
      </c>
      <c r="AT263">
        <v>0</v>
      </c>
      <c r="AU263">
        <v>0</v>
      </c>
      <c r="AV263">
        <v>1</v>
      </c>
      <c r="AW263">
        <v>0</v>
      </c>
      <c r="AX263">
        <v>0</v>
      </c>
      <c r="AY263" t="s">
        <v>1642</v>
      </c>
    </row>
    <row r="264" spans="1:51">
      <c r="A264" t="s">
        <v>540</v>
      </c>
      <c r="B264" t="s">
        <v>558</v>
      </c>
      <c r="C264" t="s">
        <v>542</v>
      </c>
      <c r="D264" t="s">
        <v>543</v>
      </c>
      <c r="E264" t="s">
        <v>96</v>
      </c>
      <c r="F264" t="s">
        <v>545</v>
      </c>
      <c r="G264" t="s">
        <v>546</v>
      </c>
      <c r="H264" t="s">
        <v>84</v>
      </c>
      <c r="I264" t="s">
        <v>85</v>
      </c>
      <c r="J264" t="s">
        <v>547</v>
      </c>
      <c r="K264" t="s">
        <v>149</v>
      </c>
      <c r="L264" t="s">
        <v>548</v>
      </c>
      <c r="M264" t="s">
        <v>549</v>
      </c>
      <c r="N264" s="7">
        <v>3.65</v>
      </c>
      <c r="O264" s="7">
        <v>0.15</v>
      </c>
      <c r="P264" s="7">
        <v>4</v>
      </c>
      <c r="Q264" s="7">
        <v>3.2</v>
      </c>
      <c r="R264" s="7">
        <v>0.15</v>
      </c>
      <c r="S264" s="7">
        <v>4</v>
      </c>
      <c r="T264" s="7">
        <v>0.3</v>
      </c>
      <c r="U264" s="7">
        <v>0.3</v>
      </c>
      <c r="V264" s="7">
        <v>-0.13157635778871921</v>
      </c>
      <c r="W264" s="7">
        <v>3.8861378336695436E-3</v>
      </c>
      <c r="X264" t="s">
        <v>550</v>
      </c>
      <c r="Y264" t="s">
        <v>89</v>
      </c>
      <c r="Z264" t="s">
        <v>515</v>
      </c>
      <c r="AA264" t="s">
        <v>551</v>
      </c>
      <c r="AB264" t="s">
        <v>92</v>
      </c>
      <c r="AC264" t="s">
        <v>540</v>
      </c>
      <c r="AD264" t="s">
        <v>540</v>
      </c>
      <c r="AE264" t="s">
        <v>1705</v>
      </c>
      <c r="AF264" t="s">
        <v>1711</v>
      </c>
      <c r="AG264" t="s">
        <v>1705</v>
      </c>
      <c r="AI264" t="s">
        <v>42</v>
      </c>
      <c r="AJ264" t="s">
        <v>737</v>
      </c>
      <c r="AK264" t="s">
        <v>1637</v>
      </c>
      <c r="AL264" s="4" t="s">
        <v>545</v>
      </c>
      <c r="AM264" t="s">
        <v>546</v>
      </c>
      <c r="AO264" t="s">
        <v>1647</v>
      </c>
      <c r="AP264" t="s">
        <v>1639</v>
      </c>
      <c r="AQ264" t="s">
        <v>1640</v>
      </c>
      <c r="AR264" t="s">
        <v>1641</v>
      </c>
      <c r="AS264">
        <v>1</v>
      </c>
      <c r="AT264">
        <v>0</v>
      </c>
      <c r="AU264">
        <v>0</v>
      </c>
      <c r="AV264">
        <v>1</v>
      </c>
      <c r="AW264">
        <v>0</v>
      </c>
      <c r="AX264">
        <v>0</v>
      </c>
      <c r="AY264" t="s">
        <v>1642</v>
      </c>
    </row>
    <row r="265" spans="1:51">
      <c r="A265" t="s">
        <v>540</v>
      </c>
      <c r="B265" t="s">
        <v>559</v>
      </c>
      <c r="C265" t="s">
        <v>542</v>
      </c>
      <c r="D265" t="s">
        <v>543</v>
      </c>
      <c r="E265" t="s">
        <v>560</v>
      </c>
      <c r="F265" t="s">
        <v>545</v>
      </c>
      <c r="G265" t="s">
        <v>546</v>
      </c>
      <c r="H265" t="s">
        <v>84</v>
      </c>
      <c r="I265" t="s">
        <v>85</v>
      </c>
      <c r="J265" t="s">
        <v>547</v>
      </c>
      <c r="K265" t="s">
        <v>149</v>
      </c>
      <c r="L265" t="s">
        <v>548</v>
      </c>
      <c r="M265" t="s">
        <v>549</v>
      </c>
      <c r="N265" s="7">
        <v>3.65</v>
      </c>
      <c r="O265" s="7">
        <v>0.15</v>
      </c>
      <c r="P265" s="7">
        <v>4</v>
      </c>
      <c r="Q265" s="7">
        <v>3.15</v>
      </c>
      <c r="R265" s="7">
        <v>0.18</v>
      </c>
      <c r="S265" s="7">
        <v>4</v>
      </c>
      <c r="T265" s="7">
        <v>0.3</v>
      </c>
      <c r="U265" s="7">
        <v>0.36</v>
      </c>
      <c r="V265" s="7">
        <v>-0.14732471475685843</v>
      </c>
      <c r="W265" s="7">
        <v>4.9541783311185233E-3</v>
      </c>
      <c r="X265" t="s">
        <v>550</v>
      </c>
      <c r="Y265" t="s">
        <v>89</v>
      </c>
      <c r="Z265" t="s">
        <v>515</v>
      </c>
      <c r="AA265" t="s">
        <v>551</v>
      </c>
      <c r="AB265" t="s">
        <v>92</v>
      </c>
      <c r="AC265" t="s">
        <v>540</v>
      </c>
      <c r="AD265" t="s">
        <v>540</v>
      </c>
      <c r="AE265" t="s">
        <v>1705</v>
      </c>
      <c r="AF265" t="s">
        <v>1712</v>
      </c>
      <c r="AG265" t="s">
        <v>1705</v>
      </c>
      <c r="AI265" t="s">
        <v>42</v>
      </c>
      <c r="AJ265" t="s">
        <v>737</v>
      </c>
      <c r="AK265" t="s">
        <v>1637</v>
      </c>
      <c r="AL265" s="4" t="s">
        <v>545</v>
      </c>
      <c r="AM265" t="s">
        <v>546</v>
      </c>
      <c r="AO265" t="s">
        <v>1647</v>
      </c>
      <c r="AP265" t="s">
        <v>1639</v>
      </c>
      <c r="AQ265" t="s">
        <v>1640</v>
      </c>
      <c r="AR265" t="s">
        <v>1641</v>
      </c>
      <c r="AS265">
        <v>1</v>
      </c>
      <c r="AT265">
        <v>0</v>
      </c>
      <c r="AU265">
        <v>0</v>
      </c>
      <c r="AV265">
        <v>1</v>
      </c>
      <c r="AW265">
        <v>0</v>
      </c>
      <c r="AX265">
        <v>0</v>
      </c>
      <c r="AY265" t="s">
        <v>1642</v>
      </c>
    </row>
    <row r="266" spans="1:51">
      <c r="A266" t="s">
        <v>540</v>
      </c>
      <c r="B266" t="s">
        <v>561</v>
      </c>
      <c r="C266" t="s">
        <v>542</v>
      </c>
      <c r="D266" t="s">
        <v>543</v>
      </c>
      <c r="E266" t="s">
        <v>562</v>
      </c>
      <c r="F266" t="s">
        <v>545</v>
      </c>
      <c r="G266" t="s">
        <v>546</v>
      </c>
      <c r="H266" t="s">
        <v>84</v>
      </c>
      <c r="I266" t="s">
        <v>85</v>
      </c>
      <c r="J266" t="s">
        <v>547</v>
      </c>
      <c r="K266" t="s">
        <v>149</v>
      </c>
      <c r="L266" t="s">
        <v>548</v>
      </c>
      <c r="M266" t="s">
        <v>549</v>
      </c>
      <c r="N266" s="7">
        <v>3.65</v>
      </c>
      <c r="O266" s="7">
        <v>0.15</v>
      </c>
      <c r="P266" s="7">
        <v>4</v>
      </c>
      <c r="Q266" s="7">
        <v>3.55</v>
      </c>
      <c r="R266" s="7">
        <v>0.12</v>
      </c>
      <c r="S266" s="7">
        <v>4</v>
      </c>
      <c r="T266" s="7">
        <v>0.3</v>
      </c>
      <c r="U266" s="7">
        <v>0.24</v>
      </c>
      <c r="V266" s="7">
        <v>-2.7779564107075706E-2</v>
      </c>
      <c r="W266" s="7">
        <v>2.8315026391396887E-3</v>
      </c>
      <c r="X266" t="s">
        <v>550</v>
      </c>
      <c r="Y266" t="s">
        <v>89</v>
      </c>
      <c r="Z266" t="s">
        <v>515</v>
      </c>
      <c r="AA266" t="s">
        <v>551</v>
      </c>
      <c r="AB266" t="s">
        <v>92</v>
      </c>
      <c r="AC266" t="s">
        <v>540</v>
      </c>
      <c r="AD266" t="s">
        <v>540</v>
      </c>
      <c r="AE266" t="s">
        <v>1705</v>
      </c>
      <c r="AF266" t="s">
        <v>1713</v>
      </c>
      <c r="AG266" t="s">
        <v>1705</v>
      </c>
      <c r="AI266" t="s">
        <v>42</v>
      </c>
      <c r="AJ266" t="s">
        <v>737</v>
      </c>
      <c r="AK266" t="s">
        <v>1637</v>
      </c>
      <c r="AL266" s="4" t="s">
        <v>545</v>
      </c>
      <c r="AM266" t="s">
        <v>546</v>
      </c>
      <c r="AO266" t="s">
        <v>1647</v>
      </c>
      <c r="AP266" t="s">
        <v>1639</v>
      </c>
      <c r="AQ266" t="s">
        <v>1640</v>
      </c>
      <c r="AR266" t="s">
        <v>1641</v>
      </c>
      <c r="AS266">
        <v>1</v>
      </c>
      <c r="AT266">
        <v>0</v>
      </c>
      <c r="AU266">
        <v>0</v>
      </c>
      <c r="AV266">
        <v>1</v>
      </c>
      <c r="AW266">
        <v>0</v>
      </c>
      <c r="AX266">
        <v>0</v>
      </c>
      <c r="AY266" t="s">
        <v>1642</v>
      </c>
    </row>
    <row r="267" spans="1:51">
      <c r="A267" t="s">
        <v>540</v>
      </c>
      <c r="B267" t="s">
        <v>563</v>
      </c>
      <c r="C267" t="s">
        <v>542</v>
      </c>
      <c r="D267" t="s">
        <v>543</v>
      </c>
      <c r="E267" t="s">
        <v>544</v>
      </c>
      <c r="F267" t="s">
        <v>545</v>
      </c>
      <c r="G267" t="s">
        <v>546</v>
      </c>
      <c r="H267" t="s">
        <v>84</v>
      </c>
      <c r="I267" t="s">
        <v>85</v>
      </c>
      <c r="J267" t="s">
        <v>547</v>
      </c>
      <c r="K267" t="s">
        <v>149</v>
      </c>
      <c r="L267" t="s">
        <v>40</v>
      </c>
      <c r="M267" t="s">
        <v>549</v>
      </c>
      <c r="N267" s="7">
        <v>4.2</v>
      </c>
      <c r="O267" s="7">
        <v>0.12</v>
      </c>
      <c r="P267" s="7">
        <v>4</v>
      </c>
      <c r="Q267" s="7">
        <v>3.2</v>
      </c>
      <c r="R267" s="7">
        <v>0.08</v>
      </c>
      <c r="S267" s="7">
        <v>4</v>
      </c>
      <c r="T267" s="7">
        <v>0.24</v>
      </c>
      <c r="U267" s="7">
        <v>0.16</v>
      </c>
      <c r="V267" s="7">
        <v>-0.27193371548364181</v>
      </c>
      <c r="W267" s="7">
        <v>1.4413265306122448E-3</v>
      </c>
      <c r="X267" t="s">
        <v>550</v>
      </c>
      <c r="Y267" t="s">
        <v>89</v>
      </c>
      <c r="Z267" t="s">
        <v>515</v>
      </c>
      <c r="AA267" t="s">
        <v>564</v>
      </c>
      <c r="AB267" t="s">
        <v>92</v>
      </c>
      <c r="AC267" t="s">
        <v>540</v>
      </c>
      <c r="AD267" t="s">
        <v>540</v>
      </c>
      <c r="AE267" t="s">
        <v>1705</v>
      </c>
      <c r="AF267" t="s">
        <v>1706</v>
      </c>
      <c r="AG267" t="s">
        <v>1705</v>
      </c>
      <c r="AI267" t="s">
        <v>40</v>
      </c>
      <c r="AJ267" t="s">
        <v>1636</v>
      </c>
      <c r="AK267" t="s">
        <v>1637</v>
      </c>
      <c r="AL267" s="4" t="s">
        <v>545</v>
      </c>
      <c r="AM267" t="s">
        <v>546</v>
      </c>
      <c r="AO267" t="s">
        <v>1647</v>
      </c>
      <c r="AP267" t="s">
        <v>1639</v>
      </c>
      <c r="AQ267" t="s">
        <v>1640</v>
      </c>
      <c r="AR267" t="s">
        <v>1641</v>
      </c>
      <c r="AS267">
        <v>1</v>
      </c>
      <c r="AT267">
        <v>0</v>
      </c>
      <c r="AU267">
        <v>0</v>
      </c>
      <c r="AV267">
        <v>1</v>
      </c>
      <c r="AW267">
        <v>0</v>
      </c>
      <c r="AX267">
        <v>0</v>
      </c>
      <c r="AY267" t="s">
        <v>1642</v>
      </c>
    </row>
    <row r="268" spans="1:51">
      <c r="A268" t="s">
        <v>540</v>
      </c>
      <c r="B268" t="s">
        <v>565</v>
      </c>
      <c r="C268" t="s">
        <v>542</v>
      </c>
      <c r="D268" t="s">
        <v>543</v>
      </c>
      <c r="E268" t="s">
        <v>553</v>
      </c>
      <c r="F268" t="s">
        <v>545</v>
      </c>
      <c r="G268" t="s">
        <v>546</v>
      </c>
      <c r="H268" t="s">
        <v>84</v>
      </c>
      <c r="I268" t="s">
        <v>85</v>
      </c>
      <c r="J268" t="s">
        <v>547</v>
      </c>
      <c r="K268" t="s">
        <v>149</v>
      </c>
      <c r="L268" t="s">
        <v>40</v>
      </c>
      <c r="M268" t="s">
        <v>549</v>
      </c>
      <c r="N268" s="7">
        <v>4.2</v>
      </c>
      <c r="O268" s="7">
        <v>0.12</v>
      </c>
      <c r="P268" s="7">
        <v>4</v>
      </c>
      <c r="Q268" s="7">
        <v>3.65</v>
      </c>
      <c r="R268" s="7">
        <v>0.1</v>
      </c>
      <c r="S268" s="7">
        <v>4</v>
      </c>
      <c r="T268" s="7">
        <v>0.24</v>
      </c>
      <c r="U268" s="7">
        <v>0.2</v>
      </c>
      <c r="V268" s="7">
        <v>-0.14035735769492258</v>
      </c>
      <c r="W268" s="7">
        <v>1.5669364011320422E-3</v>
      </c>
      <c r="X268" t="s">
        <v>550</v>
      </c>
      <c r="Y268" t="s">
        <v>89</v>
      </c>
      <c r="Z268" t="s">
        <v>515</v>
      </c>
      <c r="AA268" t="s">
        <v>564</v>
      </c>
      <c r="AB268" t="s">
        <v>92</v>
      </c>
      <c r="AC268" t="s">
        <v>540</v>
      </c>
      <c r="AD268" t="s">
        <v>540</v>
      </c>
      <c r="AE268" t="s">
        <v>1705</v>
      </c>
      <c r="AF268" t="s">
        <v>1707</v>
      </c>
      <c r="AG268" t="s">
        <v>1705</v>
      </c>
      <c r="AI268" t="s">
        <v>40</v>
      </c>
      <c r="AJ268" t="s">
        <v>1636</v>
      </c>
      <c r="AK268" t="s">
        <v>1637</v>
      </c>
      <c r="AL268" s="4" t="s">
        <v>545</v>
      </c>
      <c r="AM268" t="s">
        <v>546</v>
      </c>
      <c r="AO268" t="s">
        <v>1647</v>
      </c>
      <c r="AP268" t="s">
        <v>1639</v>
      </c>
      <c r="AQ268" t="s">
        <v>1640</v>
      </c>
      <c r="AR268" t="s">
        <v>1641</v>
      </c>
      <c r="AS268">
        <v>1</v>
      </c>
      <c r="AT268">
        <v>0</v>
      </c>
      <c r="AU268">
        <v>0</v>
      </c>
      <c r="AV268">
        <v>1</v>
      </c>
      <c r="AW268">
        <v>0</v>
      </c>
      <c r="AX268">
        <v>0</v>
      </c>
      <c r="AY268" t="s">
        <v>1642</v>
      </c>
    </row>
    <row r="269" spans="1:51">
      <c r="A269" t="s">
        <v>540</v>
      </c>
      <c r="B269" t="s">
        <v>566</v>
      </c>
      <c r="C269" t="s">
        <v>542</v>
      </c>
      <c r="D269" t="s">
        <v>543</v>
      </c>
      <c r="E269" t="s">
        <v>82</v>
      </c>
      <c r="F269" t="s">
        <v>545</v>
      </c>
      <c r="G269" t="s">
        <v>546</v>
      </c>
      <c r="H269" t="s">
        <v>84</v>
      </c>
      <c r="I269" t="s">
        <v>85</v>
      </c>
      <c r="J269" t="s">
        <v>547</v>
      </c>
      <c r="K269" t="s">
        <v>149</v>
      </c>
      <c r="L269" t="s">
        <v>40</v>
      </c>
      <c r="M269" t="s">
        <v>549</v>
      </c>
      <c r="N269" s="7">
        <v>4.2</v>
      </c>
      <c r="O269" s="7">
        <v>0.12</v>
      </c>
      <c r="P269" s="7">
        <v>4</v>
      </c>
      <c r="Q269" s="7">
        <v>3.6</v>
      </c>
      <c r="R269" s="7">
        <v>0.1</v>
      </c>
      <c r="S269" s="7">
        <v>4</v>
      </c>
      <c r="T269" s="7">
        <v>0.24</v>
      </c>
      <c r="U269" s="7">
        <v>0.2</v>
      </c>
      <c r="V269" s="7">
        <v>-0.15415067982725836</v>
      </c>
      <c r="W269" s="7">
        <v>1.5879314688838498E-3</v>
      </c>
      <c r="X269" t="s">
        <v>550</v>
      </c>
      <c r="Y269" t="s">
        <v>89</v>
      </c>
      <c r="Z269" t="s">
        <v>515</v>
      </c>
      <c r="AA269" t="s">
        <v>564</v>
      </c>
      <c r="AB269" t="s">
        <v>92</v>
      </c>
      <c r="AC269" t="s">
        <v>540</v>
      </c>
      <c r="AD269" t="s">
        <v>540</v>
      </c>
      <c r="AE269" t="s">
        <v>1705</v>
      </c>
      <c r="AF269" t="s">
        <v>1708</v>
      </c>
      <c r="AG269" t="s">
        <v>1705</v>
      </c>
      <c r="AI269" t="s">
        <v>40</v>
      </c>
      <c r="AJ269" t="s">
        <v>1636</v>
      </c>
      <c r="AK269" t="s">
        <v>1637</v>
      </c>
      <c r="AL269" s="4" t="s">
        <v>545</v>
      </c>
      <c r="AM269" t="s">
        <v>546</v>
      </c>
      <c r="AO269" t="s">
        <v>1647</v>
      </c>
      <c r="AP269" t="s">
        <v>1639</v>
      </c>
      <c r="AQ269" t="s">
        <v>1640</v>
      </c>
      <c r="AR269" t="s">
        <v>1641</v>
      </c>
      <c r="AS269">
        <v>1</v>
      </c>
      <c r="AT269">
        <v>0</v>
      </c>
      <c r="AU269">
        <v>0</v>
      </c>
      <c r="AV269">
        <v>1</v>
      </c>
      <c r="AW269">
        <v>0</v>
      </c>
      <c r="AX269">
        <v>0</v>
      </c>
      <c r="AY269" t="s">
        <v>1642</v>
      </c>
    </row>
    <row r="270" spans="1:51">
      <c r="A270" t="s">
        <v>540</v>
      </c>
      <c r="B270" t="s">
        <v>567</v>
      </c>
      <c r="C270" t="s">
        <v>542</v>
      </c>
      <c r="D270" t="s">
        <v>543</v>
      </c>
      <c r="E270" t="s">
        <v>421</v>
      </c>
      <c r="F270" t="s">
        <v>545</v>
      </c>
      <c r="G270" t="s">
        <v>546</v>
      </c>
      <c r="H270" t="s">
        <v>84</v>
      </c>
      <c r="I270" t="s">
        <v>85</v>
      </c>
      <c r="J270" t="s">
        <v>547</v>
      </c>
      <c r="K270" t="s">
        <v>149</v>
      </c>
      <c r="L270" t="s">
        <v>40</v>
      </c>
      <c r="M270" t="s">
        <v>549</v>
      </c>
      <c r="N270" s="7">
        <v>4.2</v>
      </c>
      <c r="O270" s="7">
        <v>0.12</v>
      </c>
      <c r="P270" s="7">
        <v>4</v>
      </c>
      <c r="Q270" s="7">
        <v>3.6</v>
      </c>
      <c r="R270" s="7">
        <v>0.1</v>
      </c>
      <c r="S270" s="7">
        <v>4</v>
      </c>
      <c r="T270" s="7">
        <v>0.24</v>
      </c>
      <c r="U270" s="7">
        <v>0.2</v>
      </c>
      <c r="V270" s="7">
        <v>-0.15415067982725836</v>
      </c>
      <c r="W270" s="7">
        <v>1.5879314688838498E-3</v>
      </c>
      <c r="X270" t="s">
        <v>550</v>
      </c>
      <c r="Y270" t="s">
        <v>89</v>
      </c>
      <c r="Z270" t="s">
        <v>515</v>
      </c>
      <c r="AA270" t="s">
        <v>564</v>
      </c>
      <c r="AB270" t="s">
        <v>92</v>
      </c>
      <c r="AC270" t="s">
        <v>540</v>
      </c>
      <c r="AD270" t="s">
        <v>540</v>
      </c>
      <c r="AE270" t="s">
        <v>1705</v>
      </c>
      <c r="AF270" t="s">
        <v>1709</v>
      </c>
      <c r="AG270" t="s">
        <v>1705</v>
      </c>
      <c r="AI270" t="s">
        <v>40</v>
      </c>
      <c r="AJ270" t="s">
        <v>1636</v>
      </c>
      <c r="AK270" t="s">
        <v>1637</v>
      </c>
      <c r="AL270" s="4" t="s">
        <v>545</v>
      </c>
      <c r="AM270" t="s">
        <v>546</v>
      </c>
      <c r="AO270" t="s">
        <v>1647</v>
      </c>
      <c r="AP270" t="s">
        <v>1639</v>
      </c>
      <c r="AQ270" t="s">
        <v>1640</v>
      </c>
      <c r="AR270" t="s">
        <v>1641</v>
      </c>
      <c r="AS270">
        <v>1</v>
      </c>
      <c r="AT270">
        <v>0</v>
      </c>
      <c r="AU270">
        <v>0</v>
      </c>
      <c r="AV270">
        <v>1</v>
      </c>
      <c r="AW270">
        <v>0</v>
      </c>
      <c r="AX270">
        <v>0</v>
      </c>
      <c r="AY270" t="s">
        <v>1642</v>
      </c>
    </row>
    <row r="271" spans="1:51">
      <c r="A271" t="s">
        <v>540</v>
      </c>
      <c r="B271" t="s">
        <v>568</v>
      </c>
      <c r="C271" t="s">
        <v>542</v>
      </c>
      <c r="D271" t="s">
        <v>543</v>
      </c>
      <c r="E271" t="s">
        <v>557</v>
      </c>
      <c r="F271" t="s">
        <v>545</v>
      </c>
      <c r="G271" t="s">
        <v>546</v>
      </c>
      <c r="H271" t="s">
        <v>84</v>
      </c>
      <c r="I271" t="s">
        <v>85</v>
      </c>
      <c r="J271" t="s">
        <v>547</v>
      </c>
      <c r="K271" t="s">
        <v>149</v>
      </c>
      <c r="L271" t="s">
        <v>40</v>
      </c>
      <c r="M271" t="s">
        <v>549</v>
      </c>
      <c r="N271" s="7">
        <v>4.2</v>
      </c>
      <c r="O271" s="7">
        <v>0.12</v>
      </c>
      <c r="P271" s="7">
        <v>4</v>
      </c>
      <c r="Q271" s="7">
        <v>3.7</v>
      </c>
      <c r="R271" s="7">
        <v>0.1</v>
      </c>
      <c r="S271" s="7">
        <v>4</v>
      </c>
      <c r="T271" s="7">
        <v>0.24</v>
      </c>
      <c r="U271" s="7">
        <v>0.2</v>
      </c>
      <c r="V271" s="7">
        <v>-0.1267517056391439</v>
      </c>
      <c r="W271" s="7">
        <v>1.5467867205318942E-3</v>
      </c>
      <c r="X271" t="s">
        <v>550</v>
      </c>
      <c r="Y271" t="s">
        <v>89</v>
      </c>
      <c r="Z271" t="s">
        <v>515</v>
      </c>
      <c r="AA271" t="s">
        <v>564</v>
      </c>
      <c r="AB271" t="s">
        <v>92</v>
      </c>
      <c r="AC271" t="s">
        <v>540</v>
      </c>
      <c r="AD271" t="s">
        <v>540</v>
      </c>
      <c r="AE271" t="s">
        <v>1705</v>
      </c>
      <c r="AF271" t="s">
        <v>1710</v>
      </c>
      <c r="AG271" t="s">
        <v>1705</v>
      </c>
      <c r="AI271" t="s">
        <v>40</v>
      </c>
      <c r="AJ271" t="s">
        <v>1636</v>
      </c>
      <c r="AK271" t="s">
        <v>1637</v>
      </c>
      <c r="AL271" s="4" t="s">
        <v>545</v>
      </c>
      <c r="AM271" t="s">
        <v>546</v>
      </c>
      <c r="AO271" t="s">
        <v>1647</v>
      </c>
      <c r="AP271" t="s">
        <v>1639</v>
      </c>
      <c r="AQ271" t="s">
        <v>1640</v>
      </c>
      <c r="AR271" t="s">
        <v>1641</v>
      </c>
      <c r="AS271">
        <v>1</v>
      </c>
      <c r="AT271">
        <v>0</v>
      </c>
      <c r="AU271">
        <v>0</v>
      </c>
      <c r="AV271">
        <v>1</v>
      </c>
      <c r="AW271">
        <v>0</v>
      </c>
      <c r="AX271">
        <v>0</v>
      </c>
      <c r="AY271" t="s">
        <v>1642</v>
      </c>
    </row>
    <row r="272" spans="1:51">
      <c r="A272" t="s">
        <v>540</v>
      </c>
      <c r="B272" t="s">
        <v>569</v>
      </c>
      <c r="C272" t="s">
        <v>542</v>
      </c>
      <c r="D272" t="s">
        <v>543</v>
      </c>
      <c r="E272" t="s">
        <v>96</v>
      </c>
      <c r="F272" t="s">
        <v>545</v>
      </c>
      <c r="G272" t="s">
        <v>546</v>
      </c>
      <c r="H272" t="s">
        <v>84</v>
      </c>
      <c r="I272" t="s">
        <v>85</v>
      </c>
      <c r="J272" t="s">
        <v>547</v>
      </c>
      <c r="K272" t="s">
        <v>149</v>
      </c>
      <c r="L272" t="s">
        <v>40</v>
      </c>
      <c r="M272" t="s">
        <v>549</v>
      </c>
      <c r="N272" s="7">
        <v>4.2</v>
      </c>
      <c r="O272" s="7">
        <v>0.12</v>
      </c>
      <c r="P272" s="7">
        <v>4</v>
      </c>
      <c r="Q272" s="7">
        <v>2.9</v>
      </c>
      <c r="R272" s="7">
        <v>0.1</v>
      </c>
      <c r="S272" s="7">
        <v>4</v>
      </c>
      <c r="T272" s="7">
        <v>0.24</v>
      </c>
      <c r="U272" s="7">
        <v>0.2</v>
      </c>
      <c r="V272" s="7">
        <v>-0.37037378829689427</v>
      </c>
      <c r="W272" s="7">
        <v>2.0053871727049918E-3</v>
      </c>
      <c r="X272" t="s">
        <v>550</v>
      </c>
      <c r="Y272" t="s">
        <v>89</v>
      </c>
      <c r="Z272" t="s">
        <v>515</v>
      </c>
      <c r="AA272" t="s">
        <v>564</v>
      </c>
      <c r="AB272" t="s">
        <v>92</v>
      </c>
      <c r="AC272" t="s">
        <v>540</v>
      </c>
      <c r="AD272" t="s">
        <v>540</v>
      </c>
      <c r="AE272" t="s">
        <v>1705</v>
      </c>
      <c r="AF272" t="s">
        <v>1711</v>
      </c>
      <c r="AG272" t="s">
        <v>1705</v>
      </c>
      <c r="AI272" t="s">
        <v>40</v>
      </c>
      <c r="AJ272" t="s">
        <v>1636</v>
      </c>
      <c r="AK272" t="s">
        <v>1637</v>
      </c>
      <c r="AL272" s="4" t="s">
        <v>545</v>
      </c>
      <c r="AM272" t="s">
        <v>546</v>
      </c>
      <c r="AO272" t="s">
        <v>1647</v>
      </c>
      <c r="AP272" t="s">
        <v>1639</v>
      </c>
      <c r="AQ272" t="s">
        <v>1640</v>
      </c>
      <c r="AR272" t="s">
        <v>1641</v>
      </c>
      <c r="AS272">
        <v>1</v>
      </c>
      <c r="AT272">
        <v>0</v>
      </c>
      <c r="AU272">
        <v>0</v>
      </c>
      <c r="AV272">
        <v>1</v>
      </c>
      <c r="AW272">
        <v>0</v>
      </c>
      <c r="AX272">
        <v>0</v>
      </c>
      <c r="AY272" t="s">
        <v>1642</v>
      </c>
    </row>
    <row r="273" spans="1:51">
      <c r="A273" t="s">
        <v>540</v>
      </c>
      <c r="B273" t="s">
        <v>570</v>
      </c>
      <c r="C273" t="s">
        <v>542</v>
      </c>
      <c r="D273" t="s">
        <v>543</v>
      </c>
      <c r="E273" t="s">
        <v>560</v>
      </c>
      <c r="F273" t="s">
        <v>545</v>
      </c>
      <c r="G273" t="s">
        <v>546</v>
      </c>
      <c r="H273" t="s">
        <v>84</v>
      </c>
      <c r="I273" t="s">
        <v>85</v>
      </c>
      <c r="J273" t="s">
        <v>547</v>
      </c>
      <c r="K273" t="s">
        <v>149</v>
      </c>
      <c r="L273" t="s">
        <v>40</v>
      </c>
      <c r="M273" t="s">
        <v>549</v>
      </c>
      <c r="N273" s="7">
        <v>4.2</v>
      </c>
      <c r="O273" s="7">
        <v>0.12</v>
      </c>
      <c r="P273" s="7">
        <v>4</v>
      </c>
      <c r="Q273" s="7">
        <v>3</v>
      </c>
      <c r="R273" s="7">
        <v>0.1</v>
      </c>
      <c r="S273" s="7">
        <v>4</v>
      </c>
      <c r="T273" s="7">
        <v>0.24</v>
      </c>
      <c r="U273" s="7">
        <v>0.2</v>
      </c>
      <c r="V273" s="7">
        <v>-0.33647223662121289</v>
      </c>
      <c r="W273" s="7">
        <v>1.927437641723356E-3</v>
      </c>
      <c r="X273" t="s">
        <v>550</v>
      </c>
      <c r="Y273" t="s">
        <v>89</v>
      </c>
      <c r="Z273" t="s">
        <v>515</v>
      </c>
      <c r="AA273" t="s">
        <v>564</v>
      </c>
      <c r="AB273" t="s">
        <v>92</v>
      </c>
      <c r="AC273" t="s">
        <v>540</v>
      </c>
      <c r="AD273" t="s">
        <v>540</v>
      </c>
      <c r="AE273" t="s">
        <v>1705</v>
      </c>
      <c r="AF273" t="s">
        <v>1712</v>
      </c>
      <c r="AG273" t="s">
        <v>1705</v>
      </c>
      <c r="AI273" t="s">
        <v>40</v>
      </c>
      <c r="AJ273" t="s">
        <v>1636</v>
      </c>
      <c r="AK273" t="s">
        <v>1637</v>
      </c>
      <c r="AL273" s="4" t="s">
        <v>545</v>
      </c>
      <c r="AM273" t="s">
        <v>546</v>
      </c>
      <c r="AO273" t="s">
        <v>1647</v>
      </c>
      <c r="AP273" t="s">
        <v>1639</v>
      </c>
      <c r="AQ273" t="s">
        <v>1640</v>
      </c>
      <c r="AR273" t="s">
        <v>1641</v>
      </c>
      <c r="AS273">
        <v>1</v>
      </c>
      <c r="AT273">
        <v>0</v>
      </c>
      <c r="AU273">
        <v>0</v>
      </c>
      <c r="AV273">
        <v>1</v>
      </c>
      <c r="AW273">
        <v>0</v>
      </c>
      <c r="AX273">
        <v>0</v>
      </c>
      <c r="AY273" t="s">
        <v>1642</v>
      </c>
    </row>
    <row r="274" spans="1:51">
      <c r="A274" t="s">
        <v>540</v>
      </c>
      <c r="B274" t="s">
        <v>571</v>
      </c>
      <c r="C274" t="s">
        <v>542</v>
      </c>
      <c r="D274" t="s">
        <v>543</v>
      </c>
      <c r="E274" t="s">
        <v>562</v>
      </c>
      <c r="F274" t="s">
        <v>545</v>
      </c>
      <c r="G274" t="s">
        <v>546</v>
      </c>
      <c r="H274" t="s">
        <v>84</v>
      </c>
      <c r="I274" t="s">
        <v>85</v>
      </c>
      <c r="J274" t="s">
        <v>547</v>
      </c>
      <c r="K274" t="s">
        <v>149</v>
      </c>
      <c r="L274" t="s">
        <v>40</v>
      </c>
      <c r="M274" t="s">
        <v>549</v>
      </c>
      <c r="N274" s="7">
        <v>4.2</v>
      </c>
      <c r="O274" s="7">
        <v>0.12</v>
      </c>
      <c r="P274" s="7">
        <v>4</v>
      </c>
      <c r="Q274" s="7">
        <v>3.95</v>
      </c>
      <c r="R274" s="7">
        <v>0.12</v>
      </c>
      <c r="S274" s="7">
        <v>4</v>
      </c>
      <c r="T274" s="7">
        <v>0.24</v>
      </c>
      <c r="U274" s="7">
        <v>0.24</v>
      </c>
      <c r="V274" s="7">
        <v>-6.136894637629213E-2</v>
      </c>
      <c r="W274" s="7">
        <v>1.7392555483978561E-3</v>
      </c>
      <c r="X274" t="s">
        <v>550</v>
      </c>
      <c r="Y274" t="s">
        <v>89</v>
      </c>
      <c r="Z274" t="s">
        <v>515</v>
      </c>
      <c r="AA274" t="s">
        <v>564</v>
      </c>
      <c r="AB274" t="s">
        <v>92</v>
      </c>
      <c r="AC274" t="s">
        <v>540</v>
      </c>
      <c r="AD274" t="s">
        <v>540</v>
      </c>
      <c r="AE274" t="s">
        <v>1705</v>
      </c>
      <c r="AF274" t="s">
        <v>1713</v>
      </c>
      <c r="AG274" t="s">
        <v>1705</v>
      </c>
      <c r="AI274" t="s">
        <v>40</v>
      </c>
      <c r="AJ274" t="s">
        <v>1636</v>
      </c>
      <c r="AK274" t="s">
        <v>1637</v>
      </c>
      <c r="AL274" s="4" t="s">
        <v>545</v>
      </c>
      <c r="AM274" t="s">
        <v>546</v>
      </c>
      <c r="AO274" t="s">
        <v>1647</v>
      </c>
      <c r="AP274" t="s">
        <v>1639</v>
      </c>
      <c r="AQ274" t="s">
        <v>1640</v>
      </c>
      <c r="AR274" t="s">
        <v>1641</v>
      </c>
      <c r="AS274">
        <v>1</v>
      </c>
      <c r="AT274">
        <v>0</v>
      </c>
      <c r="AU274">
        <v>0</v>
      </c>
      <c r="AV274">
        <v>1</v>
      </c>
      <c r="AW274">
        <v>0</v>
      </c>
      <c r="AX274">
        <v>0</v>
      </c>
      <c r="AY274" t="s">
        <v>1642</v>
      </c>
    </row>
    <row r="275" spans="1:51">
      <c r="A275" t="s">
        <v>572</v>
      </c>
      <c r="B275" t="s">
        <v>573</v>
      </c>
      <c r="C275" t="s">
        <v>183</v>
      </c>
      <c r="D275" t="s">
        <v>574</v>
      </c>
      <c r="E275" t="s">
        <v>82</v>
      </c>
      <c r="F275">
        <v>5</v>
      </c>
      <c r="G275" t="s">
        <v>83</v>
      </c>
      <c r="H275" t="s">
        <v>84</v>
      </c>
      <c r="I275" t="s">
        <v>85</v>
      </c>
      <c r="J275" t="s">
        <v>575</v>
      </c>
      <c r="K275" t="s">
        <v>41</v>
      </c>
      <c r="L275" t="s">
        <v>40</v>
      </c>
      <c r="M275" t="s">
        <v>188</v>
      </c>
      <c r="N275" s="7">
        <v>17.7</v>
      </c>
      <c r="O275" s="7"/>
      <c r="P275" s="7">
        <v>3</v>
      </c>
      <c r="Q275" s="7">
        <v>18.2</v>
      </c>
      <c r="R275" s="7"/>
      <c r="S275" s="7">
        <v>3</v>
      </c>
      <c r="T275" s="7">
        <v>2.6487733009829286</v>
      </c>
      <c r="U275" s="7">
        <v>2.6487733009829286</v>
      </c>
      <c r="V275" s="7">
        <v>2.7856954502966279E-2</v>
      </c>
      <c r="W275" s="7">
        <v>1.4525201090259132E-2</v>
      </c>
      <c r="X275" t="s">
        <v>576</v>
      </c>
      <c r="Y275" t="s">
        <v>577</v>
      </c>
      <c r="Z275" t="s">
        <v>578</v>
      </c>
      <c r="AA275" t="s">
        <v>579</v>
      </c>
      <c r="AB275" t="s">
        <v>92</v>
      </c>
      <c r="AC275" t="s">
        <v>572</v>
      </c>
      <c r="AD275" t="s">
        <v>572</v>
      </c>
      <c r="AE275" t="s">
        <v>1714</v>
      </c>
      <c r="AF275" t="s">
        <v>1715</v>
      </c>
      <c r="AG275" t="s">
        <v>1714</v>
      </c>
      <c r="AI275" t="s">
        <v>40</v>
      </c>
      <c r="AJ275" t="s">
        <v>1636</v>
      </c>
      <c r="AK275" t="s">
        <v>1637</v>
      </c>
      <c r="AL275" s="4">
        <v>5</v>
      </c>
      <c r="AM275" t="s">
        <v>83</v>
      </c>
      <c r="AN275">
        <v>3.3509818376784399E-2</v>
      </c>
      <c r="AO275" t="s">
        <v>1638</v>
      </c>
      <c r="AP275" t="s">
        <v>1639</v>
      </c>
      <c r="AQ275" t="s">
        <v>1716</v>
      </c>
      <c r="AR275" t="s">
        <v>1641</v>
      </c>
      <c r="AS275">
        <v>1</v>
      </c>
      <c r="AT275">
        <v>0</v>
      </c>
      <c r="AU275">
        <v>1</v>
      </c>
      <c r="AV275">
        <v>1</v>
      </c>
      <c r="AW275">
        <v>0</v>
      </c>
      <c r="AX275">
        <v>0</v>
      </c>
      <c r="AY275" t="s">
        <v>1642</v>
      </c>
    </row>
    <row r="276" spans="1:51">
      <c r="A276" t="s">
        <v>572</v>
      </c>
      <c r="B276" t="s">
        <v>580</v>
      </c>
      <c r="C276" t="s">
        <v>183</v>
      </c>
      <c r="D276" t="s">
        <v>574</v>
      </c>
      <c r="E276" t="s">
        <v>82</v>
      </c>
      <c r="F276">
        <v>10</v>
      </c>
      <c r="G276" t="s">
        <v>83</v>
      </c>
      <c r="H276" t="s">
        <v>84</v>
      </c>
      <c r="I276" t="s">
        <v>85</v>
      </c>
      <c r="J276" t="s">
        <v>575</v>
      </c>
      <c r="K276" t="s">
        <v>41</v>
      </c>
      <c r="L276" t="s">
        <v>40</v>
      </c>
      <c r="M276" t="s">
        <v>188</v>
      </c>
      <c r="N276" s="7">
        <v>17.7</v>
      </c>
      <c r="O276" s="7"/>
      <c r="P276" s="7">
        <v>3</v>
      </c>
      <c r="Q276" s="7">
        <v>20.8</v>
      </c>
      <c r="R276" s="7"/>
      <c r="S276" s="7">
        <v>3</v>
      </c>
      <c r="T276" s="7">
        <v>2.6487733009829286</v>
      </c>
      <c r="U276" s="7">
        <v>2.6487733009829286</v>
      </c>
      <c r="V276" s="7">
        <v>0.16138834712748887</v>
      </c>
      <c r="W276" s="7">
        <v>1.2870434153898786E-2</v>
      </c>
      <c r="X276" t="s">
        <v>576</v>
      </c>
      <c r="Y276" t="s">
        <v>577</v>
      </c>
      <c r="Z276" t="s">
        <v>578</v>
      </c>
      <c r="AA276" t="s">
        <v>579</v>
      </c>
      <c r="AB276" t="s">
        <v>92</v>
      </c>
      <c r="AC276" t="s">
        <v>572</v>
      </c>
      <c r="AD276" t="s">
        <v>572</v>
      </c>
      <c r="AE276" t="s">
        <v>1714</v>
      </c>
      <c r="AF276" t="s">
        <v>1717</v>
      </c>
      <c r="AG276" t="s">
        <v>1714</v>
      </c>
      <c r="AI276" t="s">
        <v>40</v>
      </c>
      <c r="AJ276" t="s">
        <v>1636</v>
      </c>
      <c r="AK276" t="s">
        <v>1637</v>
      </c>
      <c r="AL276" s="4">
        <v>10</v>
      </c>
      <c r="AM276" t="s">
        <v>83</v>
      </c>
      <c r="AN276">
        <v>6.7019636753568798E-2</v>
      </c>
      <c r="AO276" t="s">
        <v>1638</v>
      </c>
      <c r="AP276" t="s">
        <v>1639</v>
      </c>
      <c r="AQ276" t="s">
        <v>1716</v>
      </c>
      <c r="AR276" t="s">
        <v>1641</v>
      </c>
      <c r="AS276">
        <v>1</v>
      </c>
      <c r="AT276">
        <v>0</v>
      </c>
      <c r="AU276">
        <v>1</v>
      </c>
      <c r="AV276">
        <v>1</v>
      </c>
      <c r="AW276">
        <v>0</v>
      </c>
      <c r="AX276">
        <v>0</v>
      </c>
      <c r="AY276" t="s">
        <v>1642</v>
      </c>
    </row>
    <row r="277" spans="1:51">
      <c r="A277" t="s">
        <v>572</v>
      </c>
      <c r="B277" t="s">
        <v>581</v>
      </c>
      <c r="C277" t="s">
        <v>183</v>
      </c>
      <c r="D277" t="s">
        <v>582</v>
      </c>
      <c r="E277" t="s">
        <v>82</v>
      </c>
      <c r="F277">
        <v>5</v>
      </c>
      <c r="G277" t="s">
        <v>83</v>
      </c>
      <c r="H277" t="s">
        <v>84</v>
      </c>
      <c r="I277" t="s">
        <v>85</v>
      </c>
      <c r="J277" t="s">
        <v>575</v>
      </c>
      <c r="K277" t="s">
        <v>41</v>
      </c>
      <c r="L277" t="s">
        <v>40</v>
      </c>
      <c r="M277" t="s">
        <v>188</v>
      </c>
      <c r="N277" s="7">
        <v>13.8</v>
      </c>
      <c r="O277" s="7"/>
      <c r="P277" s="7">
        <v>3</v>
      </c>
      <c r="Q277" s="7">
        <v>15.3</v>
      </c>
      <c r="R277" s="7"/>
      <c r="S277" s="7">
        <v>3</v>
      </c>
      <c r="T277" s="7">
        <v>2.6487733009829286</v>
      </c>
      <c r="U277" s="7">
        <v>2.6487733009829286</v>
      </c>
      <c r="V277" s="7">
        <v>0.10318423623523081</v>
      </c>
      <c r="W277" s="7">
        <v>2.2270792773195148E-2</v>
      </c>
      <c r="X277" t="s">
        <v>576</v>
      </c>
      <c r="Y277" t="s">
        <v>577</v>
      </c>
      <c r="Z277" t="s">
        <v>578</v>
      </c>
      <c r="AA277" t="s">
        <v>583</v>
      </c>
      <c r="AB277" t="s">
        <v>92</v>
      </c>
      <c r="AC277" t="s">
        <v>572</v>
      </c>
      <c r="AD277" t="s">
        <v>572</v>
      </c>
      <c r="AE277" t="s">
        <v>1718</v>
      </c>
      <c r="AF277" t="s">
        <v>1719</v>
      </c>
      <c r="AG277" t="s">
        <v>1718</v>
      </c>
      <c r="AI277" t="s">
        <v>40</v>
      </c>
      <c r="AJ277" t="s">
        <v>1636</v>
      </c>
      <c r="AK277" t="s">
        <v>1637</v>
      </c>
      <c r="AL277" s="4">
        <v>5</v>
      </c>
      <c r="AM277" t="s">
        <v>83</v>
      </c>
      <c r="AN277">
        <v>3.3509818376784399E-2</v>
      </c>
      <c r="AO277" t="s">
        <v>1638</v>
      </c>
      <c r="AP277" t="s">
        <v>1639</v>
      </c>
      <c r="AQ277" t="s">
        <v>1716</v>
      </c>
      <c r="AR277" t="s">
        <v>1641</v>
      </c>
      <c r="AS277">
        <v>1</v>
      </c>
      <c r="AT277">
        <v>0</v>
      </c>
      <c r="AU277">
        <v>1</v>
      </c>
      <c r="AV277">
        <v>1</v>
      </c>
      <c r="AW277">
        <v>0</v>
      </c>
      <c r="AX277">
        <v>0</v>
      </c>
      <c r="AY277" t="s">
        <v>1642</v>
      </c>
    </row>
    <row r="278" spans="1:51">
      <c r="A278" t="s">
        <v>572</v>
      </c>
      <c r="B278" t="s">
        <v>584</v>
      </c>
      <c r="C278" t="s">
        <v>183</v>
      </c>
      <c r="D278" t="s">
        <v>582</v>
      </c>
      <c r="E278" t="s">
        <v>82</v>
      </c>
      <c r="F278">
        <v>10</v>
      </c>
      <c r="G278" t="s">
        <v>83</v>
      </c>
      <c r="H278" t="s">
        <v>84</v>
      </c>
      <c r="I278" t="s">
        <v>85</v>
      </c>
      <c r="J278" t="s">
        <v>575</v>
      </c>
      <c r="K278" t="s">
        <v>41</v>
      </c>
      <c r="L278" t="s">
        <v>40</v>
      </c>
      <c r="M278" t="s">
        <v>188</v>
      </c>
      <c r="N278" s="7">
        <v>13.8</v>
      </c>
      <c r="O278" s="7"/>
      <c r="P278" s="7">
        <v>3</v>
      </c>
      <c r="Q278" s="7">
        <v>17</v>
      </c>
      <c r="R278" s="7"/>
      <c r="S278" s="7">
        <v>3</v>
      </c>
      <c r="T278" s="7">
        <v>2.6487733009829286</v>
      </c>
      <c r="U278" s="7">
        <v>2.6487733009829286</v>
      </c>
      <c r="V278" s="7">
        <v>0.20854475189305702</v>
      </c>
      <c r="W278" s="7">
        <v>2.0372605466318874E-2</v>
      </c>
      <c r="X278" t="s">
        <v>576</v>
      </c>
      <c r="Y278" t="s">
        <v>577</v>
      </c>
      <c r="Z278" t="s">
        <v>578</v>
      </c>
      <c r="AA278" t="s">
        <v>583</v>
      </c>
      <c r="AB278" t="s">
        <v>92</v>
      </c>
      <c r="AC278" t="s">
        <v>572</v>
      </c>
      <c r="AD278" t="s">
        <v>572</v>
      </c>
      <c r="AE278" t="s">
        <v>1718</v>
      </c>
      <c r="AF278" t="s">
        <v>1720</v>
      </c>
      <c r="AG278" t="s">
        <v>1718</v>
      </c>
      <c r="AI278" t="s">
        <v>40</v>
      </c>
      <c r="AJ278" t="s">
        <v>1636</v>
      </c>
      <c r="AK278" t="s">
        <v>1637</v>
      </c>
      <c r="AL278" s="4">
        <v>10</v>
      </c>
      <c r="AM278" t="s">
        <v>83</v>
      </c>
      <c r="AN278">
        <v>6.7019636753568798E-2</v>
      </c>
      <c r="AO278" t="s">
        <v>1638</v>
      </c>
      <c r="AP278" t="s">
        <v>1639</v>
      </c>
      <c r="AQ278" t="s">
        <v>1716</v>
      </c>
      <c r="AR278" t="s">
        <v>1641</v>
      </c>
      <c r="AS278">
        <v>1</v>
      </c>
      <c r="AT278">
        <v>0</v>
      </c>
      <c r="AU278">
        <v>1</v>
      </c>
      <c r="AV278">
        <v>1</v>
      </c>
      <c r="AW278">
        <v>0</v>
      </c>
      <c r="AX278">
        <v>0</v>
      </c>
      <c r="AY278" t="s">
        <v>1642</v>
      </c>
    </row>
    <row r="279" spans="1:51">
      <c r="A279" t="s">
        <v>572</v>
      </c>
      <c r="B279" t="s">
        <v>585</v>
      </c>
      <c r="C279" t="s">
        <v>183</v>
      </c>
      <c r="D279" t="s">
        <v>586</v>
      </c>
      <c r="E279" t="s">
        <v>82</v>
      </c>
      <c r="F279">
        <v>5</v>
      </c>
      <c r="G279" t="s">
        <v>83</v>
      </c>
      <c r="H279" t="s">
        <v>84</v>
      </c>
      <c r="I279" t="s">
        <v>85</v>
      </c>
      <c r="J279" t="s">
        <v>575</v>
      </c>
      <c r="K279" t="s">
        <v>41</v>
      </c>
      <c r="L279" t="s">
        <v>40</v>
      </c>
      <c r="M279" t="s">
        <v>188</v>
      </c>
      <c r="N279" s="7">
        <v>10</v>
      </c>
      <c r="O279" s="7"/>
      <c r="P279" s="7">
        <v>3</v>
      </c>
      <c r="Q279" s="7">
        <v>12</v>
      </c>
      <c r="R279" s="7"/>
      <c r="S279" s="7">
        <v>3</v>
      </c>
      <c r="T279" s="7">
        <v>2.6487733009829286</v>
      </c>
      <c r="U279" s="7">
        <v>2.6487733009829286</v>
      </c>
      <c r="V279" s="7">
        <v>0.18232155679395459</v>
      </c>
      <c r="W279" s="7">
        <v>3.9627407407407403E-2</v>
      </c>
      <c r="X279" t="s">
        <v>576</v>
      </c>
      <c r="Y279" t="s">
        <v>577</v>
      </c>
      <c r="Z279" t="s">
        <v>578</v>
      </c>
      <c r="AA279" t="s">
        <v>587</v>
      </c>
      <c r="AB279" t="s">
        <v>92</v>
      </c>
      <c r="AC279" t="s">
        <v>572</v>
      </c>
      <c r="AD279" t="s">
        <v>572</v>
      </c>
      <c r="AE279" t="s">
        <v>1721</v>
      </c>
      <c r="AF279" t="s">
        <v>1722</v>
      </c>
      <c r="AG279" t="s">
        <v>1721</v>
      </c>
      <c r="AI279" t="s">
        <v>40</v>
      </c>
      <c r="AJ279" t="s">
        <v>1636</v>
      </c>
      <c r="AK279" t="s">
        <v>1637</v>
      </c>
      <c r="AL279" s="4">
        <v>5</v>
      </c>
      <c r="AM279" t="s">
        <v>83</v>
      </c>
      <c r="AN279">
        <v>3.3509818376784399E-2</v>
      </c>
      <c r="AO279" t="s">
        <v>1638</v>
      </c>
      <c r="AP279" t="s">
        <v>1639</v>
      </c>
      <c r="AQ279" t="s">
        <v>1716</v>
      </c>
      <c r="AR279" t="s">
        <v>1641</v>
      </c>
      <c r="AS279">
        <v>1</v>
      </c>
      <c r="AT279">
        <v>0</v>
      </c>
      <c r="AU279">
        <v>1</v>
      </c>
      <c r="AV279">
        <v>1</v>
      </c>
      <c r="AW279">
        <v>0</v>
      </c>
      <c r="AX279">
        <v>0</v>
      </c>
      <c r="AY279" t="s">
        <v>1642</v>
      </c>
    </row>
    <row r="280" spans="1:51">
      <c r="A280" t="s">
        <v>572</v>
      </c>
      <c r="B280" t="s">
        <v>588</v>
      </c>
      <c r="C280" t="s">
        <v>183</v>
      </c>
      <c r="D280" t="s">
        <v>586</v>
      </c>
      <c r="E280" t="s">
        <v>82</v>
      </c>
      <c r="F280">
        <v>10</v>
      </c>
      <c r="G280" t="s">
        <v>83</v>
      </c>
      <c r="H280" t="s">
        <v>84</v>
      </c>
      <c r="I280" t="s">
        <v>85</v>
      </c>
      <c r="J280" t="s">
        <v>575</v>
      </c>
      <c r="K280" t="s">
        <v>41</v>
      </c>
      <c r="L280" t="s">
        <v>40</v>
      </c>
      <c r="M280" t="s">
        <v>188</v>
      </c>
      <c r="N280" s="7">
        <v>10</v>
      </c>
      <c r="O280" s="7"/>
      <c r="P280" s="7">
        <v>3</v>
      </c>
      <c r="Q280" s="7">
        <v>14.8</v>
      </c>
      <c r="R280" s="7"/>
      <c r="S280" s="7">
        <v>3</v>
      </c>
      <c r="T280" s="7">
        <v>2.6487733009829286</v>
      </c>
      <c r="U280" s="7">
        <v>2.6487733009829286</v>
      </c>
      <c r="V280" s="7">
        <v>0.39204208777602367</v>
      </c>
      <c r="W280" s="7">
        <v>3.4063559775992208E-2</v>
      </c>
      <c r="X280" t="s">
        <v>576</v>
      </c>
      <c r="Y280" t="s">
        <v>577</v>
      </c>
      <c r="Z280" t="s">
        <v>578</v>
      </c>
      <c r="AA280" t="s">
        <v>587</v>
      </c>
      <c r="AB280" t="s">
        <v>92</v>
      </c>
      <c r="AC280" t="s">
        <v>572</v>
      </c>
      <c r="AD280" t="s">
        <v>572</v>
      </c>
      <c r="AE280" t="s">
        <v>1721</v>
      </c>
      <c r="AF280" t="s">
        <v>1723</v>
      </c>
      <c r="AG280" t="s">
        <v>1721</v>
      </c>
      <c r="AI280" t="s">
        <v>40</v>
      </c>
      <c r="AJ280" t="s">
        <v>1636</v>
      </c>
      <c r="AK280" t="s">
        <v>1637</v>
      </c>
      <c r="AL280" s="4">
        <v>10</v>
      </c>
      <c r="AM280" t="s">
        <v>83</v>
      </c>
      <c r="AN280">
        <v>6.7019636753568798E-2</v>
      </c>
      <c r="AO280" t="s">
        <v>1638</v>
      </c>
      <c r="AP280" t="s">
        <v>1639</v>
      </c>
      <c r="AQ280" t="s">
        <v>1716</v>
      </c>
      <c r="AR280" t="s">
        <v>1641</v>
      </c>
      <c r="AS280">
        <v>1</v>
      </c>
      <c r="AT280">
        <v>0</v>
      </c>
      <c r="AU280">
        <v>1</v>
      </c>
      <c r="AV280">
        <v>1</v>
      </c>
      <c r="AW280">
        <v>0</v>
      </c>
      <c r="AX280">
        <v>0</v>
      </c>
      <c r="AY280" t="s">
        <v>1642</v>
      </c>
    </row>
    <row r="281" spans="1:51">
      <c r="A281" t="s">
        <v>572</v>
      </c>
      <c r="B281" t="s">
        <v>589</v>
      </c>
      <c r="C281" t="s">
        <v>183</v>
      </c>
      <c r="D281" t="s">
        <v>590</v>
      </c>
      <c r="E281" t="s">
        <v>82</v>
      </c>
      <c r="F281">
        <v>5</v>
      </c>
      <c r="G281" t="s">
        <v>83</v>
      </c>
      <c r="H281" t="s">
        <v>84</v>
      </c>
      <c r="I281" t="s">
        <v>85</v>
      </c>
      <c r="J281" t="s">
        <v>575</v>
      </c>
      <c r="K281" t="s">
        <v>41</v>
      </c>
      <c r="L281" t="s">
        <v>40</v>
      </c>
      <c r="M281" t="s">
        <v>188</v>
      </c>
      <c r="N281" s="7">
        <v>7.7</v>
      </c>
      <c r="O281" s="7"/>
      <c r="P281" s="7">
        <v>3</v>
      </c>
      <c r="Q281" s="7">
        <v>10.8</v>
      </c>
      <c r="R281" s="7"/>
      <c r="S281" s="7">
        <v>3</v>
      </c>
      <c r="T281" s="7">
        <v>2.6487733009829286</v>
      </c>
      <c r="U281" s="7">
        <v>2.6487733009829286</v>
      </c>
      <c r="V281" s="7">
        <v>0.33832580527053585</v>
      </c>
      <c r="W281" s="7">
        <v>5.9494835356627876E-2</v>
      </c>
      <c r="X281" t="s">
        <v>576</v>
      </c>
      <c r="Y281" t="s">
        <v>577</v>
      </c>
      <c r="Z281" t="s">
        <v>578</v>
      </c>
      <c r="AA281" t="s">
        <v>591</v>
      </c>
      <c r="AB281" t="s">
        <v>92</v>
      </c>
      <c r="AC281" t="s">
        <v>572</v>
      </c>
      <c r="AD281" t="s">
        <v>572</v>
      </c>
      <c r="AE281" t="s">
        <v>1724</v>
      </c>
      <c r="AF281" t="s">
        <v>1725</v>
      </c>
      <c r="AG281" t="s">
        <v>1724</v>
      </c>
      <c r="AI281" t="s">
        <v>40</v>
      </c>
      <c r="AJ281" t="s">
        <v>1636</v>
      </c>
      <c r="AK281" t="s">
        <v>1637</v>
      </c>
      <c r="AL281" s="4">
        <v>5</v>
      </c>
      <c r="AM281" t="s">
        <v>83</v>
      </c>
      <c r="AN281">
        <v>3.3509818376784399E-2</v>
      </c>
      <c r="AO281" t="s">
        <v>1638</v>
      </c>
      <c r="AP281" t="s">
        <v>1639</v>
      </c>
      <c r="AQ281" t="s">
        <v>1716</v>
      </c>
      <c r="AR281" t="s">
        <v>1641</v>
      </c>
      <c r="AS281">
        <v>1</v>
      </c>
      <c r="AT281">
        <v>0</v>
      </c>
      <c r="AU281">
        <v>1</v>
      </c>
      <c r="AV281">
        <v>1</v>
      </c>
      <c r="AW281">
        <v>0</v>
      </c>
      <c r="AX281">
        <v>0</v>
      </c>
      <c r="AY281" t="s">
        <v>1642</v>
      </c>
    </row>
    <row r="282" spans="1:51">
      <c r="A282" t="s">
        <v>572</v>
      </c>
      <c r="B282" t="s">
        <v>592</v>
      </c>
      <c r="C282" t="s">
        <v>183</v>
      </c>
      <c r="D282" t="s">
        <v>590</v>
      </c>
      <c r="E282" t="s">
        <v>82</v>
      </c>
      <c r="F282">
        <v>10</v>
      </c>
      <c r="G282" t="s">
        <v>83</v>
      </c>
      <c r="H282" t="s">
        <v>84</v>
      </c>
      <c r="I282" t="s">
        <v>85</v>
      </c>
      <c r="J282" t="s">
        <v>575</v>
      </c>
      <c r="K282" t="s">
        <v>41</v>
      </c>
      <c r="L282" t="s">
        <v>40</v>
      </c>
      <c r="M282" t="s">
        <v>188</v>
      </c>
      <c r="N282" s="7">
        <v>7.7</v>
      </c>
      <c r="O282" s="7"/>
      <c r="P282" s="7">
        <v>3</v>
      </c>
      <c r="Q282" s="7">
        <v>11.5</v>
      </c>
      <c r="R282" s="7"/>
      <c r="S282" s="7">
        <v>3</v>
      </c>
      <c r="T282" s="7">
        <v>2.6487733009829286</v>
      </c>
      <c r="U282" s="7">
        <v>2.6487733009829286</v>
      </c>
      <c r="V282" s="7">
        <v>0.40112670650956617</v>
      </c>
      <c r="W282" s="7">
        <v>5.7128218045017692E-2</v>
      </c>
      <c r="X282" t="s">
        <v>576</v>
      </c>
      <c r="Y282" t="s">
        <v>577</v>
      </c>
      <c r="Z282" t="s">
        <v>578</v>
      </c>
      <c r="AA282" t="s">
        <v>591</v>
      </c>
      <c r="AB282" t="s">
        <v>92</v>
      </c>
      <c r="AC282" t="s">
        <v>572</v>
      </c>
      <c r="AD282" t="s">
        <v>572</v>
      </c>
      <c r="AE282" t="s">
        <v>1724</v>
      </c>
      <c r="AF282" t="s">
        <v>1726</v>
      </c>
      <c r="AG282" t="s">
        <v>1724</v>
      </c>
      <c r="AI282" t="s">
        <v>40</v>
      </c>
      <c r="AJ282" t="s">
        <v>1636</v>
      </c>
      <c r="AK282" t="s">
        <v>1637</v>
      </c>
      <c r="AL282" s="4">
        <v>10</v>
      </c>
      <c r="AM282" t="s">
        <v>83</v>
      </c>
      <c r="AN282">
        <v>6.7019636753568798E-2</v>
      </c>
      <c r="AO282" t="s">
        <v>1638</v>
      </c>
      <c r="AP282" t="s">
        <v>1639</v>
      </c>
      <c r="AQ282" t="s">
        <v>1716</v>
      </c>
      <c r="AR282" t="s">
        <v>1641</v>
      </c>
      <c r="AS282">
        <v>1</v>
      </c>
      <c r="AT282">
        <v>0</v>
      </c>
      <c r="AU282">
        <v>1</v>
      </c>
      <c r="AV282">
        <v>1</v>
      </c>
      <c r="AW282">
        <v>0</v>
      </c>
      <c r="AX282">
        <v>0</v>
      </c>
      <c r="AY282" t="s">
        <v>1642</v>
      </c>
    </row>
    <row r="283" spans="1:51">
      <c r="A283" t="s">
        <v>572</v>
      </c>
      <c r="B283" t="s">
        <v>593</v>
      </c>
      <c r="C283" t="s">
        <v>183</v>
      </c>
      <c r="D283" t="s">
        <v>574</v>
      </c>
      <c r="E283" t="s">
        <v>82</v>
      </c>
      <c r="F283">
        <v>5</v>
      </c>
      <c r="G283" t="s">
        <v>83</v>
      </c>
      <c r="H283" t="s">
        <v>84</v>
      </c>
      <c r="I283" t="s">
        <v>85</v>
      </c>
      <c r="J283" t="s">
        <v>575</v>
      </c>
      <c r="K283" t="s">
        <v>29</v>
      </c>
      <c r="L283" t="s">
        <v>40</v>
      </c>
      <c r="M283" t="s">
        <v>188</v>
      </c>
      <c r="N283" s="7">
        <v>7.8</v>
      </c>
      <c r="O283" s="7"/>
      <c r="P283" s="7">
        <v>3</v>
      </c>
      <c r="Q283" s="7">
        <v>10.5</v>
      </c>
      <c r="R283" s="7"/>
      <c r="S283" s="7">
        <v>3</v>
      </c>
      <c r="T283" s="7">
        <v>2.2790348834539591</v>
      </c>
      <c r="U283" s="7">
        <v>2.2790348834539591</v>
      </c>
      <c r="V283" s="7">
        <v>0.29725152346793171</v>
      </c>
      <c r="W283" s="7">
        <v>4.4160859083936022E-2</v>
      </c>
      <c r="X283" t="s">
        <v>576</v>
      </c>
      <c r="Y283" t="s">
        <v>577</v>
      </c>
      <c r="Z283" t="s">
        <v>578</v>
      </c>
      <c r="AA283" t="s">
        <v>594</v>
      </c>
      <c r="AB283" t="s">
        <v>92</v>
      </c>
      <c r="AC283" t="s">
        <v>572</v>
      </c>
      <c r="AD283" t="s">
        <v>572</v>
      </c>
      <c r="AE283" t="s">
        <v>1714</v>
      </c>
      <c r="AF283" t="s">
        <v>1715</v>
      </c>
      <c r="AG283" t="s">
        <v>1714</v>
      </c>
      <c r="AI283" t="s">
        <v>40</v>
      </c>
      <c r="AJ283" t="s">
        <v>1636</v>
      </c>
      <c r="AK283" t="s">
        <v>1637</v>
      </c>
      <c r="AL283" s="4">
        <v>5</v>
      </c>
      <c r="AM283" t="s">
        <v>83</v>
      </c>
      <c r="AN283">
        <v>3.3509818376784399E-2</v>
      </c>
      <c r="AO283" t="s">
        <v>1638</v>
      </c>
      <c r="AP283" t="s">
        <v>1639</v>
      </c>
      <c r="AQ283" t="s">
        <v>1716</v>
      </c>
      <c r="AR283" t="s">
        <v>1641</v>
      </c>
      <c r="AS283">
        <v>1</v>
      </c>
      <c r="AT283">
        <v>0</v>
      </c>
      <c r="AU283">
        <v>1</v>
      </c>
      <c r="AV283">
        <v>1</v>
      </c>
      <c r="AW283">
        <v>0</v>
      </c>
      <c r="AX283">
        <v>0</v>
      </c>
      <c r="AY283" t="s">
        <v>1642</v>
      </c>
    </row>
    <row r="284" spans="1:51">
      <c r="A284" t="s">
        <v>572</v>
      </c>
      <c r="B284" t="s">
        <v>595</v>
      </c>
      <c r="C284" t="s">
        <v>183</v>
      </c>
      <c r="D284" t="s">
        <v>574</v>
      </c>
      <c r="E284" t="s">
        <v>82</v>
      </c>
      <c r="F284">
        <v>10</v>
      </c>
      <c r="G284" t="s">
        <v>83</v>
      </c>
      <c r="H284" t="s">
        <v>84</v>
      </c>
      <c r="I284" t="s">
        <v>85</v>
      </c>
      <c r="J284" t="s">
        <v>575</v>
      </c>
      <c r="K284" t="s">
        <v>29</v>
      </c>
      <c r="L284" t="s">
        <v>40</v>
      </c>
      <c r="M284" t="s">
        <v>188</v>
      </c>
      <c r="N284" s="7">
        <v>7.8</v>
      </c>
      <c r="O284" s="7"/>
      <c r="P284" s="7">
        <v>3</v>
      </c>
      <c r="Q284" s="7">
        <v>12.2</v>
      </c>
      <c r="R284" s="7"/>
      <c r="S284" s="7">
        <v>3</v>
      </c>
      <c r="T284" s="7">
        <v>2.2790348834539591</v>
      </c>
      <c r="U284" s="7">
        <v>2.2790348834539591</v>
      </c>
      <c r="V284" s="7">
        <v>0.44731221804366483</v>
      </c>
      <c r="W284" s="7">
        <v>4.0089333110233216E-2</v>
      </c>
      <c r="X284" t="s">
        <v>576</v>
      </c>
      <c r="Y284" t="s">
        <v>577</v>
      </c>
      <c r="Z284" t="s">
        <v>578</v>
      </c>
      <c r="AA284" t="s">
        <v>594</v>
      </c>
      <c r="AB284" t="s">
        <v>92</v>
      </c>
      <c r="AC284" t="s">
        <v>572</v>
      </c>
      <c r="AD284" t="s">
        <v>572</v>
      </c>
      <c r="AE284" t="s">
        <v>1714</v>
      </c>
      <c r="AF284" t="s">
        <v>1717</v>
      </c>
      <c r="AG284" t="s">
        <v>1714</v>
      </c>
      <c r="AI284" t="s">
        <v>40</v>
      </c>
      <c r="AJ284" t="s">
        <v>1636</v>
      </c>
      <c r="AK284" t="s">
        <v>1637</v>
      </c>
      <c r="AL284" s="4">
        <v>10</v>
      </c>
      <c r="AM284" t="s">
        <v>83</v>
      </c>
      <c r="AN284">
        <v>6.7019636753568798E-2</v>
      </c>
      <c r="AO284" t="s">
        <v>1638</v>
      </c>
      <c r="AP284" t="s">
        <v>1639</v>
      </c>
      <c r="AQ284" t="s">
        <v>1716</v>
      </c>
      <c r="AR284" t="s">
        <v>1641</v>
      </c>
      <c r="AS284">
        <v>1</v>
      </c>
      <c r="AT284">
        <v>0</v>
      </c>
      <c r="AU284">
        <v>1</v>
      </c>
      <c r="AV284">
        <v>1</v>
      </c>
      <c r="AW284">
        <v>0</v>
      </c>
      <c r="AX284">
        <v>0</v>
      </c>
      <c r="AY284" t="s">
        <v>1642</v>
      </c>
    </row>
    <row r="285" spans="1:51">
      <c r="A285" t="s">
        <v>572</v>
      </c>
      <c r="B285" t="s">
        <v>596</v>
      </c>
      <c r="C285" t="s">
        <v>183</v>
      </c>
      <c r="D285" t="s">
        <v>582</v>
      </c>
      <c r="E285" t="s">
        <v>82</v>
      </c>
      <c r="F285">
        <v>5</v>
      </c>
      <c r="G285" t="s">
        <v>83</v>
      </c>
      <c r="H285" t="s">
        <v>84</v>
      </c>
      <c r="I285" t="s">
        <v>85</v>
      </c>
      <c r="J285" t="s">
        <v>575</v>
      </c>
      <c r="K285" t="s">
        <v>29</v>
      </c>
      <c r="L285" t="s">
        <v>40</v>
      </c>
      <c r="M285" t="s">
        <v>188</v>
      </c>
      <c r="N285" s="7">
        <v>8.1</v>
      </c>
      <c r="O285" s="7"/>
      <c r="P285" s="7">
        <v>3</v>
      </c>
      <c r="Q285" s="7">
        <v>9.5</v>
      </c>
      <c r="R285" s="7"/>
      <c r="S285" s="7">
        <v>3</v>
      </c>
      <c r="T285" s="7">
        <v>2.2790348834539591</v>
      </c>
      <c r="U285" s="7">
        <v>2.2790348834539591</v>
      </c>
      <c r="V285" s="7">
        <v>0.15942773692810217</v>
      </c>
      <c r="W285" s="7">
        <v>4.5572002668894787E-2</v>
      </c>
      <c r="X285" t="s">
        <v>576</v>
      </c>
      <c r="Y285" t="s">
        <v>577</v>
      </c>
      <c r="Z285" t="s">
        <v>578</v>
      </c>
      <c r="AA285" t="s">
        <v>597</v>
      </c>
      <c r="AB285" t="s">
        <v>92</v>
      </c>
      <c r="AC285" t="s">
        <v>572</v>
      </c>
      <c r="AD285" t="s">
        <v>572</v>
      </c>
      <c r="AE285" t="s">
        <v>1718</v>
      </c>
      <c r="AF285" t="s">
        <v>1719</v>
      </c>
      <c r="AG285" t="s">
        <v>1718</v>
      </c>
      <c r="AI285" t="s">
        <v>40</v>
      </c>
      <c r="AJ285" t="s">
        <v>1636</v>
      </c>
      <c r="AK285" t="s">
        <v>1637</v>
      </c>
      <c r="AL285" s="4">
        <v>5</v>
      </c>
      <c r="AM285" t="s">
        <v>83</v>
      </c>
      <c r="AN285">
        <v>3.3509818376784399E-2</v>
      </c>
      <c r="AO285" t="s">
        <v>1638</v>
      </c>
      <c r="AP285" t="s">
        <v>1639</v>
      </c>
      <c r="AQ285" t="s">
        <v>1716</v>
      </c>
      <c r="AR285" t="s">
        <v>1641</v>
      </c>
      <c r="AS285">
        <v>1</v>
      </c>
      <c r="AT285">
        <v>0</v>
      </c>
      <c r="AU285">
        <v>1</v>
      </c>
      <c r="AV285">
        <v>1</v>
      </c>
      <c r="AW285">
        <v>0</v>
      </c>
      <c r="AX285">
        <v>0</v>
      </c>
      <c r="AY285" t="s">
        <v>1642</v>
      </c>
    </row>
    <row r="286" spans="1:51">
      <c r="A286" t="s">
        <v>572</v>
      </c>
      <c r="B286" t="s">
        <v>598</v>
      </c>
      <c r="C286" t="s">
        <v>183</v>
      </c>
      <c r="D286" t="s">
        <v>582</v>
      </c>
      <c r="E286" t="s">
        <v>82</v>
      </c>
      <c r="F286">
        <v>10</v>
      </c>
      <c r="G286" t="s">
        <v>83</v>
      </c>
      <c r="H286" t="s">
        <v>84</v>
      </c>
      <c r="I286" t="s">
        <v>85</v>
      </c>
      <c r="J286" t="s">
        <v>575</v>
      </c>
      <c r="K286" t="s">
        <v>29</v>
      </c>
      <c r="L286" t="s">
        <v>40</v>
      </c>
      <c r="M286" t="s">
        <v>188</v>
      </c>
      <c r="N286" s="7">
        <v>8.1</v>
      </c>
      <c r="O286" s="7"/>
      <c r="P286" s="7">
        <v>3</v>
      </c>
      <c r="Q286" s="7">
        <v>10.8</v>
      </c>
      <c r="R286" s="7"/>
      <c r="S286" s="7">
        <v>3</v>
      </c>
      <c r="T286" s="7">
        <v>2.2790348834539591</v>
      </c>
      <c r="U286" s="7">
        <v>2.2790348834539591</v>
      </c>
      <c r="V286" s="7">
        <v>0.28768207245178101</v>
      </c>
      <c r="W286" s="7">
        <v>4.1231646598587621E-2</v>
      </c>
      <c r="X286" t="s">
        <v>576</v>
      </c>
      <c r="Y286" t="s">
        <v>577</v>
      </c>
      <c r="Z286" t="s">
        <v>578</v>
      </c>
      <c r="AA286" t="s">
        <v>597</v>
      </c>
      <c r="AB286" t="s">
        <v>92</v>
      </c>
      <c r="AC286" t="s">
        <v>572</v>
      </c>
      <c r="AD286" t="s">
        <v>572</v>
      </c>
      <c r="AE286" t="s">
        <v>1718</v>
      </c>
      <c r="AF286" t="s">
        <v>1720</v>
      </c>
      <c r="AG286" t="s">
        <v>1718</v>
      </c>
      <c r="AI286" t="s">
        <v>40</v>
      </c>
      <c r="AJ286" t="s">
        <v>1636</v>
      </c>
      <c r="AK286" t="s">
        <v>1637</v>
      </c>
      <c r="AL286" s="4">
        <v>10</v>
      </c>
      <c r="AM286" t="s">
        <v>83</v>
      </c>
      <c r="AN286">
        <v>6.7019636753568798E-2</v>
      </c>
      <c r="AO286" t="s">
        <v>1638</v>
      </c>
      <c r="AP286" t="s">
        <v>1639</v>
      </c>
      <c r="AQ286" t="s">
        <v>1716</v>
      </c>
      <c r="AR286" t="s">
        <v>1641</v>
      </c>
      <c r="AS286">
        <v>1</v>
      </c>
      <c r="AT286">
        <v>0</v>
      </c>
      <c r="AU286">
        <v>1</v>
      </c>
      <c r="AV286">
        <v>1</v>
      </c>
      <c r="AW286">
        <v>0</v>
      </c>
      <c r="AX286">
        <v>0</v>
      </c>
      <c r="AY286" t="s">
        <v>1642</v>
      </c>
    </row>
    <row r="287" spans="1:51">
      <c r="A287" t="s">
        <v>572</v>
      </c>
      <c r="B287" t="s">
        <v>599</v>
      </c>
      <c r="C287" t="s">
        <v>183</v>
      </c>
      <c r="D287" t="s">
        <v>586</v>
      </c>
      <c r="E287" t="s">
        <v>82</v>
      </c>
      <c r="F287">
        <v>5</v>
      </c>
      <c r="G287" t="s">
        <v>83</v>
      </c>
      <c r="H287" t="s">
        <v>84</v>
      </c>
      <c r="I287" t="s">
        <v>85</v>
      </c>
      <c r="J287" t="s">
        <v>575</v>
      </c>
      <c r="K287" t="s">
        <v>29</v>
      </c>
      <c r="L287" t="s">
        <v>40</v>
      </c>
      <c r="M287" t="s">
        <v>188</v>
      </c>
      <c r="N287" s="7">
        <v>5.8</v>
      </c>
      <c r="O287" s="7"/>
      <c r="P287" s="7">
        <v>3</v>
      </c>
      <c r="Q287" s="7">
        <v>7.5</v>
      </c>
      <c r="R287" s="7"/>
      <c r="S287" s="7">
        <v>3</v>
      </c>
      <c r="T287" s="7">
        <v>2.2790348834539591</v>
      </c>
      <c r="U287" s="7">
        <v>2.2790348834539591</v>
      </c>
      <c r="V287" s="7">
        <v>0.25704510298989114</v>
      </c>
      <c r="W287" s="7">
        <v>8.2245767384506993E-2</v>
      </c>
      <c r="X287" t="s">
        <v>576</v>
      </c>
      <c r="Y287" t="s">
        <v>577</v>
      </c>
      <c r="Z287" t="s">
        <v>578</v>
      </c>
      <c r="AA287" t="s">
        <v>600</v>
      </c>
      <c r="AB287" t="s">
        <v>92</v>
      </c>
      <c r="AC287" t="s">
        <v>572</v>
      </c>
      <c r="AD287" t="s">
        <v>572</v>
      </c>
      <c r="AE287" t="s">
        <v>1721</v>
      </c>
      <c r="AF287" t="s">
        <v>1722</v>
      </c>
      <c r="AG287" t="s">
        <v>1721</v>
      </c>
      <c r="AI287" t="s">
        <v>40</v>
      </c>
      <c r="AJ287" t="s">
        <v>1636</v>
      </c>
      <c r="AK287" t="s">
        <v>1637</v>
      </c>
      <c r="AL287" s="4">
        <v>5</v>
      </c>
      <c r="AM287" t="s">
        <v>83</v>
      </c>
      <c r="AN287">
        <v>3.3509818376784399E-2</v>
      </c>
      <c r="AO287" t="s">
        <v>1638</v>
      </c>
      <c r="AP287" t="s">
        <v>1639</v>
      </c>
      <c r="AQ287" t="s">
        <v>1716</v>
      </c>
      <c r="AR287" t="s">
        <v>1641</v>
      </c>
      <c r="AS287">
        <v>1</v>
      </c>
      <c r="AT287">
        <v>0</v>
      </c>
      <c r="AU287">
        <v>1</v>
      </c>
      <c r="AV287">
        <v>1</v>
      </c>
      <c r="AW287">
        <v>0</v>
      </c>
      <c r="AX287">
        <v>0</v>
      </c>
      <c r="AY287" t="s">
        <v>1642</v>
      </c>
    </row>
    <row r="288" spans="1:51">
      <c r="A288" t="s">
        <v>572</v>
      </c>
      <c r="B288" t="s">
        <v>601</v>
      </c>
      <c r="C288" t="s">
        <v>183</v>
      </c>
      <c r="D288" t="s">
        <v>586</v>
      </c>
      <c r="E288" t="s">
        <v>82</v>
      </c>
      <c r="F288">
        <v>10</v>
      </c>
      <c r="G288" t="s">
        <v>83</v>
      </c>
      <c r="H288" t="s">
        <v>84</v>
      </c>
      <c r="I288" t="s">
        <v>85</v>
      </c>
      <c r="J288" t="s">
        <v>575</v>
      </c>
      <c r="K288" t="s">
        <v>29</v>
      </c>
      <c r="L288" t="s">
        <v>40</v>
      </c>
      <c r="M288" t="s">
        <v>188</v>
      </c>
      <c r="N288" s="7">
        <v>5.8</v>
      </c>
      <c r="O288" s="7"/>
      <c r="P288" s="7">
        <v>3</v>
      </c>
      <c r="Q288" s="7">
        <v>9.1999999999999993</v>
      </c>
      <c r="R288" s="7"/>
      <c r="S288" s="7">
        <v>3</v>
      </c>
      <c r="T288" s="7">
        <v>2.2790348834539591</v>
      </c>
      <c r="U288" s="7">
        <v>2.2790348834539591</v>
      </c>
      <c r="V288" s="7">
        <v>0.46134556650262087</v>
      </c>
      <c r="W288" s="7">
        <v>7.1921769624932672E-2</v>
      </c>
      <c r="X288" t="s">
        <v>576</v>
      </c>
      <c r="Y288" t="s">
        <v>577</v>
      </c>
      <c r="Z288" t="s">
        <v>578</v>
      </c>
      <c r="AA288" t="s">
        <v>600</v>
      </c>
      <c r="AB288" t="s">
        <v>92</v>
      </c>
      <c r="AC288" t="s">
        <v>572</v>
      </c>
      <c r="AD288" t="s">
        <v>572</v>
      </c>
      <c r="AE288" t="s">
        <v>1721</v>
      </c>
      <c r="AF288" t="s">
        <v>1723</v>
      </c>
      <c r="AG288" t="s">
        <v>1721</v>
      </c>
      <c r="AI288" t="s">
        <v>40</v>
      </c>
      <c r="AJ288" t="s">
        <v>1636</v>
      </c>
      <c r="AK288" t="s">
        <v>1637</v>
      </c>
      <c r="AL288" s="4">
        <v>10</v>
      </c>
      <c r="AM288" t="s">
        <v>83</v>
      </c>
      <c r="AN288">
        <v>6.7019636753568798E-2</v>
      </c>
      <c r="AO288" t="s">
        <v>1638</v>
      </c>
      <c r="AP288" t="s">
        <v>1639</v>
      </c>
      <c r="AQ288" t="s">
        <v>1716</v>
      </c>
      <c r="AR288" t="s">
        <v>1641</v>
      </c>
      <c r="AS288">
        <v>1</v>
      </c>
      <c r="AT288">
        <v>0</v>
      </c>
      <c r="AU288">
        <v>1</v>
      </c>
      <c r="AV288">
        <v>1</v>
      </c>
      <c r="AW288">
        <v>0</v>
      </c>
      <c r="AX288">
        <v>0</v>
      </c>
      <c r="AY288" t="s">
        <v>1642</v>
      </c>
    </row>
    <row r="289" spans="1:51">
      <c r="A289" t="s">
        <v>572</v>
      </c>
      <c r="B289" t="s">
        <v>602</v>
      </c>
      <c r="C289" t="s">
        <v>183</v>
      </c>
      <c r="D289" t="s">
        <v>590</v>
      </c>
      <c r="E289" t="s">
        <v>82</v>
      </c>
      <c r="F289">
        <v>5</v>
      </c>
      <c r="G289" t="s">
        <v>83</v>
      </c>
      <c r="H289" t="s">
        <v>84</v>
      </c>
      <c r="I289" t="s">
        <v>85</v>
      </c>
      <c r="J289" t="s">
        <v>575</v>
      </c>
      <c r="K289" t="s">
        <v>29</v>
      </c>
      <c r="L289" t="s">
        <v>40</v>
      </c>
      <c r="M289" t="s">
        <v>188</v>
      </c>
      <c r="N289" s="7">
        <v>5</v>
      </c>
      <c r="O289" s="7"/>
      <c r="P289" s="7">
        <v>3</v>
      </c>
      <c r="Q289" s="7">
        <v>6.8</v>
      </c>
      <c r="R289" s="7"/>
      <c r="S289" s="7">
        <v>3</v>
      </c>
      <c r="T289" s="7">
        <v>2.2790348834539591</v>
      </c>
      <c r="U289" s="7">
        <v>2.2790348834539591</v>
      </c>
      <c r="V289" s="7">
        <v>0.30748469974796055</v>
      </c>
      <c r="W289" s="7">
        <v>0.10669566320645908</v>
      </c>
      <c r="X289" t="s">
        <v>576</v>
      </c>
      <c r="Y289" t="s">
        <v>577</v>
      </c>
      <c r="Z289" t="s">
        <v>578</v>
      </c>
      <c r="AA289" t="s">
        <v>603</v>
      </c>
      <c r="AB289" t="s">
        <v>92</v>
      </c>
      <c r="AC289" t="s">
        <v>572</v>
      </c>
      <c r="AD289" t="s">
        <v>572</v>
      </c>
      <c r="AE289" t="s">
        <v>1724</v>
      </c>
      <c r="AF289" t="s">
        <v>1725</v>
      </c>
      <c r="AG289" t="s">
        <v>1724</v>
      </c>
      <c r="AI289" t="s">
        <v>40</v>
      </c>
      <c r="AJ289" t="s">
        <v>1636</v>
      </c>
      <c r="AK289" t="s">
        <v>1637</v>
      </c>
      <c r="AL289" s="4">
        <v>5</v>
      </c>
      <c r="AM289" t="s">
        <v>83</v>
      </c>
      <c r="AN289">
        <v>3.3509818376784399E-2</v>
      </c>
      <c r="AO289" t="s">
        <v>1638</v>
      </c>
      <c r="AP289" t="s">
        <v>1639</v>
      </c>
      <c r="AQ289" t="s">
        <v>1716</v>
      </c>
      <c r="AR289" t="s">
        <v>1641</v>
      </c>
      <c r="AS289">
        <v>1</v>
      </c>
      <c r="AT289">
        <v>0</v>
      </c>
      <c r="AU289">
        <v>1</v>
      </c>
      <c r="AV289">
        <v>1</v>
      </c>
      <c r="AW289">
        <v>0</v>
      </c>
      <c r="AX289">
        <v>0</v>
      </c>
      <c r="AY289" t="s">
        <v>1642</v>
      </c>
    </row>
    <row r="290" spans="1:51">
      <c r="A290" t="s">
        <v>572</v>
      </c>
      <c r="B290" t="s">
        <v>604</v>
      </c>
      <c r="C290" t="s">
        <v>183</v>
      </c>
      <c r="D290" t="s">
        <v>590</v>
      </c>
      <c r="E290" t="s">
        <v>82</v>
      </c>
      <c r="F290">
        <v>10</v>
      </c>
      <c r="G290" t="s">
        <v>83</v>
      </c>
      <c r="H290" t="s">
        <v>84</v>
      </c>
      <c r="I290" t="s">
        <v>85</v>
      </c>
      <c r="J290" t="s">
        <v>575</v>
      </c>
      <c r="K290" t="s">
        <v>29</v>
      </c>
      <c r="L290" t="s">
        <v>40</v>
      </c>
      <c r="M290" t="s">
        <v>188</v>
      </c>
      <c r="N290" s="7">
        <v>5</v>
      </c>
      <c r="O290" s="7"/>
      <c r="P290" s="7">
        <v>3</v>
      </c>
      <c r="Q290" s="7">
        <v>8</v>
      </c>
      <c r="R290" s="7"/>
      <c r="S290" s="7">
        <v>3</v>
      </c>
      <c r="T290" s="7">
        <v>2.2790348834539591</v>
      </c>
      <c r="U290" s="7">
        <v>2.2790348834539591</v>
      </c>
      <c r="V290" s="7">
        <v>0.47000362924573563</v>
      </c>
      <c r="W290" s="7">
        <v>9.6305416666666685E-2</v>
      </c>
      <c r="X290" t="s">
        <v>576</v>
      </c>
      <c r="Y290" t="s">
        <v>577</v>
      </c>
      <c r="Z290" t="s">
        <v>578</v>
      </c>
      <c r="AA290" t="s">
        <v>603</v>
      </c>
      <c r="AB290" t="s">
        <v>92</v>
      </c>
      <c r="AC290" t="s">
        <v>572</v>
      </c>
      <c r="AD290" t="s">
        <v>572</v>
      </c>
      <c r="AE290" t="s">
        <v>1724</v>
      </c>
      <c r="AF290" t="s">
        <v>1726</v>
      </c>
      <c r="AG290" t="s">
        <v>1724</v>
      </c>
      <c r="AI290" t="s">
        <v>40</v>
      </c>
      <c r="AJ290" t="s">
        <v>1636</v>
      </c>
      <c r="AK290" t="s">
        <v>1637</v>
      </c>
      <c r="AL290" s="4">
        <v>10</v>
      </c>
      <c r="AM290" t="s">
        <v>83</v>
      </c>
      <c r="AN290">
        <v>6.7019636753568798E-2</v>
      </c>
      <c r="AO290" t="s">
        <v>1638</v>
      </c>
      <c r="AP290" t="s">
        <v>1639</v>
      </c>
      <c r="AQ290" t="s">
        <v>1716</v>
      </c>
      <c r="AR290" t="s">
        <v>1641</v>
      </c>
      <c r="AS290">
        <v>1</v>
      </c>
      <c r="AT290">
        <v>0</v>
      </c>
      <c r="AU290">
        <v>1</v>
      </c>
      <c r="AV290">
        <v>1</v>
      </c>
      <c r="AW290">
        <v>0</v>
      </c>
      <c r="AX290">
        <v>0</v>
      </c>
      <c r="AY290" t="s">
        <v>1642</v>
      </c>
    </row>
    <row r="291" spans="1:51">
      <c r="A291" t="s">
        <v>572</v>
      </c>
      <c r="B291" t="s">
        <v>605</v>
      </c>
      <c r="C291" t="s">
        <v>183</v>
      </c>
      <c r="D291" t="s">
        <v>574</v>
      </c>
      <c r="E291" t="s">
        <v>82</v>
      </c>
      <c r="F291">
        <v>5</v>
      </c>
      <c r="G291" t="s">
        <v>83</v>
      </c>
      <c r="H291" t="s">
        <v>84</v>
      </c>
      <c r="I291" t="s">
        <v>85</v>
      </c>
      <c r="J291" t="s">
        <v>575</v>
      </c>
      <c r="K291" t="s">
        <v>41</v>
      </c>
      <c r="L291" t="s">
        <v>30</v>
      </c>
      <c r="M291" t="s">
        <v>188</v>
      </c>
      <c r="N291" s="7">
        <v>6.3</v>
      </c>
      <c r="O291" s="7"/>
      <c r="P291" s="7">
        <v>3</v>
      </c>
      <c r="Q291" s="7">
        <v>8.6999999999999993</v>
      </c>
      <c r="R291" s="7"/>
      <c r="S291" s="7">
        <v>3</v>
      </c>
      <c r="T291" s="7">
        <v>1.9595917942265424</v>
      </c>
      <c r="U291" s="7">
        <v>1.9595917942265424</v>
      </c>
      <c r="V291" s="7">
        <v>0.32277339226305102</v>
      </c>
      <c r="W291" s="7">
        <v>4.9161021699383065E-2</v>
      </c>
      <c r="X291" t="s">
        <v>576</v>
      </c>
      <c r="Y291" t="s">
        <v>577</v>
      </c>
      <c r="Z291" t="s">
        <v>578</v>
      </c>
      <c r="AA291" t="s">
        <v>606</v>
      </c>
      <c r="AB291" t="s">
        <v>92</v>
      </c>
      <c r="AC291" t="s">
        <v>572</v>
      </c>
      <c r="AD291" t="s">
        <v>572</v>
      </c>
      <c r="AE291" t="s">
        <v>1714</v>
      </c>
      <c r="AF291" t="s">
        <v>1715</v>
      </c>
      <c r="AG291" t="s">
        <v>1714</v>
      </c>
      <c r="AI291" t="s">
        <v>30</v>
      </c>
      <c r="AJ291" t="s">
        <v>1636</v>
      </c>
      <c r="AK291" t="s">
        <v>1637</v>
      </c>
      <c r="AL291" s="4">
        <v>5</v>
      </c>
      <c r="AM291" t="s">
        <v>83</v>
      </c>
      <c r="AN291">
        <v>3.3509818376784399E-2</v>
      </c>
      <c r="AO291" t="s">
        <v>1638</v>
      </c>
      <c r="AP291" t="s">
        <v>1639</v>
      </c>
      <c r="AQ291" t="s">
        <v>1716</v>
      </c>
      <c r="AR291" t="s">
        <v>1641</v>
      </c>
      <c r="AS291">
        <v>1</v>
      </c>
      <c r="AT291">
        <v>0</v>
      </c>
      <c r="AU291">
        <v>1</v>
      </c>
      <c r="AV291">
        <v>1</v>
      </c>
      <c r="AW291">
        <v>0</v>
      </c>
      <c r="AX291">
        <v>0</v>
      </c>
      <c r="AY291" t="s">
        <v>1642</v>
      </c>
    </row>
    <row r="292" spans="1:51">
      <c r="A292" t="s">
        <v>572</v>
      </c>
      <c r="B292" t="s">
        <v>607</v>
      </c>
      <c r="C292" t="s">
        <v>183</v>
      </c>
      <c r="D292" t="s">
        <v>574</v>
      </c>
      <c r="E292" t="s">
        <v>82</v>
      </c>
      <c r="F292">
        <v>10</v>
      </c>
      <c r="G292" t="s">
        <v>83</v>
      </c>
      <c r="H292" t="s">
        <v>84</v>
      </c>
      <c r="I292" t="s">
        <v>85</v>
      </c>
      <c r="J292" t="s">
        <v>575</v>
      </c>
      <c r="K292" t="s">
        <v>41</v>
      </c>
      <c r="L292" t="s">
        <v>30</v>
      </c>
      <c r="M292" t="s">
        <v>188</v>
      </c>
      <c r="N292" s="7">
        <v>6.3</v>
      </c>
      <c r="O292" s="7"/>
      <c r="P292" s="7">
        <v>3</v>
      </c>
      <c r="Q292" s="7">
        <v>11.5</v>
      </c>
      <c r="R292" s="7"/>
      <c r="S292" s="7">
        <v>3</v>
      </c>
      <c r="T292" s="7">
        <v>1.9595917942265424</v>
      </c>
      <c r="U292" s="7">
        <v>1.9595917942265424</v>
      </c>
      <c r="V292" s="7">
        <v>0.60179740197171738</v>
      </c>
      <c r="W292" s="7">
        <v>4.1928575953240642E-2</v>
      </c>
      <c r="X292" t="s">
        <v>576</v>
      </c>
      <c r="Y292" t="s">
        <v>577</v>
      </c>
      <c r="Z292" t="s">
        <v>578</v>
      </c>
      <c r="AA292" t="s">
        <v>606</v>
      </c>
      <c r="AB292" t="s">
        <v>92</v>
      </c>
      <c r="AC292" t="s">
        <v>572</v>
      </c>
      <c r="AD292" t="s">
        <v>572</v>
      </c>
      <c r="AE292" t="s">
        <v>1714</v>
      </c>
      <c r="AF292" t="s">
        <v>1717</v>
      </c>
      <c r="AG292" t="s">
        <v>1714</v>
      </c>
      <c r="AI292" t="s">
        <v>30</v>
      </c>
      <c r="AJ292" t="s">
        <v>1636</v>
      </c>
      <c r="AK292" t="s">
        <v>1637</v>
      </c>
      <c r="AL292" s="4">
        <v>10</v>
      </c>
      <c r="AM292" t="s">
        <v>83</v>
      </c>
      <c r="AN292">
        <v>6.7019636753568798E-2</v>
      </c>
      <c r="AO292" t="s">
        <v>1638</v>
      </c>
      <c r="AP292" t="s">
        <v>1639</v>
      </c>
      <c r="AQ292" t="s">
        <v>1716</v>
      </c>
      <c r="AR292" t="s">
        <v>1641</v>
      </c>
      <c r="AS292">
        <v>1</v>
      </c>
      <c r="AT292">
        <v>0</v>
      </c>
      <c r="AU292">
        <v>1</v>
      </c>
      <c r="AV292">
        <v>1</v>
      </c>
      <c r="AW292">
        <v>0</v>
      </c>
      <c r="AX292">
        <v>0</v>
      </c>
      <c r="AY292" t="s">
        <v>1642</v>
      </c>
    </row>
    <row r="293" spans="1:51">
      <c r="A293" t="s">
        <v>572</v>
      </c>
      <c r="B293" t="s">
        <v>608</v>
      </c>
      <c r="C293" t="s">
        <v>183</v>
      </c>
      <c r="D293" t="s">
        <v>582</v>
      </c>
      <c r="E293" t="s">
        <v>82</v>
      </c>
      <c r="F293">
        <v>5</v>
      </c>
      <c r="G293" t="s">
        <v>83</v>
      </c>
      <c r="H293" t="s">
        <v>84</v>
      </c>
      <c r="I293" t="s">
        <v>85</v>
      </c>
      <c r="J293" t="s">
        <v>575</v>
      </c>
      <c r="K293" t="s">
        <v>41</v>
      </c>
      <c r="L293" t="s">
        <v>30</v>
      </c>
      <c r="M293" t="s">
        <v>188</v>
      </c>
      <c r="N293" s="7">
        <v>6</v>
      </c>
      <c r="O293" s="7"/>
      <c r="P293" s="7">
        <v>3</v>
      </c>
      <c r="Q293" s="7">
        <v>7.6</v>
      </c>
      <c r="R293" s="7"/>
      <c r="S293" s="7">
        <v>3</v>
      </c>
      <c r="T293" s="7">
        <v>1.9595917942265424</v>
      </c>
      <c r="U293" s="7">
        <v>1.9595917942265424</v>
      </c>
      <c r="V293" s="7">
        <v>0.23638877806423034</v>
      </c>
      <c r="W293" s="7">
        <v>5.7716220375500157E-2</v>
      </c>
      <c r="X293" t="s">
        <v>576</v>
      </c>
      <c r="Y293" t="s">
        <v>577</v>
      </c>
      <c r="Z293" t="s">
        <v>578</v>
      </c>
      <c r="AA293" t="s">
        <v>609</v>
      </c>
      <c r="AB293" t="s">
        <v>92</v>
      </c>
      <c r="AC293" t="s">
        <v>572</v>
      </c>
      <c r="AD293" t="s">
        <v>572</v>
      </c>
      <c r="AE293" t="s">
        <v>1718</v>
      </c>
      <c r="AF293" t="s">
        <v>1719</v>
      </c>
      <c r="AG293" t="s">
        <v>1718</v>
      </c>
      <c r="AI293" t="s">
        <v>30</v>
      </c>
      <c r="AJ293" t="s">
        <v>1636</v>
      </c>
      <c r="AK293" t="s">
        <v>1637</v>
      </c>
      <c r="AL293" s="4">
        <v>5</v>
      </c>
      <c r="AM293" t="s">
        <v>83</v>
      </c>
      <c r="AN293">
        <v>3.3509818376784399E-2</v>
      </c>
      <c r="AO293" t="s">
        <v>1638</v>
      </c>
      <c r="AP293" t="s">
        <v>1639</v>
      </c>
      <c r="AQ293" t="s">
        <v>1716</v>
      </c>
      <c r="AR293" t="s">
        <v>1641</v>
      </c>
      <c r="AS293">
        <v>1</v>
      </c>
      <c r="AT293">
        <v>0</v>
      </c>
      <c r="AU293">
        <v>1</v>
      </c>
      <c r="AV293">
        <v>1</v>
      </c>
      <c r="AW293">
        <v>0</v>
      </c>
      <c r="AX293">
        <v>0</v>
      </c>
      <c r="AY293" t="s">
        <v>1642</v>
      </c>
    </row>
    <row r="294" spans="1:51">
      <c r="A294" t="s">
        <v>572</v>
      </c>
      <c r="B294" t="s">
        <v>610</v>
      </c>
      <c r="C294" t="s">
        <v>183</v>
      </c>
      <c r="D294" t="s">
        <v>582</v>
      </c>
      <c r="E294" t="s">
        <v>82</v>
      </c>
      <c r="F294">
        <v>10</v>
      </c>
      <c r="G294" t="s">
        <v>83</v>
      </c>
      <c r="H294" t="s">
        <v>84</v>
      </c>
      <c r="I294" t="s">
        <v>85</v>
      </c>
      <c r="J294" t="s">
        <v>575</v>
      </c>
      <c r="K294" t="s">
        <v>41</v>
      </c>
      <c r="L294" t="s">
        <v>30</v>
      </c>
      <c r="M294" t="s">
        <v>188</v>
      </c>
      <c r="N294" s="7">
        <v>6</v>
      </c>
      <c r="O294" s="7"/>
      <c r="P294" s="7">
        <v>3</v>
      </c>
      <c r="Q294" s="7">
        <v>10</v>
      </c>
      <c r="R294" s="7"/>
      <c r="S294" s="7">
        <v>3</v>
      </c>
      <c r="T294" s="7">
        <v>1.9595917942265424</v>
      </c>
      <c r="U294" s="7">
        <v>1.9595917942265424</v>
      </c>
      <c r="V294" s="7">
        <v>0.51082562376599072</v>
      </c>
      <c r="W294" s="7">
        <v>4.8355555555555554E-2</v>
      </c>
      <c r="X294" t="s">
        <v>576</v>
      </c>
      <c r="Y294" t="s">
        <v>577</v>
      </c>
      <c r="Z294" t="s">
        <v>578</v>
      </c>
      <c r="AA294" t="s">
        <v>609</v>
      </c>
      <c r="AB294" t="s">
        <v>92</v>
      </c>
      <c r="AC294" t="s">
        <v>572</v>
      </c>
      <c r="AD294" t="s">
        <v>572</v>
      </c>
      <c r="AE294" t="s">
        <v>1718</v>
      </c>
      <c r="AF294" t="s">
        <v>1720</v>
      </c>
      <c r="AG294" t="s">
        <v>1718</v>
      </c>
      <c r="AI294" t="s">
        <v>30</v>
      </c>
      <c r="AJ294" t="s">
        <v>1636</v>
      </c>
      <c r="AK294" t="s">
        <v>1637</v>
      </c>
      <c r="AL294" s="4">
        <v>10</v>
      </c>
      <c r="AM294" t="s">
        <v>83</v>
      </c>
      <c r="AN294">
        <v>6.7019636753568798E-2</v>
      </c>
      <c r="AO294" t="s">
        <v>1638</v>
      </c>
      <c r="AP294" t="s">
        <v>1639</v>
      </c>
      <c r="AQ294" t="s">
        <v>1716</v>
      </c>
      <c r="AR294" t="s">
        <v>1641</v>
      </c>
      <c r="AS294">
        <v>1</v>
      </c>
      <c r="AT294">
        <v>0</v>
      </c>
      <c r="AU294">
        <v>1</v>
      </c>
      <c r="AV294">
        <v>1</v>
      </c>
      <c r="AW294">
        <v>0</v>
      </c>
      <c r="AX294">
        <v>0</v>
      </c>
      <c r="AY294" t="s">
        <v>1642</v>
      </c>
    </row>
    <row r="295" spans="1:51">
      <c r="A295" t="s">
        <v>572</v>
      </c>
      <c r="B295" t="s">
        <v>611</v>
      </c>
      <c r="C295" t="s">
        <v>183</v>
      </c>
      <c r="D295" t="s">
        <v>586</v>
      </c>
      <c r="E295" t="s">
        <v>82</v>
      </c>
      <c r="F295">
        <v>5</v>
      </c>
      <c r="G295" t="s">
        <v>83</v>
      </c>
      <c r="H295" t="s">
        <v>84</v>
      </c>
      <c r="I295" t="s">
        <v>85</v>
      </c>
      <c r="J295" t="s">
        <v>575</v>
      </c>
      <c r="K295" t="s">
        <v>41</v>
      </c>
      <c r="L295" t="s">
        <v>30</v>
      </c>
      <c r="M295" t="s">
        <v>188</v>
      </c>
      <c r="N295" s="7">
        <v>4.2</v>
      </c>
      <c r="O295" s="7"/>
      <c r="P295" s="7">
        <v>3</v>
      </c>
      <c r="Q295" s="7">
        <v>4.7</v>
      </c>
      <c r="R295" s="7"/>
      <c r="S295" s="7">
        <v>3</v>
      </c>
      <c r="T295" s="7">
        <v>1.9595917942265424</v>
      </c>
      <c r="U295" s="7">
        <v>1.9595917942265424</v>
      </c>
      <c r="V295" s="7">
        <v>0.1124779834266903</v>
      </c>
      <c r="W295" s="7">
        <v>0.13050712966641309</v>
      </c>
      <c r="X295" t="s">
        <v>576</v>
      </c>
      <c r="Y295" t="s">
        <v>577</v>
      </c>
      <c r="Z295" t="s">
        <v>578</v>
      </c>
      <c r="AA295" t="s">
        <v>612</v>
      </c>
      <c r="AB295" t="s">
        <v>92</v>
      </c>
      <c r="AC295" t="s">
        <v>572</v>
      </c>
      <c r="AD295" t="s">
        <v>572</v>
      </c>
      <c r="AE295" t="s">
        <v>1721</v>
      </c>
      <c r="AF295" t="s">
        <v>1722</v>
      </c>
      <c r="AG295" t="s">
        <v>1721</v>
      </c>
      <c r="AI295" t="s">
        <v>30</v>
      </c>
      <c r="AJ295" t="s">
        <v>1636</v>
      </c>
      <c r="AK295" t="s">
        <v>1637</v>
      </c>
      <c r="AL295" s="4">
        <v>5</v>
      </c>
      <c r="AM295" t="s">
        <v>83</v>
      </c>
      <c r="AN295">
        <v>3.3509818376784399E-2</v>
      </c>
      <c r="AO295" t="s">
        <v>1638</v>
      </c>
      <c r="AP295" t="s">
        <v>1639</v>
      </c>
      <c r="AQ295" t="s">
        <v>1716</v>
      </c>
      <c r="AR295" t="s">
        <v>1641</v>
      </c>
      <c r="AS295">
        <v>1</v>
      </c>
      <c r="AT295">
        <v>0</v>
      </c>
      <c r="AU295">
        <v>1</v>
      </c>
      <c r="AV295">
        <v>1</v>
      </c>
      <c r="AW295">
        <v>0</v>
      </c>
      <c r="AX295">
        <v>0</v>
      </c>
      <c r="AY295" t="s">
        <v>1642</v>
      </c>
    </row>
    <row r="296" spans="1:51">
      <c r="A296" t="s">
        <v>572</v>
      </c>
      <c r="B296" t="s">
        <v>613</v>
      </c>
      <c r="C296" t="s">
        <v>183</v>
      </c>
      <c r="D296" t="s">
        <v>586</v>
      </c>
      <c r="E296" t="s">
        <v>82</v>
      </c>
      <c r="F296">
        <v>10</v>
      </c>
      <c r="G296" t="s">
        <v>83</v>
      </c>
      <c r="H296" t="s">
        <v>84</v>
      </c>
      <c r="I296" t="s">
        <v>85</v>
      </c>
      <c r="J296" t="s">
        <v>575</v>
      </c>
      <c r="K296" t="s">
        <v>41</v>
      </c>
      <c r="L296" t="s">
        <v>30</v>
      </c>
      <c r="M296" t="s">
        <v>188</v>
      </c>
      <c r="N296" s="7">
        <v>4.2</v>
      </c>
      <c r="O296" s="7"/>
      <c r="P296" s="7">
        <v>3</v>
      </c>
      <c r="Q296" s="7">
        <v>7</v>
      </c>
      <c r="R296" s="7"/>
      <c r="S296" s="7">
        <v>3</v>
      </c>
      <c r="T296" s="7">
        <v>1.9595917942265424</v>
      </c>
      <c r="U296" s="7">
        <v>1.9595917942265424</v>
      </c>
      <c r="V296" s="7">
        <v>0.51082562376599061</v>
      </c>
      <c r="W296" s="7">
        <v>9.868480725623581E-2</v>
      </c>
      <c r="X296" t="s">
        <v>576</v>
      </c>
      <c r="Y296" t="s">
        <v>577</v>
      </c>
      <c r="Z296" t="s">
        <v>578</v>
      </c>
      <c r="AA296" t="s">
        <v>612</v>
      </c>
      <c r="AB296" t="s">
        <v>92</v>
      </c>
      <c r="AC296" t="s">
        <v>572</v>
      </c>
      <c r="AD296" t="s">
        <v>572</v>
      </c>
      <c r="AE296" t="s">
        <v>1721</v>
      </c>
      <c r="AF296" t="s">
        <v>1723</v>
      </c>
      <c r="AG296" t="s">
        <v>1721</v>
      </c>
      <c r="AI296" t="s">
        <v>30</v>
      </c>
      <c r="AJ296" t="s">
        <v>1636</v>
      </c>
      <c r="AK296" t="s">
        <v>1637</v>
      </c>
      <c r="AL296" s="4">
        <v>10</v>
      </c>
      <c r="AM296" t="s">
        <v>83</v>
      </c>
      <c r="AN296">
        <v>6.7019636753568798E-2</v>
      </c>
      <c r="AO296" t="s">
        <v>1638</v>
      </c>
      <c r="AP296" t="s">
        <v>1639</v>
      </c>
      <c r="AQ296" t="s">
        <v>1716</v>
      </c>
      <c r="AR296" t="s">
        <v>1641</v>
      </c>
      <c r="AS296">
        <v>1</v>
      </c>
      <c r="AT296">
        <v>0</v>
      </c>
      <c r="AU296">
        <v>1</v>
      </c>
      <c r="AV296">
        <v>1</v>
      </c>
      <c r="AW296">
        <v>0</v>
      </c>
      <c r="AX296">
        <v>0</v>
      </c>
      <c r="AY296" t="s">
        <v>1642</v>
      </c>
    </row>
    <row r="297" spans="1:51">
      <c r="A297" t="s">
        <v>572</v>
      </c>
      <c r="B297" t="s">
        <v>614</v>
      </c>
      <c r="C297" t="s">
        <v>183</v>
      </c>
      <c r="D297" t="s">
        <v>590</v>
      </c>
      <c r="E297" t="s">
        <v>82</v>
      </c>
      <c r="F297">
        <v>5</v>
      </c>
      <c r="G297" t="s">
        <v>83</v>
      </c>
      <c r="H297" t="s">
        <v>84</v>
      </c>
      <c r="I297" t="s">
        <v>85</v>
      </c>
      <c r="J297" t="s">
        <v>575</v>
      </c>
      <c r="K297" t="s">
        <v>41</v>
      </c>
      <c r="L297" t="s">
        <v>30</v>
      </c>
      <c r="M297" t="s">
        <v>188</v>
      </c>
      <c r="N297" s="7">
        <v>3.8</v>
      </c>
      <c r="O297" s="7"/>
      <c r="P297" s="7">
        <v>3</v>
      </c>
      <c r="Q297" s="7">
        <v>4.3</v>
      </c>
      <c r="R297" s="7"/>
      <c r="S297" s="7">
        <v>3</v>
      </c>
      <c r="T297" s="7">
        <v>1.9595917942265424</v>
      </c>
      <c r="U297" s="7">
        <v>1.9595917942265424</v>
      </c>
      <c r="V297" s="7">
        <v>0.12361395596717663</v>
      </c>
      <c r="W297" s="7">
        <v>0.15786926825760425</v>
      </c>
      <c r="X297" t="s">
        <v>576</v>
      </c>
      <c r="Y297" t="s">
        <v>577</v>
      </c>
      <c r="Z297" t="s">
        <v>578</v>
      </c>
      <c r="AA297" t="s">
        <v>615</v>
      </c>
      <c r="AB297" t="s">
        <v>92</v>
      </c>
      <c r="AC297" t="s">
        <v>572</v>
      </c>
      <c r="AD297" t="s">
        <v>572</v>
      </c>
      <c r="AE297" t="s">
        <v>1724</v>
      </c>
      <c r="AF297" t="s">
        <v>1725</v>
      </c>
      <c r="AG297" t="s">
        <v>1724</v>
      </c>
      <c r="AI297" t="s">
        <v>30</v>
      </c>
      <c r="AJ297" t="s">
        <v>1636</v>
      </c>
      <c r="AK297" t="s">
        <v>1637</v>
      </c>
      <c r="AL297" s="4">
        <v>5</v>
      </c>
      <c r="AM297" t="s">
        <v>83</v>
      </c>
      <c r="AN297">
        <v>3.3509818376784399E-2</v>
      </c>
      <c r="AO297" t="s">
        <v>1638</v>
      </c>
      <c r="AP297" t="s">
        <v>1639</v>
      </c>
      <c r="AQ297" t="s">
        <v>1716</v>
      </c>
      <c r="AR297" t="s">
        <v>1641</v>
      </c>
      <c r="AS297">
        <v>1</v>
      </c>
      <c r="AT297">
        <v>0</v>
      </c>
      <c r="AU297">
        <v>1</v>
      </c>
      <c r="AV297">
        <v>1</v>
      </c>
      <c r="AW297">
        <v>0</v>
      </c>
      <c r="AX297">
        <v>0</v>
      </c>
      <c r="AY297" t="s">
        <v>1642</v>
      </c>
    </row>
    <row r="298" spans="1:51">
      <c r="A298" t="s">
        <v>572</v>
      </c>
      <c r="B298" t="s">
        <v>616</v>
      </c>
      <c r="C298" t="s">
        <v>183</v>
      </c>
      <c r="D298" t="s">
        <v>590</v>
      </c>
      <c r="E298" t="s">
        <v>82</v>
      </c>
      <c r="F298">
        <v>10</v>
      </c>
      <c r="G298" t="s">
        <v>83</v>
      </c>
      <c r="H298" t="s">
        <v>84</v>
      </c>
      <c r="I298" t="s">
        <v>85</v>
      </c>
      <c r="J298" t="s">
        <v>575</v>
      </c>
      <c r="K298" t="s">
        <v>41</v>
      </c>
      <c r="L298" t="s">
        <v>30</v>
      </c>
      <c r="M298" t="s">
        <v>188</v>
      </c>
      <c r="N298" s="7">
        <v>3.8</v>
      </c>
      <c r="O298" s="7"/>
      <c r="P298" s="7">
        <v>3</v>
      </c>
      <c r="Q298" s="7">
        <v>6.5</v>
      </c>
      <c r="R298" s="7"/>
      <c r="S298" s="7">
        <v>3</v>
      </c>
      <c r="T298" s="7">
        <v>1.9595917942265424</v>
      </c>
      <c r="U298" s="7">
        <v>1.9595917942265424</v>
      </c>
      <c r="V298" s="7">
        <v>0.53680111016925136</v>
      </c>
      <c r="W298" s="7">
        <v>0.11893851726794408</v>
      </c>
      <c r="X298" t="s">
        <v>576</v>
      </c>
      <c r="Y298" t="s">
        <v>577</v>
      </c>
      <c r="Z298" t="s">
        <v>578</v>
      </c>
      <c r="AA298" t="s">
        <v>615</v>
      </c>
      <c r="AB298" t="s">
        <v>92</v>
      </c>
      <c r="AC298" t="s">
        <v>572</v>
      </c>
      <c r="AD298" t="s">
        <v>572</v>
      </c>
      <c r="AE298" t="s">
        <v>1724</v>
      </c>
      <c r="AF298" t="s">
        <v>1726</v>
      </c>
      <c r="AG298" t="s">
        <v>1724</v>
      </c>
      <c r="AI298" t="s">
        <v>30</v>
      </c>
      <c r="AJ298" t="s">
        <v>1636</v>
      </c>
      <c r="AK298" t="s">
        <v>1637</v>
      </c>
      <c r="AL298" s="4">
        <v>10</v>
      </c>
      <c r="AM298" t="s">
        <v>83</v>
      </c>
      <c r="AN298">
        <v>6.7019636753568798E-2</v>
      </c>
      <c r="AO298" t="s">
        <v>1638</v>
      </c>
      <c r="AP298" t="s">
        <v>1639</v>
      </c>
      <c r="AQ298" t="s">
        <v>1716</v>
      </c>
      <c r="AR298" t="s">
        <v>1641</v>
      </c>
      <c r="AS298">
        <v>1</v>
      </c>
      <c r="AT298">
        <v>0</v>
      </c>
      <c r="AU298">
        <v>1</v>
      </c>
      <c r="AV298">
        <v>1</v>
      </c>
      <c r="AW298">
        <v>0</v>
      </c>
      <c r="AX298">
        <v>0</v>
      </c>
      <c r="AY298" t="s">
        <v>1642</v>
      </c>
    </row>
    <row r="299" spans="1:51">
      <c r="A299" t="s">
        <v>572</v>
      </c>
      <c r="B299" t="s">
        <v>617</v>
      </c>
      <c r="C299" t="s">
        <v>183</v>
      </c>
      <c r="D299" t="s">
        <v>574</v>
      </c>
      <c r="E299" t="s">
        <v>82</v>
      </c>
      <c r="F299">
        <v>5</v>
      </c>
      <c r="G299" t="s">
        <v>83</v>
      </c>
      <c r="H299" t="s">
        <v>84</v>
      </c>
      <c r="I299" t="s">
        <v>85</v>
      </c>
      <c r="J299" t="s">
        <v>575</v>
      </c>
      <c r="K299" t="s">
        <v>29</v>
      </c>
      <c r="L299" t="s">
        <v>30</v>
      </c>
      <c r="M299" t="s">
        <v>188</v>
      </c>
      <c r="N299" s="7">
        <v>7.5</v>
      </c>
      <c r="O299" s="7"/>
      <c r="P299" s="7">
        <v>3</v>
      </c>
      <c r="Q299" s="7">
        <v>8.8000000000000007</v>
      </c>
      <c r="R299" s="7"/>
      <c r="S299" s="7">
        <v>3</v>
      </c>
      <c r="T299" s="7">
        <v>1.8886503117305755</v>
      </c>
      <c r="U299" s="7">
        <v>1.8886503117305755</v>
      </c>
      <c r="V299" s="7">
        <v>0.15984870094189604</v>
      </c>
      <c r="W299" s="7">
        <v>3.6491600091827364E-2</v>
      </c>
      <c r="X299" t="s">
        <v>576</v>
      </c>
      <c r="Y299" t="s">
        <v>577</v>
      </c>
      <c r="Z299" t="s">
        <v>578</v>
      </c>
      <c r="AA299" t="s">
        <v>618</v>
      </c>
      <c r="AB299" t="s">
        <v>92</v>
      </c>
      <c r="AC299" t="s">
        <v>572</v>
      </c>
      <c r="AD299" t="s">
        <v>572</v>
      </c>
      <c r="AE299" t="s">
        <v>1714</v>
      </c>
      <c r="AF299" t="s">
        <v>1715</v>
      </c>
      <c r="AG299" t="s">
        <v>1714</v>
      </c>
      <c r="AI299" t="s">
        <v>30</v>
      </c>
      <c r="AJ299" t="s">
        <v>1636</v>
      </c>
      <c r="AK299" t="s">
        <v>1637</v>
      </c>
      <c r="AL299" s="4">
        <v>5</v>
      </c>
      <c r="AM299" t="s">
        <v>83</v>
      </c>
      <c r="AN299">
        <v>3.3509818376784399E-2</v>
      </c>
      <c r="AO299" t="s">
        <v>1638</v>
      </c>
      <c r="AP299" t="s">
        <v>1639</v>
      </c>
      <c r="AQ299" t="s">
        <v>1716</v>
      </c>
      <c r="AR299" t="s">
        <v>1641</v>
      </c>
      <c r="AS299">
        <v>1</v>
      </c>
      <c r="AT299">
        <v>0</v>
      </c>
      <c r="AU299">
        <v>1</v>
      </c>
      <c r="AV299">
        <v>1</v>
      </c>
      <c r="AW299">
        <v>0</v>
      </c>
      <c r="AX299">
        <v>0</v>
      </c>
      <c r="AY299" t="s">
        <v>1642</v>
      </c>
    </row>
    <row r="300" spans="1:51">
      <c r="A300" t="s">
        <v>572</v>
      </c>
      <c r="B300" t="s">
        <v>619</v>
      </c>
      <c r="C300" t="s">
        <v>183</v>
      </c>
      <c r="D300" t="s">
        <v>574</v>
      </c>
      <c r="E300" t="s">
        <v>82</v>
      </c>
      <c r="F300">
        <v>10</v>
      </c>
      <c r="G300" t="s">
        <v>83</v>
      </c>
      <c r="H300" t="s">
        <v>84</v>
      </c>
      <c r="I300" t="s">
        <v>85</v>
      </c>
      <c r="J300" t="s">
        <v>575</v>
      </c>
      <c r="K300" t="s">
        <v>29</v>
      </c>
      <c r="L300" t="s">
        <v>30</v>
      </c>
      <c r="M300" t="s">
        <v>188</v>
      </c>
      <c r="N300" s="7">
        <v>7.5</v>
      </c>
      <c r="O300" s="7"/>
      <c r="P300" s="7">
        <v>3</v>
      </c>
      <c r="Q300" s="7">
        <v>9</v>
      </c>
      <c r="R300" s="7"/>
      <c r="S300" s="7">
        <v>3</v>
      </c>
      <c r="T300" s="7">
        <v>1.8886503117305755</v>
      </c>
      <c r="U300" s="7">
        <v>1.8886503117305755</v>
      </c>
      <c r="V300" s="7">
        <v>0.18232155679395459</v>
      </c>
      <c r="W300" s="7">
        <v>3.5816790123456795E-2</v>
      </c>
      <c r="X300" t="s">
        <v>576</v>
      </c>
      <c r="Y300" t="s">
        <v>577</v>
      </c>
      <c r="Z300" t="s">
        <v>578</v>
      </c>
      <c r="AA300" t="s">
        <v>618</v>
      </c>
      <c r="AB300" t="s">
        <v>92</v>
      </c>
      <c r="AC300" t="s">
        <v>572</v>
      </c>
      <c r="AD300" t="s">
        <v>572</v>
      </c>
      <c r="AE300" t="s">
        <v>1714</v>
      </c>
      <c r="AF300" t="s">
        <v>1717</v>
      </c>
      <c r="AG300" t="s">
        <v>1714</v>
      </c>
      <c r="AI300" t="s">
        <v>30</v>
      </c>
      <c r="AJ300" t="s">
        <v>1636</v>
      </c>
      <c r="AK300" t="s">
        <v>1637</v>
      </c>
      <c r="AL300" s="4">
        <v>10</v>
      </c>
      <c r="AM300" t="s">
        <v>83</v>
      </c>
      <c r="AN300">
        <v>6.7019636753568798E-2</v>
      </c>
      <c r="AO300" t="s">
        <v>1638</v>
      </c>
      <c r="AP300" t="s">
        <v>1639</v>
      </c>
      <c r="AQ300" t="s">
        <v>1716</v>
      </c>
      <c r="AR300" t="s">
        <v>1641</v>
      </c>
      <c r="AS300">
        <v>1</v>
      </c>
      <c r="AT300">
        <v>0</v>
      </c>
      <c r="AU300">
        <v>1</v>
      </c>
      <c r="AV300">
        <v>1</v>
      </c>
      <c r="AW300">
        <v>0</v>
      </c>
      <c r="AX300">
        <v>0</v>
      </c>
      <c r="AY300" t="s">
        <v>1642</v>
      </c>
    </row>
    <row r="301" spans="1:51">
      <c r="A301" t="s">
        <v>572</v>
      </c>
      <c r="B301" t="s">
        <v>620</v>
      </c>
      <c r="C301" t="s">
        <v>183</v>
      </c>
      <c r="D301" t="s">
        <v>582</v>
      </c>
      <c r="E301" t="s">
        <v>82</v>
      </c>
      <c r="F301">
        <v>5</v>
      </c>
      <c r="G301" t="s">
        <v>83</v>
      </c>
      <c r="H301" t="s">
        <v>84</v>
      </c>
      <c r="I301" t="s">
        <v>85</v>
      </c>
      <c r="J301" t="s">
        <v>575</v>
      </c>
      <c r="K301" t="s">
        <v>29</v>
      </c>
      <c r="L301" t="s">
        <v>30</v>
      </c>
      <c r="M301" t="s">
        <v>188</v>
      </c>
      <c r="N301" s="7">
        <v>8.3000000000000007</v>
      </c>
      <c r="O301" s="7"/>
      <c r="P301" s="7">
        <v>3</v>
      </c>
      <c r="Q301" s="7">
        <v>9.3000000000000007</v>
      </c>
      <c r="R301" s="7"/>
      <c r="S301" s="7">
        <v>3</v>
      </c>
      <c r="T301" s="7">
        <v>1.8886503117305755</v>
      </c>
      <c r="U301" s="7">
        <v>1.8886503117305755</v>
      </c>
      <c r="V301" s="7">
        <v>0.11375888535665796</v>
      </c>
      <c r="W301" s="7">
        <v>3.1006653059756459E-2</v>
      </c>
      <c r="X301" t="s">
        <v>576</v>
      </c>
      <c r="Y301" t="s">
        <v>577</v>
      </c>
      <c r="Z301" t="s">
        <v>578</v>
      </c>
      <c r="AA301" t="s">
        <v>621</v>
      </c>
      <c r="AB301" t="s">
        <v>92</v>
      </c>
      <c r="AC301" t="s">
        <v>572</v>
      </c>
      <c r="AD301" t="s">
        <v>572</v>
      </c>
      <c r="AE301" t="s">
        <v>1718</v>
      </c>
      <c r="AF301" t="s">
        <v>1719</v>
      </c>
      <c r="AG301" t="s">
        <v>1718</v>
      </c>
      <c r="AI301" t="s">
        <v>30</v>
      </c>
      <c r="AJ301" t="s">
        <v>1636</v>
      </c>
      <c r="AK301" t="s">
        <v>1637</v>
      </c>
      <c r="AL301" s="4">
        <v>5</v>
      </c>
      <c r="AM301" t="s">
        <v>83</v>
      </c>
      <c r="AN301">
        <v>3.3509818376784399E-2</v>
      </c>
      <c r="AO301" t="s">
        <v>1638</v>
      </c>
      <c r="AP301" t="s">
        <v>1639</v>
      </c>
      <c r="AQ301" t="s">
        <v>1716</v>
      </c>
      <c r="AR301" t="s">
        <v>1641</v>
      </c>
      <c r="AS301">
        <v>1</v>
      </c>
      <c r="AT301">
        <v>0</v>
      </c>
      <c r="AU301">
        <v>1</v>
      </c>
      <c r="AV301">
        <v>1</v>
      </c>
      <c r="AW301">
        <v>0</v>
      </c>
      <c r="AX301">
        <v>0</v>
      </c>
      <c r="AY301" t="s">
        <v>1642</v>
      </c>
    </row>
    <row r="302" spans="1:51">
      <c r="A302" t="s">
        <v>572</v>
      </c>
      <c r="B302" t="s">
        <v>622</v>
      </c>
      <c r="C302" t="s">
        <v>183</v>
      </c>
      <c r="D302" t="s">
        <v>582</v>
      </c>
      <c r="E302" t="s">
        <v>82</v>
      </c>
      <c r="F302">
        <v>10</v>
      </c>
      <c r="G302" t="s">
        <v>83</v>
      </c>
      <c r="H302" t="s">
        <v>84</v>
      </c>
      <c r="I302" t="s">
        <v>85</v>
      </c>
      <c r="J302" t="s">
        <v>575</v>
      </c>
      <c r="K302" t="s">
        <v>29</v>
      </c>
      <c r="L302" t="s">
        <v>30</v>
      </c>
      <c r="M302" t="s">
        <v>188</v>
      </c>
      <c r="N302" s="7">
        <v>8.3000000000000007</v>
      </c>
      <c r="O302" s="7"/>
      <c r="P302" s="7">
        <v>3</v>
      </c>
      <c r="Q302" s="7">
        <v>10.8</v>
      </c>
      <c r="R302" s="7"/>
      <c r="S302" s="7">
        <v>3</v>
      </c>
      <c r="T302" s="7">
        <v>1.8886503117305755</v>
      </c>
      <c r="U302" s="7">
        <v>1.8886503117305755</v>
      </c>
      <c r="V302" s="7">
        <v>0.26329061932762177</v>
      </c>
      <c r="W302" s="7">
        <v>2.7453157615339136E-2</v>
      </c>
      <c r="X302" t="s">
        <v>576</v>
      </c>
      <c r="Y302" t="s">
        <v>577</v>
      </c>
      <c r="Z302" t="s">
        <v>578</v>
      </c>
      <c r="AA302" t="s">
        <v>621</v>
      </c>
      <c r="AB302" t="s">
        <v>92</v>
      </c>
      <c r="AC302" t="s">
        <v>572</v>
      </c>
      <c r="AD302" t="s">
        <v>572</v>
      </c>
      <c r="AE302" t="s">
        <v>1718</v>
      </c>
      <c r="AF302" t="s">
        <v>1720</v>
      </c>
      <c r="AG302" t="s">
        <v>1718</v>
      </c>
      <c r="AI302" t="s">
        <v>30</v>
      </c>
      <c r="AJ302" t="s">
        <v>1636</v>
      </c>
      <c r="AK302" t="s">
        <v>1637</v>
      </c>
      <c r="AL302" s="4">
        <v>10</v>
      </c>
      <c r="AM302" t="s">
        <v>83</v>
      </c>
      <c r="AN302">
        <v>6.7019636753568798E-2</v>
      </c>
      <c r="AO302" t="s">
        <v>1638</v>
      </c>
      <c r="AP302" t="s">
        <v>1639</v>
      </c>
      <c r="AQ302" t="s">
        <v>1716</v>
      </c>
      <c r="AR302" t="s">
        <v>1641</v>
      </c>
      <c r="AS302">
        <v>1</v>
      </c>
      <c r="AT302">
        <v>0</v>
      </c>
      <c r="AU302">
        <v>1</v>
      </c>
      <c r="AV302">
        <v>1</v>
      </c>
      <c r="AW302">
        <v>0</v>
      </c>
      <c r="AX302">
        <v>0</v>
      </c>
      <c r="AY302" t="s">
        <v>1642</v>
      </c>
    </row>
    <row r="303" spans="1:51">
      <c r="A303" t="s">
        <v>572</v>
      </c>
      <c r="B303" t="s">
        <v>623</v>
      </c>
      <c r="C303" t="s">
        <v>183</v>
      </c>
      <c r="D303" t="s">
        <v>586</v>
      </c>
      <c r="E303" t="s">
        <v>82</v>
      </c>
      <c r="F303">
        <v>5</v>
      </c>
      <c r="G303" t="s">
        <v>83</v>
      </c>
      <c r="H303" t="s">
        <v>84</v>
      </c>
      <c r="I303" t="s">
        <v>85</v>
      </c>
      <c r="J303" t="s">
        <v>575</v>
      </c>
      <c r="K303" t="s">
        <v>29</v>
      </c>
      <c r="L303" t="s">
        <v>30</v>
      </c>
      <c r="M303" t="s">
        <v>188</v>
      </c>
      <c r="N303" s="7">
        <v>5</v>
      </c>
      <c r="O303" s="7"/>
      <c r="P303" s="7">
        <v>3</v>
      </c>
      <c r="Q303" s="7">
        <v>6</v>
      </c>
      <c r="R303" s="7"/>
      <c r="S303" s="7">
        <v>3</v>
      </c>
      <c r="T303" s="7">
        <v>1.8886503117305755</v>
      </c>
      <c r="U303" s="7">
        <v>1.8886503117305755</v>
      </c>
      <c r="V303" s="7">
        <v>0.18232155679395459</v>
      </c>
      <c r="W303" s="7">
        <v>8.0587777777777786E-2</v>
      </c>
      <c r="X303" t="s">
        <v>576</v>
      </c>
      <c r="Y303" t="s">
        <v>577</v>
      </c>
      <c r="Z303" t="s">
        <v>578</v>
      </c>
      <c r="AA303" t="s">
        <v>624</v>
      </c>
      <c r="AB303" t="s">
        <v>92</v>
      </c>
      <c r="AC303" t="s">
        <v>572</v>
      </c>
      <c r="AD303" t="s">
        <v>572</v>
      </c>
      <c r="AE303" t="s">
        <v>1721</v>
      </c>
      <c r="AF303" t="s">
        <v>1722</v>
      </c>
      <c r="AG303" t="s">
        <v>1721</v>
      </c>
      <c r="AI303" t="s">
        <v>30</v>
      </c>
      <c r="AJ303" t="s">
        <v>1636</v>
      </c>
      <c r="AK303" t="s">
        <v>1637</v>
      </c>
      <c r="AL303" s="4">
        <v>5</v>
      </c>
      <c r="AM303" t="s">
        <v>83</v>
      </c>
      <c r="AN303">
        <v>3.3509818376784399E-2</v>
      </c>
      <c r="AO303" t="s">
        <v>1638</v>
      </c>
      <c r="AP303" t="s">
        <v>1639</v>
      </c>
      <c r="AQ303" t="s">
        <v>1716</v>
      </c>
      <c r="AR303" t="s">
        <v>1641</v>
      </c>
      <c r="AS303">
        <v>1</v>
      </c>
      <c r="AT303">
        <v>0</v>
      </c>
      <c r="AU303">
        <v>1</v>
      </c>
      <c r="AV303">
        <v>1</v>
      </c>
      <c r="AW303">
        <v>0</v>
      </c>
      <c r="AX303">
        <v>0</v>
      </c>
      <c r="AY303" t="s">
        <v>1642</v>
      </c>
    </row>
    <row r="304" spans="1:51">
      <c r="A304" t="s">
        <v>572</v>
      </c>
      <c r="B304" t="s">
        <v>625</v>
      </c>
      <c r="C304" t="s">
        <v>183</v>
      </c>
      <c r="D304" t="s">
        <v>586</v>
      </c>
      <c r="E304" t="s">
        <v>82</v>
      </c>
      <c r="F304">
        <v>10</v>
      </c>
      <c r="G304" t="s">
        <v>83</v>
      </c>
      <c r="H304" t="s">
        <v>84</v>
      </c>
      <c r="I304" t="s">
        <v>85</v>
      </c>
      <c r="J304" t="s">
        <v>575</v>
      </c>
      <c r="K304" t="s">
        <v>29</v>
      </c>
      <c r="L304" t="s">
        <v>30</v>
      </c>
      <c r="M304" t="s">
        <v>188</v>
      </c>
      <c r="N304" s="7">
        <v>5</v>
      </c>
      <c r="O304" s="7"/>
      <c r="P304" s="7">
        <v>3</v>
      </c>
      <c r="Q304" s="7">
        <v>8</v>
      </c>
      <c r="R304" s="7"/>
      <c r="S304" s="7">
        <v>3</v>
      </c>
      <c r="T304" s="7">
        <v>1.8886503117305755</v>
      </c>
      <c r="U304" s="7">
        <v>1.8886503117305755</v>
      </c>
      <c r="V304" s="7">
        <v>0.47000362924573563</v>
      </c>
      <c r="W304" s="7">
        <v>6.6138125000000006E-2</v>
      </c>
      <c r="X304" t="s">
        <v>576</v>
      </c>
      <c r="Y304" t="s">
        <v>577</v>
      </c>
      <c r="Z304" t="s">
        <v>578</v>
      </c>
      <c r="AA304" t="s">
        <v>624</v>
      </c>
      <c r="AB304" t="s">
        <v>92</v>
      </c>
      <c r="AC304" t="s">
        <v>572</v>
      </c>
      <c r="AD304" t="s">
        <v>572</v>
      </c>
      <c r="AE304" t="s">
        <v>1721</v>
      </c>
      <c r="AF304" t="s">
        <v>1723</v>
      </c>
      <c r="AG304" t="s">
        <v>1721</v>
      </c>
      <c r="AI304" t="s">
        <v>30</v>
      </c>
      <c r="AJ304" t="s">
        <v>1636</v>
      </c>
      <c r="AK304" t="s">
        <v>1637</v>
      </c>
      <c r="AL304" s="4">
        <v>10</v>
      </c>
      <c r="AM304" t="s">
        <v>83</v>
      </c>
      <c r="AN304">
        <v>6.7019636753568798E-2</v>
      </c>
      <c r="AO304" t="s">
        <v>1638</v>
      </c>
      <c r="AP304" t="s">
        <v>1639</v>
      </c>
      <c r="AQ304" t="s">
        <v>1716</v>
      </c>
      <c r="AR304" t="s">
        <v>1641</v>
      </c>
      <c r="AS304">
        <v>1</v>
      </c>
      <c r="AT304">
        <v>0</v>
      </c>
      <c r="AU304">
        <v>1</v>
      </c>
      <c r="AV304">
        <v>1</v>
      </c>
      <c r="AW304">
        <v>0</v>
      </c>
      <c r="AX304">
        <v>0</v>
      </c>
      <c r="AY304" t="s">
        <v>1642</v>
      </c>
    </row>
    <row r="305" spans="1:51">
      <c r="A305" t="s">
        <v>572</v>
      </c>
      <c r="B305" t="s">
        <v>626</v>
      </c>
      <c r="C305" t="s">
        <v>183</v>
      </c>
      <c r="D305" t="s">
        <v>590</v>
      </c>
      <c r="E305" t="s">
        <v>82</v>
      </c>
      <c r="F305">
        <v>5</v>
      </c>
      <c r="G305" t="s">
        <v>83</v>
      </c>
      <c r="H305" t="s">
        <v>84</v>
      </c>
      <c r="I305" t="s">
        <v>85</v>
      </c>
      <c r="J305" t="s">
        <v>575</v>
      </c>
      <c r="K305" t="s">
        <v>29</v>
      </c>
      <c r="L305" t="s">
        <v>30</v>
      </c>
      <c r="M305" t="s">
        <v>188</v>
      </c>
      <c r="N305" s="7">
        <v>3</v>
      </c>
      <c r="O305" s="7"/>
      <c r="P305" s="7">
        <v>3</v>
      </c>
      <c r="Q305" s="7">
        <v>4.5</v>
      </c>
      <c r="R305" s="7"/>
      <c r="S305" s="7">
        <v>3</v>
      </c>
      <c r="T305" s="7">
        <v>1.8886503117305755</v>
      </c>
      <c r="U305" s="7">
        <v>1.8886503117305755</v>
      </c>
      <c r="V305" s="7">
        <v>0.40546510810816438</v>
      </c>
      <c r="W305" s="7">
        <v>0.19082716049382717</v>
      </c>
      <c r="X305" t="s">
        <v>576</v>
      </c>
      <c r="Y305" t="s">
        <v>577</v>
      </c>
      <c r="Z305" t="s">
        <v>578</v>
      </c>
      <c r="AA305" t="s">
        <v>627</v>
      </c>
      <c r="AB305" t="s">
        <v>92</v>
      </c>
      <c r="AC305" t="s">
        <v>572</v>
      </c>
      <c r="AD305" t="s">
        <v>572</v>
      </c>
      <c r="AE305" t="s">
        <v>1724</v>
      </c>
      <c r="AF305" t="s">
        <v>1725</v>
      </c>
      <c r="AG305" t="s">
        <v>1724</v>
      </c>
      <c r="AI305" t="s">
        <v>30</v>
      </c>
      <c r="AJ305" t="s">
        <v>1636</v>
      </c>
      <c r="AK305" t="s">
        <v>1637</v>
      </c>
      <c r="AL305" s="4">
        <v>5</v>
      </c>
      <c r="AM305" t="s">
        <v>83</v>
      </c>
      <c r="AN305">
        <v>3.3509818376784399E-2</v>
      </c>
      <c r="AO305" t="s">
        <v>1638</v>
      </c>
      <c r="AP305" t="s">
        <v>1639</v>
      </c>
      <c r="AQ305" t="s">
        <v>1716</v>
      </c>
      <c r="AR305" t="s">
        <v>1641</v>
      </c>
      <c r="AS305">
        <v>1</v>
      </c>
      <c r="AT305">
        <v>0</v>
      </c>
      <c r="AU305">
        <v>1</v>
      </c>
      <c r="AV305">
        <v>1</v>
      </c>
      <c r="AW305">
        <v>0</v>
      </c>
      <c r="AX305">
        <v>0</v>
      </c>
      <c r="AY305" t="s">
        <v>1642</v>
      </c>
    </row>
    <row r="306" spans="1:51">
      <c r="A306" t="s">
        <v>572</v>
      </c>
      <c r="B306" t="s">
        <v>628</v>
      </c>
      <c r="C306" t="s">
        <v>183</v>
      </c>
      <c r="D306" t="s">
        <v>590</v>
      </c>
      <c r="E306" t="s">
        <v>82</v>
      </c>
      <c r="F306">
        <v>10</v>
      </c>
      <c r="G306" t="s">
        <v>83</v>
      </c>
      <c r="H306" t="s">
        <v>84</v>
      </c>
      <c r="I306" t="s">
        <v>85</v>
      </c>
      <c r="J306" t="s">
        <v>575</v>
      </c>
      <c r="K306" t="s">
        <v>29</v>
      </c>
      <c r="L306" t="s">
        <v>30</v>
      </c>
      <c r="M306" t="s">
        <v>188</v>
      </c>
      <c r="N306" s="7">
        <v>3</v>
      </c>
      <c r="O306" s="7"/>
      <c r="P306" s="7">
        <v>3</v>
      </c>
      <c r="Q306" s="7">
        <v>5.8</v>
      </c>
      <c r="R306" s="7"/>
      <c r="S306" s="7">
        <v>3</v>
      </c>
      <c r="T306" s="7">
        <v>1.8886503117305755</v>
      </c>
      <c r="U306" s="7">
        <v>1.8886503117305755</v>
      </c>
      <c r="V306" s="7">
        <v>0.65924562888426397</v>
      </c>
      <c r="W306" s="7">
        <v>0.16745593869731801</v>
      </c>
      <c r="X306" t="s">
        <v>576</v>
      </c>
      <c r="Y306" t="s">
        <v>577</v>
      </c>
      <c r="Z306" t="s">
        <v>578</v>
      </c>
      <c r="AA306" t="s">
        <v>627</v>
      </c>
      <c r="AB306" t="s">
        <v>92</v>
      </c>
      <c r="AC306" t="s">
        <v>572</v>
      </c>
      <c r="AD306" t="s">
        <v>572</v>
      </c>
      <c r="AE306" t="s">
        <v>1724</v>
      </c>
      <c r="AF306" t="s">
        <v>1726</v>
      </c>
      <c r="AG306" t="s">
        <v>1724</v>
      </c>
      <c r="AI306" t="s">
        <v>30</v>
      </c>
      <c r="AJ306" t="s">
        <v>1636</v>
      </c>
      <c r="AK306" t="s">
        <v>1637</v>
      </c>
      <c r="AL306" s="4">
        <v>10</v>
      </c>
      <c r="AM306" t="s">
        <v>83</v>
      </c>
      <c r="AN306">
        <v>6.7019636753568798E-2</v>
      </c>
      <c r="AO306" t="s">
        <v>1638</v>
      </c>
      <c r="AP306" t="s">
        <v>1639</v>
      </c>
      <c r="AQ306" t="s">
        <v>1716</v>
      </c>
      <c r="AR306" t="s">
        <v>1641</v>
      </c>
      <c r="AS306">
        <v>1</v>
      </c>
      <c r="AT306">
        <v>0</v>
      </c>
      <c r="AU306">
        <v>1</v>
      </c>
      <c r="AV306">
        <v>1</v>
      </c>
      <c r="AW306">
        <v>0</v>
      </c>
      <c r="AX306">
        <v>0</v>
      </c>
      <c r="AY306" t="s">
        <v>1642</v>
      </c>
    </row>
    <row r="307" spans="1:51">
      <c r="A307" t="s">
        <v>572</v>
      </c>
      <c r="B307" t="s">
        <v>629</v>
      </c>
      <c r="C307" t="s">
        <v>183</v>
      </c>
      <c r="D307" t="s">
        <v>574</v>
      </c>
      <c r="E307" t="s">
        <v>82</v>
      </c>
      <c r="F307">
        <v>5</v>
      </c>
      <c r="G307" t="s">
        <v>83</v>
      </c>
      <c r="H307" t="s">
        <v>84</v>
      </c>
      <c r="I307" t="s">
        <v>85</v>
      </c>
      <c r="J307" t="s">
        <v>575</v>
      </c>
      <c r="K307" t="s">
        <v>41</v>
      </c>
      <c r="L307" t="s">
        <v>337</v>
      </c>
      <c r="M307" t="s">
        <v>188</v>
      </c>
      <c r="N307" s="7">
        <v>5.4</v>
      </c>
      <c r="O307" s="7"/>
      <c r="P307" s="7">
        <v>3</v>
      </c>
      <c r="Q307" s="7">
        <v>6.5</v>
      </c>
      <c r="R307" s="7"/>
      <c r="S307" s="7">
        <v>3</v>
      </c>
      <c r="T307" s="7">
        <v>1.7927074496414634</v>
      </c>
      <c r="U307" s="7">
        <v>1.7927074496414634</v>
      </c>
      <c r="V307" s="7">
        <v>0.18540322333136275</v>
      </c>
      <c r="W307" s="7">
        <v>6.2092964072261309E-2</v>
      </c>
      <c r="X307" t="s">
        <v>576</v>
      </c>
      <c r="Y307" t="s">
        <v>577</v>
      </c>
      <c r="Z307" t="s">
        <v>578</v>
      </c>
      <c r="AA307" t="s">
        <v>630</v>
      </c>
      <c r="AB307" t="s">
        <v>92</v>
      </c>
      <c r="AC307" t="s">
        <v>572</v>
      </c>
      <c r="AD307" t="s">
        <v>572</v>
      </c>
      <c r="AE307" t="s">
        <v>1714</v>
      </c>
      <c r="AF307" t="s">
        <v>1715</v>
      </c>
      <c r="AG307" t="s">
        <v>1714</v>
      </c>
      <c r="AI307" t="s">
        <v>337</v>
      </c>
      <c r="AJ307" t="s">
        <v>1636</v>
      </c>
      <c r="AK307" t="s">
        <v>1637</v>
      </c>
      <c r="AL307" s="4">
        <v>5</v>
      </c>
      <c r="AM307" t="s">
        <v>83</v>
      </c>
      <c r="AN307">
        <v>3.3509818376784399E-2</v>
      </c>
      <c r="AO307" t="s">
        <v>1638</v>
      </c>
      <c r="AP307" t="s">
        <v>1639</v>
      </c>
      <c r="AQ307" t="s">
        <v>1716</v>
      </c>
      <c r="AR307" t="s">
        <v>1641</v>
      </c>
      <c r="AS307">
        <v>1</v>
      </c>
      <c r="AT307">
        <v>0</v>
      </c>
      <c r="AU307">
        <v>1</v>
      </c>
      <c r="AV307">
        <v>1</v>
      </c>
      <c r="AW307">
        <v>0</v>
      </c>
      <c r="AX307">
        <v>0</v>
      </c>
      <c r="AY307" t="s">
        <v>1642</v>
      </c>
    </row>
    <row r="308" spans="1:51">
      <c r="A308" t="s">
        <v>572</v>
      </c>
      <c r="B308" t="s">
        <v>631</v>
      </c>
      <c r="C308" t="s">
        <v>183</v>
      </c>
      <c r="D308" t="s">
        <v>574</v>
      </c>
      <c r="E308" t="s">
        <v>82</v>
      </c>
      <c r="F308">
        <v>10</v>
      </c>
      <c r="G308" t="s">
        <v>83</v>
      </c>
      <c r="H308" t="s">
        <v>84</v>
      </c>
      <c r="I308" t="s">
        <v>85</v>
      </c>
      <c r="J308" t="s">
        <v>575</v>
      </c>
      <c r="K308" t="s">
        <v>41</v>
      </c>
      <c r="L308" t="s">
        <v>337</v>
      </c>
      <c r="M308" t="s">
        <v>188</v>
      </c>
      <c r="N308" s="7">
        <v>5.4</v>
      </c>
      <c r="O308" s="7"/>
      <c r="P308" s="7">
        <v>3</v>
      </c>
      <c r="Q308" s="7">
        <v>8.1999999999999993</v>
      </c>
      <c r="R308" s="7"/>
      <c r="S308" s="7">
        <v>3</v>
      </c>
      <c r="T308" s="7">
        <v>1.7927074496414634</v>
      </c>
      <c r="U308" s="7">
        <v>1.7927074496414634</v>
      </c>
      <c r="V308" s="7">
        <v>0.41773520069997866</v>
      </c>
      <c r="W308" s="7">
        <v>5.2669524938750337E-2</v>
      </c>
      <c r="X308" t="s">
        <v>576</v>
      </c>
      <c r="Y308" t="s">
        <v>577</v>
      </c>
      <c r="Z308" t="s">
        <v>578</v>
      </c>
      <c r="AA308" t="s">
        <v>630</v>
      </c>
      <c r="AB308" t="s">
        <v>92</v>
      </c>
      <c r="AC308" t="s">
        <v>572</v>
      </c>
      <c r="AD308" t="s">
        <v>572</v>
      </c>
      <c r="AE308" t="s">
        <v>1714</v>
      </c>
      <c r="AF308" t="s">
        <v>1717</v>
      </c>
      <c r="AG308" t="s">
        <v>1714</v>
      </c>
      <c r="AI308" t="s">
        <v>337</v>
      </c>
      <c r="AJ308" t="s">
        <v>1636</v>
      </c>
      <c r="AK308" t="s">
        <v>1637</v>
      </c>
      <c r="AL308" s="4">
        <v>10</v>
      </c>
      <c r="AM308" t="s">
        <v>83</v>
      </c>
      <c r="AN308">
        <v>6.7019636753568798E-2</v>
      </c>
      <c r="AO308" t="s">
        <v>1638</v>
      </c>
      <c r="AP308" t="s">
        <v>1639</v>
      </c>
      <c r="AQ308" t="s">
        <v>1716</v>
      </c>
      <c r="AR308" t="s">
        <v>1641</v>
      </c>
      <c r="AS308">
        <v>1</v>
      </c>
      <c r="AT308">
        <v>0</v>
      </c>
      <c r="AU308">
        <v>1</v>
      </c>
      <c r="AV308">
        <v>1</v>
      </c>
      <c r="AW308">
        <v>0</v>
      </c>
      <c r="AX308">
        <v>0</v>
      </c>
      <c r="AY308" t="s">
        <v>1642</v>
      </c>
    </row>
    <row r="309" spans="1:51">
      <c r="A309" t="s">
        <v>572</v>
      </c>
      <c r="B309" t="s">
        <v>632</v>
      </c>
      <c r="C309" t="s">
        <v>183</v>
      </c>
      <c r="D309" t="s">
        <v>582</v>
      </c>
      <c r="E309" t="s">
        <v>82</v>
      </c>
      <c r="F309">
        <v>5</v>
      </c>
      <c r="G309" t="s">
        <v>83</v>
      </c>
      <c r="H309" t="s">
        <v>84</v>
      </c>
      <c r="I309" t="s">
        <v>85</v>
      </c>
      <c r="J309" t="s">
        <v>575</v>
      </c>
      <c r="K309" t="s">
        <v>41</v>
      </c>
      <c r="L309" t="s">
        <v>337</v>
      </c>
      <c r="M309" t="s">
        <v>188</v>
      </c>
      <c r="N309" s="7">
        <v>4.9000000000000004</v>
      </c>
      <c r="O309" s="7"/>
      <c r="P309" s="7">
        <v>3</v>
      </c>
      <c r="Q309" s="7">
        <v>5.8</v>
      </c>
      <c r="R309" s="7"/>
      <c r="S309" s="7">
        <v>3</v>
      </c>
      <c r="T309" s="7">
        <v>1.7927074496414634</v>
      </c>
      <c r="U309" s="7">
        <v>1.7927074496414634</v>
      </c>
      <c r="V309" s="7">
        <v>0.16862271243579272</v>
      </c>
      <c r="W309" s="7">
        <v>7.6462546240559356E-2</v>
      </c>
      <c r="X309" t="s">
        <v>576</v>
      </c>
      <c r="Y309" t="s">
        <v>577</v>
      </c>
      <c r="Z309" t="s">
        <v>578</v>
      </c>
      <c r="AA309" t="s">
        <v>633</v>
      </c>
      <c r="AB309" t="s">
        <v>92</v>
      </c>
      <c r="AC309" t="s">
        <v>572</v>
      </c>
      <c r="AD309" t="s">
        <v>572</v>
      </c>
      <c r="AE309" t="s">
        <v>1718</v>
      </c>
      <c r="AF309" t="s">
        <v>1719</v>
      </c>
      <c r="AG309" t="s">
        <v>1718</v>
      </c>
      <c r="AI309" t="s">
        <v>337</v>
      </c>
      <c r="AJ309" t="s">
        <v>1636</v>
      </c>
      <c r="AK309" t="s">
        <v>1637</v>
      </c>
      <c r="AL309" s="4">
        <v>5</v>
      </c>
      <c r="AM309" t="s">
        <v>83</v>
      </c>
      <c r="AN309">
        <v>3.3509818376784399E-2</v>
      </c>
      <c r="AO309" t="s">
        <v>1638</v>
      </c>
      <c r="AP309" t="s">
        <v>1639</v>
      </c>
      <c r="AQ309" t="s">
        <v>1716</v>
      </c>
      <c r="AR309" t="s">
        <v>1641</v>
      </c>
      <c r="AS309">
        <v>1</v>
      </c>
      <c r="AT309">
        <v>0</v>
      </c>
      <c r="AU309">
        <v>1</v>
      </c>
      <c r="AV309">
        <v>1</v>
      </c>
      <c r="AW309">
        <v>0</v>
      </c>
      <c r="AX309">
        <v>0</v>
      </c>
      <c r="AY309" t="s">
        <v>1642</v>
      </c>
    </row>
    <row r="310" spans="1:51">
      <c r="A310" t="s">
        <v>572</v>
      </c>
      <c r="B310" t="s">
        <v>634</v>
      </c>
      <c r="C310" t="s">
        <v>183</v>
      </c>
      <c r="D310" t="s">
        <v>582</v>
      </c>
      <c r="E310" t="s">
        <v>82</v>
      </c>
      <c r="F310">
        <v>10</v>
      </c>
      <c r="G310" t="s">
        <v>83</v>
      </c>
      <c r="H310" t="s">
        <v>84</v>
      </c>
      <c r="I310" t="s">
        <v>85</v>
      </c>
      <c r="J310" t="s">
        <v>575</v>
      </c>
      <c r="K310" t="s">
        <v>41</v>
      </c>
      <c r="L310" t="s">
        <v>337</v>
      </c>
      <c r="M310" t="s">
        <v>188</v>
      </c>
      <c r="N310" s="7">
        <v>4.9000000000000004</v>
      </c>
      <c r="O310" s="7"/>
      <c r="P310" s="7">
        <v>3</v>
      </c>
      <c r="Q310" s="7">
        <v>7.1</v>
      </c>
      <c r="R310" s="7"/>
      <c r="S310" s="7">
        <v>3</v>
      </c>
      <c r="T310" s="7">
        <v>1.7927074496414634</v>
      </c>
      <c r="U310" s="7">
        <v>1.7927074496414634</v>
      </c>
      <c r="V310" s="7">
        <v>0.37085957893068872</v>
      </c>
      <c r="W310" s="7">
        <v>6.5868594999829652E-2</v>
      </c>
      <c r="X310" t="s">
        <v>576</v>
      </c>
      <c r="Y310" t="s">
        <v>577</v>
      </c>
      <c r="Z310" t="s">
        <v>578</v>
      </c>
      <c r="AA310" t="s">
        <v>633</v>
      </c>
      <c r="AB310" t="s">
        <v>92</v>
      </c>
      <c r="AC310" t="s">
        <v>572</v>
      </c>
      <c r="AD310" t="s">
        <v>572</v>
      </c>
      <c r="AE310" t="s">
        <v>1718</v>
      </c>
      <c r="AF310" t="s">
        <v>1720</v>
      </c>
      <c r="AG310" t="s">
        <v>1718</v>
      </c>
      <c r="AI310" t="s">
        <v>337</v>
      </c>
      <c r="AJ310" t="s">
        <v>1636</v>
      </c>
      <c r="AK310" t="s">
        <v>1637</v>
      </c>
      <c r="AL310" s="4">
        <v>10</v>
      </c>
      <c r="AM310" t="s">
        <v>83</v>
      </c>
      <c r="AN310">
        <v>6.7019636753568798E-2</v>
      </c>
      <c r="AO310" t="s">
        <v>1638</v>
      </c>
      <c r="AP310" t="s">
        <v>1639</v>
      </c>
      <c r="AQ310" t="s">
        <v>1716</v>
      </c>
      <c r="AR310" t="s">
        <v>1641</v>
      </c>
      <c r="AS310">
        <v>1</v>
      </c>
      <c r="AT310">
        <v>0</v>
      </c>
      <c r="AU310">
        <v>1</v>
      </c>
      <c r="AV310">
        <v>1</v>
      </c>
      <c r="AW310">
        <v>0</v>
      </c>
      <c r="AX310">
        <v>0</v>
      </c>
      <c r="AY310" t="s">
        <v>1642</v>
      </c>
    </row>
    <row r="311" spans="1:51">
      <c r="A311" t="s">
        <v>572</v>
      </c>
      <c r="B311" t="s">
        <v>635</v>
      </c>
      <c r="C311" t="s">
        <v>183</v>
      </c>
      <c r="D311" t="s">
        <v>586</v>
      </c>
      <c r="E311" t="s">
        <v>82</v>
      </c>
      <c r="F311">
        <v>5</v>
      </c>
      <c r="G311" t="s">
        <v>83</v>
      </c>
      <c r="H311" t="s">
        <v>84</v>
      </c>
      <c r="I311" t="s">
        <v>85</v>
      </c>
      <c r="J311" t="s">
        <v>575</v>
      </c>
      <c r="K311" t="s">
        <v>41</v>
      </c>
      <c r="L311" t="s">
        <v>337</v>
      </c>
      <c r="M311" t="s">
        <v>188</v>
      </c>
      <c r="N311" s="7">
        <v>3.7</v>
      </c>
      <c r="O311" s="7"/>
      <c r="P311" s="7">
        <v>3</v>
      </c>
      <c r="Q311" s="7">
        <v>4.5999999999999996</v>
      </c>
      <c r="R311" s="7"/>
      <c r="S311" s="7">
        <v>3</v>
      </c>
      <c r="T311" s="7">
        <v>1.7927074496414634</v>
      </c>
      <c r="U311" s="7">
        <v>1.7927074496414634</v>
      </c>
      <c r="V311" s="7">
        <v>0.21772348384487034</v>
      </c>
      <c r="W311" s="7">
        <v>0.12887873440292588</v>
      </c>
      <c r="X311" t="s">
        <v>576</v>
      </c>
      <c r="Y311" t="s">
        <v>577</v>
      </c>
      <c r="Z311" t="s">
        <v>578</v>
      </c>
      <c r="AA311" t="s">
        <v>636</v>
      </c>
      <c r="AB311" t="s">
        <v>92</v>
      </c>
      <c r="AC311" t="s">
        <v>572</v>
      </c>
      <c r="AD311" t="s">
        <v>572</v>
      </c>
      <c r="AE311" t="s">
        <v>1721</v>
      </c>
      <c r="AF311" t="s">
        <v>1722</v>
      </c>
      <c r="AG311" t="s">
        <v>1721</v>
      </c>
      <c r="AI311" t="s">
        <v>337</v>
      </c>
      <c r="AJ311" t="s">
        <v>1636</v>
      </c>
      <c r="AK311" t="s">
        <v>1637</v>
      </c>
      <c r="AL311" s="4">
        <v>5</v>
      </c>
      <c r="AM311" t="s">
        <v>83</v>
      </c>
      <c r="AN311">
        <v>3.3509818376784399E-2</v>
      </c>
      <c r="AO311" t="s">
        <v>1638</v>
      </c>
      <c r="AP311" t="s">
        <v>1639</v>
      </c>
      <c r="AQ311" t="s">
        <v>1716</v>
      </c>
      <c r="AR311" t="s">
        <v>1641</v>
      </c>
      <c r="AS311">
        <v>1</v>
      </c>
      <c r="AT311">
        <v>0</v>
      </c>
      <c r="AU311">
        <v>1</v>
      </c>
      <c r="AV311">
        <v>1</v>
      </c>
      <c r="AW311">
        <v>0</v>
      </c>
      <c r="AX311">
        <v>0</v>
      </c>
      <c r="AY311" t="s">
        <v>1642</v>
      </c>
    </row>
    <row r="312" spans="1:51">
      <c r="A312" t="s">
        <v>572</v>
      </c>
      <c r="B312" t="s">
        <v>637</v>
      </c>
      <c r="C312" t="s">
        <v>183</v>
      </c>
      <c r="D312" t="s">
        <v>586</v>
      </c>
      <c r="E312" t="s">
        <v>82</v>
      </c>
      <c r="F312">
        <v>10</v>
      </c>
      <c r="G312" t="s">
        <v>83</v>
      </c>
      <c r="H312" t="s">
        <v>84</v>
      </c>
      <c r="I312" t="s">
        <v>85</v>
      </c>
      <c r="J312" t="s">
        <v>575</v>
      </c>
      <c r="K312" t="s">
        <v>41</v>
      </c>
      <c r="L312" t="s">
        <v>337</v>
      </c>
      <c r="M312" t="s">
        <v>188</v>
      </c>
      <c r="N312" s="7">
        <v>3.7</v>
      </c>
      <c r="O312" s="7"/>
      <c r="P312" s="7">
        <v>3</v>
      </c>
      <c r="Q312" s="7">
        <v>5.6</v>
      </c>
      <c r="R312" s="7"/>
      <c r="S312" s="7">
        <v>3</v>
      </c>
      <c r="T312" s="7">
        <v>1.7927074496414634</v>
      </c>
      <c r="U312" s="7">
        <v>1.7927074496414634</v>
      </c>
      <c r="V312" s="7">
        <v>0.41443377809092469</v>
      </c>
      <c r="W312" s="7">
        <v>0.11241205439443856</v>
      </c>
      <c r="X312" t="s">
        <v>576</v>
      </c>
      <c r="Y312" t="s">
        <v>577</v>
      </c>
      <c r="Z312" t="s">
        <v>578</v>
      </c>
      <c r="AA312" t="s">
        <v>636</v>
      </c>
      <c r="AB312" t="s">
        <v>92</v>
      </c>
      <c r="AC312" t="s">
        <v>572</v>
      </c>
      <c r="AD312" t="s">
        <v>572</v>
      </c>
      <c r="AE312" t="s">
        <v>1721</v>
      </c>
      <c r="AF312" t="s">
        <v>1723</v>
      </c>
      <c r="AG312" t="s">
        <v>1721</v>
      </c>
      <c r="AI312" t="s">
        <v>337</v>
      </c>
      <c r="AJ312" t="s">
        <v>1636</v>
      </c>
      <c r="AK312" t="s">
        <v>1637</v>
      </c>
      <c r="AL312" s="4">
        <v>10</v>
      </c>
      <c r="AM312" t="s">
        <v>83</v>
      </c>
      <c r="AN312">
        <v>6.7019636753568798E-2</v>
      </c>
      <c r="AO312" t="s">
        <v>1638</v>
      </c>
      <c r="AP312" t="s">
        <v>1639</v>
      </c>
      <c r="AQ312" t="s">
        <v>1716</v>
      </c>
      <c r="AR312" t="s">
        <v>1641</v>
      </c>
      <c r="AS312">
        <v>1</v>
      </c>
      <c r="AT312">
        <v>0</v>
      </c>
      <c r="AU312">
        <v>1</v>
      </c>
      <c r="AV312">
        <v>1</v>
      </c>
      <c r="AW312">
        <v>0</v>
      </c>
      <c r="AX312">
        <v>0</v>
      </c>
      <c r="AY312" t="s">
        <v>1642</v>
      </c>
    </row>
    <row r="313" spans="1:51">
      <c r="A313" t="s">
        <v>572</v>
      </c>
      <c r="B313" t="s">
        <v>638</v>
      </c>
      <c r="C313" t="s">
        <v>183</v>
      </c>
      <c r="D313" t="s">
        <v>590</v>
      </c>
      <c r="E313" t="s">
        <v>82</v>
      </c>
      <c r="F313">
        <v>5</v>
      </c>
      <c r="G313" t="s">
        <v>83</v>
      </c>
      <c r="H313" t="s">
        <v>84</v>
      </c>
      <c r="I313" t="s">
        <v>85</v>
      </c>
      <c r="J313" t="s">
        <v>575</v>
      </c>
      <c r="K313" t="s">
        <v>41</v>
      </c>
      <c r="L313" t="s">
        <v>337</v>
      </c>
      <c r="M313" t="s">
        <v>188</v>
      </c>
      <c r="N313" s="7">
        <v>2.5</v>
      </c>
      <c r="O313" s="7"/>
      <c r="P313" s="7">
        <v>3</v>
      </c>
      <c r="Q313" s="7">
        <v>3.2</v>
      </c>
      <c r="R313" s="7"/>
      <c r="S313" s="7">
        <v>3</v>
      </c>
      <c r="T313" s="7">
        <v>1.7927074496414634</v>
      </c>
      <c r="U313" s="7">
        <v>1.7927074496414634</v>
      </c>
      <c r="V313" s="7">
        <v>0.24686007793152581</v>
      </c>
      <c r="W313" s="7">
        <v>0.27601855208333331</v>
      </c>
      <c r="X313" t="s">
        <v>576</v>
      </c>
      <c r="Y313" t="s">
        <v>577</v>
      </c>
      <c r="Z313" t="s">
        <v>578</v>
      </c>
      <c r="AA313" t="s">
        <v>639</v>
      </c>
      <c r="AB313" t="s">
        <v>92</v>
      </c>
      <c r="AC313" t="s">
        <v>572</v>
      </c>
      <c r="AD313" t="s">
        <v>572</v>
      </c>
      <c r="AE313" t="s">
        <v>1724</v>
      </c>
      <c r="AF313" t="s">
        <v>1725</v>
      </c>
      <c r="AG313" t="s">
        <v>1724</v>
      </c>
      <c r="AI313" t="s">
        <v>337</v>
      </c>
      <c r="AJ313" t="s">
        <v>1636</v>
      </c>
      <c r="AK313" t="s">
        <v>1637</v>
      </c>
      <c r="AL313" s="4">
        <v>5</v>
      </c>
      <c r="AM313" t="s">
        <v>83</v>
      </c>
      <c r="AN313">
        <v>3.3509818376784399E-2</v>
      </c>
      <c r="AO313" t="s">
        <v>1638</v>
      </c>
      <c r="AP313" t="s">
        <v>1639</v>
      </c>
      <c r="AQ313" t="s">
        <v>1716</v>
      </c>
      <c r="AR313" t="s">
        <v>1641</v>
      </c>
      <c r="AS313">
        <v>1</v>
      </c>
      <c r="AT313">
        <v>0</v>
      </c>
      <c r="AU313">
        <v>1</v>
      </c>
      <c r="AV313">
        <v>1</v>
      </c>
      <c r="AW313">
        <v>0</v>
      </c>
      <c r="AX313">
        <v>0</v>
      </c>
      <c r="AY313" t="s">
        <v>1642</v>
      </c>
    </row>
    <row r="314" spans="1:51">
      <c r="A314" t="s">
        <v>572</v>
      </c>
      <c r="B314" t="s">
        <v>640</v>
      </c>
      <c r="C314" t="s">
        <v>183</v>
      </c>
      <c r="D314" t="s">
        <v>590</v>
      </c>
      <c r="E314" t="s">
        <v>82</v>
      </c>
      <c r="F314">
        <v>10</v>
      </c>
      <c r="G314" t="s">
        <v>83</v>
      </c>
      <c r="H314" t="s">
        <v>84</v>
      </c>
      <c r="I314" t="s">
        <v>85</v>
      </c>
      <c r="J314" t="s">
        <v>575</v>
      </c>
      <c r="K314" t="s">
        <v>41</v>
      </c>
      <c r="L314" t="s">
        <v>337</v>
      </c>
      <c r="M314" t="s">
        <v>188</v>
      </c>
      <c r="N314" s="7">
        <v>2.5</v>
      </c>
      <c r="O314" s="7"/>
      <c r="P314" s="7">
        <v>3</v>
      </c>
      <c r="Q314" s="7">
        <v>4.4000000000000004</v>
      </c>
      <c r="R314" s="7"/>
      <c r="S314" s="7">
        <v>3</v>
      </c>
      <c r="T314" s="7">
        <v>1.7927074496414634</v>
      </c>
      <c r="U314" s="7">
        <v>1.7927074496414634</v>
      </c>
      <c r="V314" s="7">
        <v>0.56531380905006057</v>
      </c>
      <c r="W314" s="7">
        <v>0.22673668870523417</v>
      </c>
      <c r="X314" t="s">
        <v>576</v>
      </c>
      <c r="Y314" t="s">
        <v>577</v>
      </c>
      <c r="Z314" t="s">
        <v>578</v>
      </c>
      <c r="AA314" t="s">
        <v>639</v>
      </c>
      <c r="AB314" t="s">
        <v>92</v>
      </c>
      <c r="AC314" t="s">
        <v>572</v>
      </c>
      <c r="AD314" t="s">
        <v>572</v>
      </c>
      <c r="AE314" t="s">
        <v>1724</v>
      </c>
      <c r="AF314" t="s">
        <v>1726</v>
      </c>
      <c r="AG314" t="s">
        <v>1724</v>
      </c>
      <c r="AI314" t="s">
        <v>337</v>
      </c>
      <c r="AJ314" t="s">
        <v>1636</v>
      </c>
      <c r="AK314" t="s">
        <v>1637</v>
      </c>
      <c r="AL314" s="4">
        <v>10</v>
      </c>
      <c r="AM314" t="s">
        <v>83</v>
      </c>
      <c r="AN314">
        <v>6.7019636753568798E-2</v>
      </c>
      <c r="AO314" t="s">
        <v>1638</v>
      </c>
      <c r="AP314" t="s">
        <v>1639</v>
      </c>
      <c r="AQ314" t="s">
        <v>1716</v>
      </c>
      <c r="AR314" t="s">
        <v>1641</v>
      </c>
      <c r="AS314">
        <v>1</v>
      </c>
      <c r="AT314">
        <v>0</v>
      </c>
      <c r="AU314">
        <v>1</v>
      </c>
      <c r="AV314">
        <v>1</v>
      </c>
      <c r="AW314">
        <v>0</v>
      </c>
      <c r="AX314">
        <v>0</v>
      </c>
      <c r="AY314" t="s">
        <v>1642</v>
      </c>
    </row>
    <row r="315" spans="1:51">
      <c r="A315" t="s">
        <v>572</v>
      </c>
      <c r="B315" t="s">
        <v>641</v>
      </c>
      <c r="C315" t="s">
        <v>183</v>
      </c>
      <c r="D315" t="s">
        <v>574</v>
      </c>
      <c r="E315" t="s">
        <v>82</v>
      </c>
      <c r="F315">
        <v>5</v>
      </c>
      <c r="G315" t="s">
        <v>83</v>
      </c>
      <c r="H315" t="s">
        <v>84</v>
      </c>
      <c r="I315" t="s">
        <v>85</v>
      </c>
      <c r="J315" t="s">
        <v>575</v>
      </c>
      <c r="K315" t="s">
        <v>29</v>
      </c>
      <c r="L315" t="s">
        <v>337</v>
      </c>
      <c r="M315" t="s">
        <v>188</v>
      </c>
      <c r="N315" s="7">
        <v>4.8</v>
      </c>
      <c r="O315" s="7"/>
      <c r="P315" s="7">
        <v>3</v>
      </c>
      <c r="Q315" s="7">
        <v>5.6</v>
      </c>
      <c r="R315" s="7"/>
      <c r="S315" s="7">
        <v>3</v>
      </c>
      <c r="T315" s="7">
        <v>0.7235329985563892</v>
      </c>
      <c r="U315" s="7">
        <v>0.7235329985563892</v>
      </c>
      <c r="V315" s="7">
        <v>0.15415067982725836</v>
      </c>
      <c r="W315" s="7">
        <v>1.3138197987528341E-2</v>
      </c>
      <c r="X315" t="s">
        <v>576</v>
      </c>
      <c r="Y315" t="s">
        <v>577</v>
      </c>
      <c r="Z315" t="s">
        <v>578</v>
      </c>
      <c r="AA315" t="s">
        <v>642</v>
      </c>
      <c r="AB315" t="s">
        <v>92</v>
      </c>
      <c r="AC315" t="s">
        <v>572</v>
      </c>
      <c r="AD315" t="s">
        <v>572</v>
      </c>
      <c r="AE315" t="s">
        <v>1714</v>
      </c>
      <c r="AF315" t="s">
        <v>1715</v>
      </c>
      <c r="AG315" t="s">
        <v>1714</v>
      </c>
      <c r="AI315" t="s">
        <v>337</v>
      </c>
      <c r="AJ315" t="s">
        <v>1636</v>
      </c>
      <c r="AK315" t="s">
        <v>1637</v>
      </c>
      <c r="AL315" s="4">
        <v>5</v>
      </c>
      <c r="AM315" t="s">
        <v>83</v>
      </c>
      <c r="AN315">
        <v>3.3509818376784399E-2</v>
      </c>
      <c r="AO315" t="s">
        <v>1638</v>
      </c>
      <c r="AP315" t="s">
        <v>1639</v>
      </c>
      <c r="AQ315" t="s">
        <v>1716</v>
      </c>
      <c r="AR315" t="s">
        <v>1641</v>
      </c>
      <c r="AS315">
        <v>1</v>
      </c>
      <c r="AT315">
        <v>0</v>
      </c>
      <c r="AU315">
        <v>1</v>
      </c>
      <c r="AV315">
        <v>1</v>
      </c>
      <c r="AW315">
        <v>0</v>
      </c>
      <c r="AX315">
        <v>0</v>
      </c>
      <c r="AY315" t="s">
        <v>1642</v>
      </c>
    </row>
    <row r="316" spans="1:51">
      <c r="A316" t="s">
        <v>572</v>
      </c>
      <c r="B316" t="s">
        <v>643</v>
      </c>
      <c r="C316" t="s">
        <v>183</v>
      </c>
      <c r="D316" t="s">
        <v>574</v>
      </c>
      <c r="E316" t="s">
        <v>82</v>
      </c>
      <c r="F316">
        <v>10</v>
      </c>
      <c r="G316" t="s">
        <v>83</v>
      </c>
      <c r="H316" t="s">
        <v>84</v>
      </c>
      <c r="I316" t="s">
        <v>85</v>
      </c>
      <c r="J316" t="s">
        <v>575</v>
      </c>
      <c r="K316" t="s">
        <v>29</v>
      </c>
      <c r="L316" t="s">
        <v>337</v>
      </c>
      <c r="M316" t="s">
        <v>188</v>
      </c>
      <c r="N316" s="7">
        <v>4.8</v>
      </c>
      <c r="O316" s="7"/>
      <c r="P316" s="7">
        <v>3</v>
      </c>
      <c r="Q316" s="7">
        <v>6.7</v>
      </c>
      <c r="R316" s="7"/>
      <c r="S316" s="7">
        <v>3</v>
      </c>
      <c r="T316" s="7">
        <v>0.7235329985563892</v>
      </c>
      <c r="U316" s="7">
        <v>0.7235329985563892</v>
      </c>
      <c r="V316" s="7">
        <v>0.33349160848307524</v>
      </c>
      <c r="W316" s="7">
        <v>1.1461064740043559E-2</v>
      </c>
      <c r="X316" t="s">
        <v>576</v>
      </c>
      <c r="Y316" t="s">
        <v>577</v>
      </c>
      <c r="Z316" t="s">
        <v>578</v>
      </c>
      <c r="AA316" t="s">
        <v>642</v>
      </c>
      <c r="AB316" t="s">
        <v>92</v>
      </c>
      <c r="AC316" t="s">
        <v>572</v>
      </c>
      <c r="AD316" t="s">
        <v>572</v>
      </c>
      <c r="AE316" t="s">
        <v>1714</v>
      </c>
      <c r="AF316" t="s">
        <v>1717</v>
      </c>
      <c r="AG316" t="s">
        <v>1714</v>
      </c>
      <c r="AI316" t="s">
        <v>337</v>
      </c>
      <c r="AJ316" t="s">
        <v>1636</v>
      </c>
      <c r="AK316" t="s">
        <v>1637</v>
      </c>
      <c r="AL316" s="4">
        <v>10</v>
      </c>
      <c r="AM316" t="s">
        <v>83</v>
      </c>
      <c r="AN316">
        <v>6.7019636753568798E-2</v>
      </c>
      <c r="AO316" t="s">
        <v>1638</v>
      </c>
      <c r="AP316" t="s">
        <v>1639</v>
      </c>
      <c r="AQ316" t="s">
        <v>1716</v>
      </c>
      <c r="AR316" t="s">
        <v>1641</v>
      </c>
      <c r="AS316">
        <v>1</v>
      </c>
      <c r="AT316">
        <v>0</v>
      </c>
      <c r="AU316">
        <v>1</v>
      </c>
      <c r="AV316">
        <v>1</v>
      </c>
      <c r="AW316">
        <v>0</v>
      </c>
      <c r="AX316">
        <v>0</v>
      </c>
      <c r="AY316" t="s">
        <v>1642</v>
      </c>
    </row>
    <row r="317" spans="1:51">
      <c r="A317" t="s">
        <v>572</v>
      </c>
      <c r="B317" t="s">
        <v>644</v>
      </c>
      <c r="C317" t="s">
        <v>183</v>
      </c>
      <c r="D317" t="s">
        <v>582</v>
      </c>
      <c r="E317" t="s">
        <v>82</v>
      </c>
      <c r="F317">
        <v>5</v>
      </c>
      <c r="G317" t="s">
        <v>83</v>
      </c>
      <c r="H317" t="s">
        <v>84</v>
      </c>
      <c r="I317" t="s">
        <v>85</v>
      </c>
      <c r="J317" t="s">
        <v>575</v>
      </c>
      <c r="K317" t="s">
        <v>29</v>
      </c>
      <c r="L317" t="s">
        <v>337</v>
      </c>
      <c r="M317" t="s">
        <v>188</v>
      </c>
      <c r="N317" s="7">
        <v>4.0999999999999996</v>
      </c>
      <c r="O317" s="7"/>
      <c r="P317" s="7">
        <v>3</v>
      </c>
      <c r="Q317" s="7">
        <v>4.5999999999999996</v>
      </c>
      <c r="R317" s="7"/>
      <c r="S317" s="7">
        <v>3</v>
      </c>
      <c r="T317" s="7">
        <v>0.7235329985563892</v>
      </c>
      <c r="U317" s="7">
        <v>0.7235329985563892</v>
      </c>
      <c r="V317" s="7">
        <v>0.11506932978478729</v>
      </c>
      <c r="W317" s="7">
        <v>1.8627417629932669E-2</v>
      </c>
      <c r="X317" t="s">
        <v>576</v>
      </c>
      <c r="Y317" t="s">
        <v>577</v>
      </c>
      <c r="Z317" t="s">
        <v>578</v>
      </c>
      <c r="AA317" t="s">
        <v>645</v>
      </c>
      <c r="AB317" t="s">
        <v>92</v>
      </c>
      <c r="AC317" t="s">
        <v>572</v>
      </c>
      <c r="AD317" t="s">
        <v>572</v>
      </c>
      <c r="AE317" t="s">
        <v>1718</v>
      </c>
      <c r="AF317" t="s">
        <v>1719</v>
      </c>
      <c r="AG317" t="s">
        <v>1718</v>
      </c>
      <c r="AI317" t="s">
        <v>337</v>
      </c>
      <c r="AJ317" t="s">
        <v>1636</v>
      </c>
      <c r="AK317" t="s">
        <v>1637</v>
      </c>
      <c r="AL317" s="4">
        <v>5</v>
      </c>
      <c r="AM317" t="s">
        <v>83</v>
      </c>
      <c r="AN317">
        <v>3.3509818376784399E-2</v>
      </c>
      <c r="AO317" t="s">
        <v>1638</v>
      </c>
      <c r="AP317" t="s">
        <v>1639</v>
      </c>
      <c r="AQ317" t="s">
        <v>1716</v>
      </c>
      <c r="AR317" t="s">
        <v>1641</v>
      </c>
      <c r="AS317">
        <v>1</v>
      </c>
      <c r="AT317">
        <v>0</v>
      </c>
      <c r="AU317">
        <v>1</v>
      </c>
      <c r="AV317">
        <v>1</v>
      </c>
      <c r="AW317">
        <v>0</v>
      </c>
      <c r="AX317">
        <v>0</v>
      </c>
      <c r="AY317" t="s">
        <v>1642</v>
      </c>
    </row>
    <row r="318" spans="1:51">
      <c r="A318" t="s">
        <v>572</v>
      </c>
      <c r="B318" t="s">
        <v>646</v>
      </c>
      <c r="C318" t="s">
        <v>183</v>
      </c>
      <c r="D318" t="s">
        <v>582</v>
      </c>
      <c r="E318" t="s">
        <v>82</v>
      </c>
      <c r="F318">
        <v>10</v>
      </c>
      <c r="G318" t="s">
        <v>83</v>
      </c>
      <c r="H318" t="s">
        <v>84</v>
      </c>
      <c r="I318" t="s">
        <v>85</v>
      </c>
      <c r="J318" t="s">
        <v>575</v>
      </c>
      <c r="K318" t="s">
        <v>29</v>
      </c>
      <c r="L318" t="s">
        <v>337</v>
      </c>
      <c r="M318" t="s">
        <v>188</v>
      </c>
      <c r="N318" s="7">
        <v>4.0999999999999996</v>
      </c>
      <c r="O318" s="7"/>
      <c r="P318" s="7">
        <v>3</v>
      </c>
      <c r="Q318" s="7">
        <v>5.6</v>
      </c>
      <c r="R318" s="7"/>
      <c r="S318" s="7">
        <v>3</v>
      </c>
      <c r="T318" s="7">
        <v>0.7235329985563892</v>
      </c>
      <c r="U318" s="7">
        <v>0.7235329985563892</v>
      </c>
      <c r="V318" s="7">
        <v>0.31177962403084153</v>
      </c>
      <c r="W318" s="7">
        <v>1.5945139023783216E-2</v>
      </c>
      <c r="X318" t="s">
        <v>576</v>
      </c>
      <c r="Y318" t="s">
        <v>577</v>
      </c>
      <c r="Z318" t="s">
        <v>578</v>
      </c>
      <c r="AA318" t="s">
        <v>645</v>
      </c>
      <c r="AB318" t="s">
        <v>92</v>
      </c>
      <c r="AC318" t="s">
        <v>572</v>
      </c>
      <c r="AD318" t="s">
        <v>572</v>
      </c>
      <c r="AE318" t="s">
        <v>1718</v>
      </c>
      <c r="AF318" t="s">
        <v>1720</v>
      </c>
      <c r="AG318" t="s">
        <v>1718</v>
      </c>
      <c r="AI318" t="s">
        <v>337</v>
      </c>
      <c r="AJ318" t="s">
        <v>1636</v>
      </c>
      <c r="AK318" t="s">
        <v>1637</v>
      </c>
      <c r="AL318" s="4">
        <v>10</v>
      </c>
      <c r="AM318" t="s">
        <v>83</v>
      </c>
      <c r="AN318">
        <v>6.7019636753568798E-2</v>
      </c>
      <c r="AO318" t="s">
        <v>1638</v>
      </c>
      <c r="AP318" t="s">
        <v>1639</v>
      </c>
      <c r="AQ318" t="s">
        <v>1716</v>
      </c>
      <c r="AR318" t="s">
        <v>1641</v>
      </c>
      <c r="AS318">
        <v>1</v>
      </c>
      <c r="AT318">
        <v>0</v>
      </c>
      <c r="AU318">
        <v>1</v>
      </c>
      <c r="AV318">
        <v>1</v>
      </c>
      <c r="AW318">
        <v>0</v>
      </c>
      <c r="AX318">
        <v>0</v>
      </c>
      <c r="AY318" t="s">
        <v>1642</v>
      </c>
    </row>
    <row r="319" spans="1:51">
      <c r="A319" t="s">
        <v>572</v>
      </c>
      <c r="B319" t="s">
        <v>647</v>
      </c>
      <c r="C319" t="s">
        <v>183</v>
      </c>
      <c r="D319" t="s">
        <v>586</v>
      </c>
      <c r="E319" t="s">
        <v>82</v>
      </c>
      <c r="F319">
        <v>5</v>
      </c>
      <c r="G319" t="s">
        <v>83</v>
      </c>
      <c r="H319" t="s">
        <v>84</v>
      </c>
      <c r="I319" t="s">
        <v>85</v>
      </c>
      <c r="J319" t="s">
        <v>575</v>
      </c>
      <c r="K319" t="s">
        <v>29</v>
      </c>
      <c r="L319" t="s">
        <v>337</v>
      </c>
      <c r="M319" t="s">
        <v>188</v>
      </c>
      <c r="N319" s="7">
        <v>3</v>
      </c>
      <c r="O319" s="7"/>
      <c r="P319" s="7">
        <v>3</v>
      </c>
      <c r="Q319" s="7">
        <v>3.7</v>
      </c>
      <c r="R319" s="7"/>
      <c r="S319" s="7">
        <v>3</v>
      </c>
      <c r="T319" s="7">
        <v>0.7235329985563892</v>
      </c>
      <c r="U319" s="7">
        <v>0.7235329985563892</v>
      </c>
      <c r="V319" s="7">
        <v>0.20972053098206911</v>
      </c>
      <c r="W319" s="7">
        <v>3.2135419202986758E-2</v>
      </c>
      <c r="X319" t="s">
        <v>576</v>
      </c>
      <c r="Y319" t="s">
        <v>577</v>
      </c>
      <c r="Z319" t="s">
        <v>578</v>
      </c>
      <c r="AA319" t="s">
        <v>648</v>
      </c>
      <c r="AB319" t="s">
        <v>92</v>
      </c>
      <c r="AC319" t="s">
        <v>572</v>
      </c>
      <c r="AD319" t="s">
        <v>572</v>
      </c>
      <c r="AE319" t="s">
        <v>1721</v>
      </c>
      <c r="AF319" t="s">
        <v>1722</v>
      </c>
      <c r="AG319" t="s">
        <v>1721</v>
      </c>
      <c r="AI319" t="s">
        <v>337</v>
      </c>
      <c r="AJ319" t="s">
        <v>1636</v>
      </c>
      <c r="AK319" t="s">
        <v>1637</v>
      </c>
      <c r="AL319" s="4">
        <v>5</v>
      </c>
      <c r="AM319" t="s">
        <v>83</v>
      </c>
      <c r="AN319">
        <v>3.3509818376784399E-2</v>
      </c>
      <c r="AO319" t="s">
        <v>1638</v>
      </c>
      <c r="AP319" t="s">
        <v>1639</v>
      </c>
      <c r="AQ319" t="s">
        <v>1716</v>
      </c>
      <c r="AR319" t="s">
        <v>1641</v>
      </c>
      <c r="AS319">
        <v>1</v>
      </c>
      <c r="AT319">
        <v>0</v>
      </c>
      <c r="AU319">
        <v>1</v>
      </c>
      <c r="AV319">
        <v>1</v>
      </c>
      <c r="AW319">
        <v>0</v>
      </c>
      <c r="AX319">
        <v>0</v>
      </c>
      <c r="AY319" t="s">
        <v>1642</v>
      </c>
    </row>
    <row r="320" spans="1:51">
      <c r="A320" t="s">
        <v>572</v>
      </c>
      <c r="B320" t="s">
        <v>649</v>
      </c>
      <c r="C320" t="s">
        <v>183</v>
      </c>
      <c r="D320" t="s">
        <v>586</v>
      </c>
      <c r="E320" t="s">
        <v>82</v>
      </c>
      <c r="F320">
        <v>10</v>
      </c>
      <c r="G320" t="s">
        <v>83</v>
      </c>
      <c r="H320" t="s">
        <v>84</v>
      </c>
      <c r="I320" t="s">
        <v>85</v>
      </c>
      <c r="J320" t="s">
        <v>575</v>
      </c>
      <c r="K320" t="s">
        <v>29</v>
      </c>
      <c r="L320" t="s">
        <v>337</v>
      </c>
      <c r="M320" t="s">
        <v>188</v>
      </c>
      <c r="N320" s="7">
        <v>3</v>
      </c>
      <c r="O320" s="7"/>
      <c r="P320" s="7">
        <v>3</v>
      </c>
      <c r="Q320" s="7">
        <v>4.8</v>
      </c>
      <c r="R320" s="7"/>
      <c r="S320" s="7">
        <v>3</v>
      </c>
      <c r="T320" s="7">
        <v>0.7235329985563892</v>
      </c>
      <c r="U320" s="7">
        <v>0.7235329985563892</v>
      </c>
      <c r="V320" s="7">
        <v>0.47000362924573547</v>
      </c>
      <c r="W320" s="7">
        <v>2.6962673611111102E-2</v>
      </c>
      <c r="X320" t="s">
        <v>576</v>
      </c>
      <c r="Y320" t="s">
        <v>577</v>
      </c>
      <c r="Z320" t="s">
        <v>578</v>
      </c>
      <c r="AA320" t="s">
        <v>648</v>
      </c>
      <c r="AB320" t="s">
        <v>92</v>
      </c>
      <c r="AC320" t="s">
        <v>572</v>
      </c>
      <c r="AD320" t="s">
        <v>572</v>
      </c>
      <c r="AE320" t="s">
        <v>1721</v>
      </c>
      <c r="AF320" t="s">
        <v>1723</v>
      </c>
      <c r="AG320" t="s">
        <v>1721</v>
      </c>
      <c r="AI320" t="s">
        <v>337</v>
      </c>
      <c r="AJ320" t="s">
        <v>1636</v>
      </c>
      <c r="AK320" t="s">
        <v>1637</v>
      </c>
      <c r="AL320" s="4">
        <v>10</v>
      </c>
      <c r="AM320" t="s">
        <v>83</v>
      </c>
      <c r="AN320">
        <v>6.7019636753568798E-2</v>
      </c>
      <c r="AO320" t="s">
        <v>1638</v>
      </c>
      <c r="AP320" t="s">
        <v>1639</v>
      </c>
      <c r="AQ320" t="s">
        <v>1716</v>
      </c>
      <c r="AR320" t="s">
        <v>1641</v>
      </c>
      <c r="AS320">
        <v>1</v>
      </c>
      <c r="AT320">
        <v>0</v>
      </c>
      <c r="AU320">
        <v>1</v>
      </c>
      <c r="AV320">
        <v>1</v>
      </c>
      <c r="AW320">
        <v>0</v>
      </c>
      <c r="AX320">
        <v>0</v>
      </c>
      <c r="AY320" t="s">
        <v>1642</v>
      </c>
    </row>
    <row r="321" spans="1:51">
      <c r="A321" t="s">
        <v>572</v>
      </c>
      <c r="B321" t="s">
        <v>650</v>
      </c>
      <c r="C321" t="s">
        <v>183</v>
      </c>
      <c r="D321" t="s">
        <v>590</v>
      </c>
      <c r="E321" t="s">
        <v>82</v>
      </c>
      <c r="F321">
        <v>5</v>
      </c>
      <c r="G321" t="s">
        <v>83</v>
      </c>
      <c r="H321" t="s">
        <v>84</v>
      </c>
      <c r="I321" t="s">
        <v>85</v>
      </c>
      <c r="J321" t="s">
        <v>575</v>
      </c>
      <c r="K321" t="s">
        <v>29</v>
      </c>
      <c r="L321" t="s">
        <v>337</v>
      </c>
      <c r="M321" t="s">
        <v>188</v>
      </c>
      <c r="N321" s="7">
        <v>2.5</v>
      </c>
      <c r="O321" s="7"/>
      <c r="P321" s="7">
        <v>3</v>
      </c>
      <c r="Q321" s="7">
        <v>3.1</v>
      </c>
      <c r="R321" s="7"/>
      <c r="S321" s="7">
        <v>3</v>
      </c>
      <c r="T321" s="7">
        <v>0.7235329985563892</v>
      </c>
      <c r="U321" s="7">
        <v>0.7235329985563892</v>
      </c>
      <c r="V321" s="7">
        <v>0.21511137961694549</v>
      </c>
      <c r="W321" s="7">
        <v>4.6078168574401654E-2</v>
      </c>
      <c r="X321" t="s">
        <v>576</v>
      </c>
      <c r="Y321" t="s">
        <v>577</v>
      </c>
      <c r="Z321" t="s">
        <v>578</v>
      </c>
      <c r="AA321" t="s">
        <v>651</v>
      </c>
      <c r="AB321" t="s">
        <v>92</v>
      </c>
      <c r="AC321" t="s">
        <v>572</v>
      </c>
      <c r="AD321" t="s">
        <v>572</v>
      </c>
      <c r="AE321" t="s">
        <v>1724</v>
      </c>
      <c r="AF321" t="s">
        <v>1725</v>
      </c>
      <c r="AG321" t="s">
        <v>1724</v>
      </c>
      <c r="AI321" t="s">
        <v>337</v>
      </c>
      <c r="AJ321" t="s">
        <v>1636</v>
      </c>
      <c r="AK321" t="s">
        <v>1637</v>
      </c>
      <c r="AL321" s="4">
        <v>5</v>
      </c>
      <c r="AM321" t="s">
        <v>83</v>
      </c>
      <c r="AN321">
        <v>3.3509818376784399E-2</v>
      </c>
      <c r="AO321" t="s">
        <v>1638</v>
      </c>
      <c r="AP321" t="s">
        <v>1639</v>
      </c>
      <c r="AQ321" t="s">
        <v>1716</v>
      </c>
      <c r="AR321" t="s">
        <v>1641</v>
      </c>
      <c r="AS321">
        <v>1</v>
      </c>
      <c r="AT321">
        <v>0</v>
      </c>
      <c r="AU321">
        <v>1</v>
      </c>
      <c r="AV321">
        <v>1</v>
      </c>
      <c r="AW321">
        <v>0</v>
      </c>
      <c r="AX321">
        <v>0</v>
      </c>
      <c r="AY321" t="s">
        <v>1642</v>
      </c>
    </row>
    <row r="322" spans="1:51">
      <c r="A322" t="s">
        <v>572</v>
      </c>
      <c r="B322" t="s">
        <v>652</v>
      </c>
      <c r="C322" t="s">
        <v>183</v>
      </c>
      <c r="D322" t="s">
        <v>590</v>
      </c>
      <c r="E322" t="s">
        <v>82</v>
      </c>
      <c r="F322">
        <v>10</v>
      </c>
      <c r="G322" t="s">
        <v>83</v>
      </c>
      <c r="H322" t="s">
        <v>84</v>
      </c>
      <c r="I322" t="s">
        <v>85</v>
      </c>
      <c r="J322" t="s">
        <v>575</v>
      </c>
      <c r="K322" t="s">
        <v>29</v>
      </c>
      <c r="L322" t="s">
        <v>337</v>
      </c>
      <c r="M322" t="s">
        <v>188</v>
      </c>
      <c r="N322" s="7">
        <v>2.5</v>
      </c>
      <c r="O322" s="7"/>
      <c r="P322" s="7">
        <v>3</v>
      </c>
      <c r="Q322" s="7">
        <v>3.7</v>
      </c>
      <c r="R322" s="7"/>
      <c r="S322" s="7">
        <v>3</v>
      </c>
      <c r="T322" s="7">
        <v>0.7235329985563892</v>
      </c>
      <c r="U322" s="7">
        <v>0.7235329985563892</v>
      </c>
      <c r="V322" s="7">
        <v>0.39204208777602367</v>
      </c>
      <c r="W322" s="7">
        <v>4.0666530314097865E-2</v>
      </c>
      <c r="X322" t="s">
        <v>576</v>
      </c>
      <c r="Y322" t="s">
        <v>577</v>
      </c>
      <c r="Z322" t="s">
        <v>578</v>
      </c>
      <c r="AA322" t="s">
        <v>651</v>
      </c>
      <c r="AB322" t="s">
        <v>92</v>
      </c>
      <c r="AC322" t="s">
        <v>572</v>
      </c>
      <c r="AD322" t="s">
        <v>572</v>
      </c>
      <c r="AE322" t="s">
        <v>1724</v>
      </c>
      <c r="AF322" t="s">
        <v>1726</v>
      </c>
      <c r="AG322" t="s">
        <v>1724</v>
      </c>
      <c r="AI322" t="s">
        <v>337</v>
      </c>
      <c r="AJ322" t="s">
        <v>1636</v>
      </c>
      <c r="AK322" t="s">
        <v>1637</v>
      </c>
      <c r="AL322" s="4">
        <v>10</v>
      </c>
      <c r="AM322" t="s">
        <v>83</v>
      </c>
      <c r="AN322">
        <v>6.7019636753568798E-2</v>
      </c>
      <c r="AO322" t="s">
        <v>1638</v>
      </c>
      <c r="AP322" t="s">
        <v>1639</v>
      </c>
      <c r="AQ322" t="s">
        <v>1716</v>
      </c>
      <c r="AR322" t="s">
        <v>1641</v>
      </c>
      <c r="AS322">
        <v>1</v>
      </c>
      <c r="AT322">
        <v>0</v>
      </c>
      <c r="AU322">
        <v>1</v>
      </c>
      <c r="AV322">
        <v>1</v>
      </c>
      <c r="AW322">
        <v>0</v>
      </c>
      <c r="AX322">
        <v>0</v>
      </c>
      <c r="AY322" t="s">
        <v>1642</v>
      </c>
    </row>
    <row r="323" spans="1:51">
      <c r="A323" t="s">
        <v>653</v>
      </c>
      <c r="B323" t="s">
        <v>654</v>
      </c>
      <c r="C323" t="s">
        <v>655</v>
      </c>
      <c r="D323" t="s">
        <v>656</v>
      </c>
      <c r="E323" t="s">
        <v>82</v>
      </c>
      <c r="F323">
        <v>4</v>
      </c>
      <c r="G323" t="s">
        <v>185</v>
      </c>
      <c r="H323" t="s">
        <v>84</v>
      </c>
      <c r="I323" t="s">
        <v>186</v>
      </c>
      <c r="J323" t="s">
        <v>657</v>
      </c>
      <c r="K323" t="s">
        <v>41</v>
      </c>
      <c r="L323" t="s">
        <v>40</v>
      </c>
      <c r="M323" t="s">
        <v>188</v>
      </c>
      <c r="N323" s="7">
        <v>5.15</v>
      </c>
      <c r="O323" s="7">
        <v>0.18</v>
      </c>
      <c r="P323" s="7">
        <v>4</v>
      </c>
      <c r="Q323" s="7">
        <v>6.3</v>
      </c>
      <c r="R323" s="7">
        <v>0.18</v>
      </c>
      <c r="S323" s="7">
        <v>4</v>
      </c>
      <c r="T323" s="7">
        <v>0.36</v>
      </c>
      <c r="U323" s="7">
        <v>0.36</v>
      </c>
      <c r="V323" s="7">
        <v>0.20155291872184214</v>
      </c>
      <c r="W323" s="7">
        <v>2.0379308288495904E-3</v>
      </c>
      <c r="X323" t="s">
        <v>658</v>
      </c>
      <c r="Y323" t="s">
        <v>380</v>
      </c>
      <c r="Z323" t="s">
        <v>381</v>
      </c>
      <c r="AA323" t="s">
        <v>659</v>
      </c>
      <c r="AB323" t="s">
        <v>92</v>
      </c>
      <c r="AC323" t="s">
        <v>653</v>
      </c>
      <c r="AD323" t="s">
        <v>653</v>
      </c>
      <c r="AE323" t="s">
        <v>1727</v>
      </c>
      <c r="AF323" t="s">
        <v>1728</v>
      </c>
      <c r="AG323" t="s">
        <v>1727</v>
      </c>
      <c r="AI323" t="s">
        <v>40</v>
      </c>
      <c r="AJ323" t="s">
        <v>1636</v>
      </c>
      <c r="AK323" t="s">
        <v>1637</v>
      </c>
      <c r="AL323" s="4">
        <v>4</v>
      </c>
      <c r="AM323" t="s">
        <v>185</v>
      </c>
      <c r="AN323">
        <v>4</v>
      </c>
      <c r="AO323" t="s">
        <v>1665</v>
      </c>
      <c r="AP323" t="s">
        <v>1639</v>
      </c>
      <c r="AQ323" t="s">
        <v>1640</v>
      </c>
      <c r="AR323" t="s">
        <v>1686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 t="s">
        <v>1642</v>
      </c>
    </row>
    <row r="324" spans="1:51">
      <c r="A324" t="s">
        <v>653</v>
      </c>
      <c r="B324" t="s">
        <v>660</v>
      </c>
      <c r="C324" t="s">
        <v>655</v>
      </c>
      <c r="D324" t="s">
        <v>656</v>
      </c>
      <c r="E324" t="s">
        <v>82</v>
      </c>
      <c r="F324">
        <v>4</v>
      </c>
      <c r="G324" t="s">
        <v>185</v>
      </c>
      <c r="H324" t="s">
        <v>84</v>
      </c>
      <c r="I324" t="s">
        <v>186</v>
      </c>
      <c r="J324" t="s">
        <v>657</v>
      </c>
      <c r="K324" t="s">
        <v>41</v>
      </c>
      <c r="L324" t="s">
        <v>30</v>
      </c>
      <c r="M324" t="s">
        <v>188</v>
      </c>
      <c r="N324" s="7">
        <v>6.25</v>
      </c>
      <c r="O324" s="7">
        <v>0.32</v>
      </c>
      <c r="P324" s="7">
        <v>4</v>
      </c>
      <c r="Q324" s="7">
        <v>10</v>
      </c>
      <c r="R324" s="7">
        <v>0.46</v>
      </c>
      <c r="S324" s="7">
        <v>4</v>
      </c>
      <c r="T324" s="7">
        <v>0.64</v>
      </c>
      <c r="U324" s="7">
        <v>0.92</v>
      </c>
      <c r="V324" s="7">
        <v>0.47000362924573563</v>
      </c>
      <c r="W324" s="7">
        <v>4.7374400000000007E-3</v>
      </c>
      <c r="X324" t="s">
        <v>658</v>
      </c>
      <c r="Y324" t="s">
        <v>380</v>
      </c>
      <c r="Z324" t="s">
        <v>381</v>
      </c>
      <c r="AA324" t="s">
        <v>661</v>
      </c>
      <c r="AB324" t="s">
        <v>92</v>
      </c>
      <c r="AC324" t="s">
        <v>653</v>
      </c>
      <c r="AD324" t="s">
        <v>653</v>
      </c>
      <c r="AE324" t="s">
        <v>1727</v>
      </c>
      <c r="AF324" t="s">
        <v>1728</v>
      </c>
      <c r="AG324" t="s">
        <v>1727</v>
      </c>
      <c r="AI324" t="s">
        <v>30</v>
      </c>
      <c r="AJ324" t="s">
        <v>1636</v>
      </c>
      <c r="AK324" t="s">
        <v>1637</v>
      </c>
      <c r="AL324" s="4">
        <v>4</v>
      </c>
      <c r="AM324" t="s">
        <v>185</v>
      </c>
      <c r="AN324">
        <v>4</v>
      </c>
      <c r="AO324" t="s">
        <v>1665</v>
      </c>
      <c r="AP324" t="s">
        <v>1639</v>
      </c>
      <c r="AQ324" t="s">
        <v>1640</v>
      </c>
      <c r="AR324" t="s">
        <v>1686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 t="s">
        <v>1642</v>
      </c>
    </row>
    <row r="325" spans="1:51">
      <c r="A325" t="s">
        <v>653</v>
      </c>
      <c r="B325" t="s">
        <v>662</v>
      </c>
      <c r="C325" t="s">
        <v>655</v>
      </c>
      <c r="D325" t="s">
        <v>656</v>
      </c>
      <c r="E325" t="s">
        <v>82</v>
      </c>
      <c r="F325">
        <v>4</v>
      </c>
      <c r="G325" t="s">
        <v>185</v>
      </c>
      <c r="H325" t="s">
        <v>84</v>
      </c>
      <c r="I325" t="s">
        <v>186</v>
      </c>
      <c r="J325" t="s">
        <v>657</v>
      </c>
      <c r="K325" t="s">
        <v>41</v>
      </c>
      <c r="L325" t="s">
        <v>53</v>
      </c>
      <c r="M325" t="s">
        <v>188</v>
      </c>
      <c r="N325" s="7">
        <v>0.08</v>
      </c>
      <c r="O325" s="7">
        <v>0.02</v>
      </c>
      <c r="P325" s="7">
        <v>4</v>
      </c>
      <c r="Q325" s="7">
        <v>0.09</v>
      </c>
      <c r="R325" s="7">
        <v>0.01</v>
      </c>
      <c r="S325" s="7">
        <v>4</v>
      </c>
      <c r="T325" s="7">
        <v>0.04</v>
      </c>
      <c r="U325" s="7">
        <v>0.02</v>
      </c>
      <c r="V325" s="7">
        <v>0.11778303565638346</v>
      </c>
      <c r="W325" s="7">
        <v>7.4845679012345678E-2</v>
      </c>
      <c r="X325" t="s">
        <v>658</v>
      </c>
      <c r="Y325" t="s">
        <v>380</v>
      </c>
      <c r="Z325" t="s">
        <v>381</v>
      </c>
      <c r="AA325" t="s">
        <v>663</v>
      </c>
      <c r="AB325" t="s">
        <v>92</v>
      </c>
      <c r="AC325" t="s">
        <v>653</v>
      </c>
      <c r="AD325" t="s">
        <v>653</v>
      </c>
      <c r="AE325" t="s">
        <v>1727</v>
      </c>
      <c r="AF325" t="s">
        <v>1728</v>
      </c>
      <c r="AG325" t="s">
        <v>1727</v>
      </c>
      <c r="AI325" t="s">
        <v>53</v>
      </c>
      <c r="AJ325" t="s">
        <v>1636</v>
      </c>
      <c r="AK325" t="s">
        <v>1637</v>
      </c>
      <c r="AL325" s="4">
        <v>4</v>
      </c>
      <c r="AM325" t="s">
        <v>185</v>
      </c>
      <c r="AN325">
        <v>4</v>
      </c>
      <c r="AO325" t="s">
        <v>1665</v>
      </c>
      <c r="AP325" t="s">
        <v>1639</v>
      </c>
      <c r="AQ325" t="s">
        <v>1640</v>
      </c>
      <c r="AR325" t="s">
        <v>1686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 t="s">
        <v>1642</v>
      </c>
    </row>
    <row r="326" spans="1:51">
      <c r="A326" t="s">
        <v>653</v>
      </c>
      <c r="B326" t="s">
        <v>664</v>
      </c>
      <c r="C326" t="s">
        <v>655</v>
      </c>
      <c r="D326" t="s">
        <v>665</v>
      </c>
      <c r="E326" t="s">
        <v>82</v>
      </c>
      <c r="F326">
        <v>4</v>
      </c>
      <c r="G326" t="s">
        <v>185</v>
      </c>
      <c r="H326" t="s">
        <v>84</v>
      </c>
      <c r="I326" t="s">
        <v>186</v>
      </c>
      <c r="J326" t="s">
        <v>657</v>
      </c>
      <c r="K326" t="s">
        <v>41</v>
      </c>
      <c r="L326" t="s">
        <v>40</v>
      </c>
      <c r="M326" t="s">
        <v>188</v>
      </c>
      <c r="N326" s="7">
        <v>4.88</v>
      </c>
      <c r="O326" s="7">
        <v>0.15</v>
      </c>
      <c r="P326" s="7">
        <v>4</v>
      </c>
      <c r="Q326" s="7">
        <v>6.38</v>
      </c>
      <c r="R326" s="7">
        <v>0.23</v>
      </c>
      <c r="S326" s="7">
        <v>4</v>
      </c>
      <c r="T326" s="7">
        <v>0.3</v>
      </c>
      <c r="U326" s="7">
        <v>0.46</v>
      </c>
      <c r="V326" s="7">
        <v>0.26802287749164266</v>
      </c>
      <c r="W326" s="7">
        <v>2.2444203045930635E-3</v>
      </c>
      <c r="X326" t="s">
        <v>658</v>
      </c>
      <c r="Y326" t="s">
        <v>380</v>
      </c>
      <c r="Z326" t="s">
        <v>381</v>
      </c>
      <c r="AA326" t="s">
        <v>666</v>
      </c>
      <c r="AB326" t="s">
        <v>92</v>
      </c>
      <c r="AC326" t="s">
        <v>653</v>
      </c>
      <c r="AD326" t="s">
        <v>653</v>
      </c>
      <c r="AE326" t="s">
        <v>1729</v>
      </c>
      <c r="AF326" t="s">
        <v>1730</v>
      </c>
      <c r="AG326" t="s">
        <v>1729</v>
      </c>
      <c r="AI326" t="s">
        <v>40</v>
      </c>
      <c r="AJ326" t="s">
        <v>1636</v>
      </c>
      <c r="AK326" t="s">
        <v>1637</v>
      </c>
      <c r="AL326" s="4">
        <v>4</v>
      </c>
      <c r="AM326" t="s">
        <v>185</v>
      </c>
      <c r="AN326">
        <v>4</v>
      </c>
      <c r="AO326" t="s">
        <v>1665</v>
      </c>
      <c r="AP326" t="s">
        <v>1639</v>
      </c>
      <c r="AQ326" t="s">
        <v>1640</v>
      </c>
      <c r="AR326" t="s">
        <v>1686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 t="s">
        <v>1642</v>
      </c>
    </row>
    <row r="327" spans="1:51">
      <c r="A327" t="s">
        <v>653</v>
      </c>
      <c r="B327" t="s">
        <v>667</v>
      </c>
      <c r="C327" t="s">
        <v>655</v>
      </c>
      <c r="D327" t="s">
        <v>665</v>
      </c>
      <c r="E327" t="s">
        <v>82</v>
      </c>
      <c r="F327">
        <v>4</v>
      </c>
      <c r="G327" t="s">
        <v>185</v>
      </c>
      <c r="H327" t="s">
        <v>84</v>
      </c>
      <c r="I327" t="s">
        <v>186</v>
      </c>
      <c r="J327" t="s">
        <v>657</v>
      </c>
      <c r="K327" t="s">
        <v>41</v>
      </c>
      <c r="L327" t="s">
        <v>30</v>
      </c>
      <c r="M327" t="s">
        <v>188</v>
      </c>
      <c r="N327" s="7">
        <v>9.3000000000000007</v>
      </c>
      <c r="O327" s="7">
        <v>0.28999999999999998</v>
      </c>
      <c r="P327" s="7">
        <v>4</v>
      </c>
      <c r="Q327" s="7">
        <v>10</v>
      </c>
      <c r="R327" s="7">
        <v>0.46</v>
      </c>
      <c r="S327" s="7">
        <v>4</v>
      </c>
      <c r="T327" s="7">
        <v>0.57999999999999996</v>
      </c>
      <c r="U327" s="7">
        <v>0.92</v>
      </c>
      <c r="V327" s="7">
        <v>7.2570692834835374E-2</v>
      </c>
      <c r="W327" s="7">
        <v>3.0883667476008787E-3</v>
      </c>
      <c r="X327" t="s">
        <v>658</v>
      </c>
      <c r="Y327" t="s">
        <v>380</v>
      </c>
      <c r="Z327" t="s">
        <v>381</v>
      </c>
      <c r="AA327" t="s">
        <v>668</v>
      </c>
      <c r="AB327" t="s">
        <v>92</v>
      </c>
      <c r="AC327" t="s">
        <v>653</v>
      </c>
      <c r="AD327" t="s">
        <v>653</v>
      </c>
      <c r="AE327" t="s">
        <v>1729</v>
      </c>
      <c r="AF327" t="s">
        <v>1730</v>
      </c>
      <c r="AG327" t="s">
        <v>1729</v>
      </c>
      <c r="AI327" t="s">
        <v>30</v>
      </c>
      <c r="AJ327" t="s">
        <v>1636</v>
      </c>
      <c r="AK327" t="s">
        <v>1637</v>
      </c>
      <c r="AL327" s="4">
        <v>4</v>
      </c>
      <c r="AM327" t="s">
        <v>185</v>
      </c>
      <c r="AN327">
        <v>4</v>
      </c>
      <c r="AO327" t="s">
        <v>1665</v>
      </c>
      <c r="AP327" t="s">
        <v>1639</v>
      </c>
      <c r="AQ327" t="s">
        <v>1640</v>
      </c>
      <c r="AR327" t="s">
        <v>1686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 t="s">
        <v>1642</v>
      </c>
    </row>
    <row r="328" spans="1:51">
      <c r="A328" t="s">
        <v>653</v>
      </c>
      <c r="B328" t="s">
        <v>669</v>
      </c>
      <c r="C328" t="s">
        <v>655</v>
      </c>
      <c r="D328" t="s">
        <v>665</v>
      </c>
      <c r="E328" t="s">
        <v>82</v>
      </c>
      <c r="F328">
        <v>4</v>
      </c>
      <c r="G328" t="s">
        <v>185</v>
      </c>
      <c r="H328" t="s">
        <v>84</v>
      </c>
      <c r="I328" t="s">
        <v>186</v>
      </c>
      <c r="J328" t="s">
        <v>657</v>
      </c>
      <c r="K328" t="s">
        <v>41</v>
      </c>
      <c r="L328" t="s">
        <v>53</v>
      </c>
      <c r="M328" t="s">
        <v>188</v>
      </c>
      <c r="N328" s="7">
        <v>0.08</v>
      </c>
      <c r="O328" s="7">
        <v>0.01</v>
      </c>
      <c r="P328" s="7">
        <v>4</v>
      </c>
      <c r="Q328" s="7">
        <v>0.09</v>
      </c>
      <c r="R328" s="7">
        <v>0.01</v>
      </c>
      <c r="S328" s="7">
        <v>4</v>
      </c>
      <c r="T328" s="7">
        <v>0.02</v>
      </c>
      <c r="U328" s="7">
        <v>0.02</v>
      </c>
      <c r="V328" s="7">
        <v>0.11778303565638346</v>
      </c>
      <c r="W328" s="7">
        <v>2.7970679012345678E-2</v>
      </c>
      <c r="X328" t="s">
        <v>658</v>
      </c>
      <c r="Y328" t="s">
        <v>380</v>
      </c>
      <c r="Z328" t="s">
        <v>381</v>
      </c>
      <c r="AA328" t="s">
        <v>670</v>
      </c>
      <c r="AB328" t="s">
        <v>92</v>
      </c>
      <c r="AC328" t="s">
        <v>653</v>
      </c>
      <c r="AD328" t="s">
        <v>653</v>
      </c>
      <c r="AE328" t="s">
        <v>1729</v>
      </c>
      <c r="AF328" t="s">
        <v>1730</v>
      </c>
      <c r="AG328" t="s">
        <v>1729</v>
      </c>
      <c r="AI328" t="s">
        <v>53</v>
      </c>
      <c r="AJ328" t="s">
        <v>1636</v>
      </c>
      <c r="AK328" t="s">
        <v>1637</v>
      </c>
      <c r="AL328" s="4">
        <v>4</v>
      </c>
      <c r="AM328" t="s">
        <v>185</v>
      </c>
      <c r="AN328">
        <v>4</v>
      </c>
      <c r="AO328" t="s">
        <v>1665</v>
      </c>
      <c r="AP328" t="s">
        <v>1639</v>
      </c>
      <c r="AQ328" t="s">
        <v>1640</v>
      </c>
      <c r="AR328" t="s">
        <v>1686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 t="s">
        <v>1642</v>
      </c>
    </row>
    <row r="329" spans="1:51">
      <c r="A329" t="s">
        <v>671</v>
      </c>
      <c r="B329" t="s">
        <v>672</v>
      </c>
      <c r="C329" t="s">
        <v>673</v>
      </c>
      <c r="D329" t="s">
        <v>674</v>
      </c>
      <c r="E329" t="s">
        <v>96</v>
      </c>
      <c r="F329">
        <v>2.5</v>
      </c>
      <c r="G329" t="s">
        <v>185</v>
      </c>
      <c r="H329" t="s">
        <v>675</v>
      </c>
      <c r="I329" t="s">
        <v>85</v>
      </c>
      <c r="J329" t="s">
        <v>676</v>
      </c>
      <c r="K329" t="s">
        <v>41</v>
      </c>
      <c r="L329" t="s">
        <v>40</v>
      </c>
      <c r="M329" t="s">
        <v>677</v>
      </c>
      <c r="N329" s="7">
        <v>0.78</v>
      </c>
      <c r="O329" s="7">
        <v>0.05</v>
      </c>
      <c r="P329" s="7">
        <v>8</v>
      </c>
      <c r="Q329" s="7">
        <v>0.72</v>
      </c>
      <c r="R329" s="7">
        <v>0.05</v>
      </c>
      <c r="S329" s="7">
        <v>8</v>
      </c>
      <c r="T329" s="7">
        <v>0.14142135623730953</v>
      </c>
      <c r="U329" s="7">
        <v>0.14142135623730953</v>
      </c>
      <c r="V329" s="7">
        <v>-8.0042707673536495E-2</v>
      </c>
      <c r="W329" s="7">
        <v>8.9316695887208739E-3</v>
      </c>
      <c r="X329" t="s">
        <v>678</v>
      </c>
      <c r="Y329" t="s">
        <v>89</v>
      </c>
      <c r="Z329" t="s">
        <v>515</v>
      </c>
      <c r="AA329" t="s">
        <v>679</v>
      </c>
      <c r="AB329" t="s">
        <v>92</v>
      </c>
      <c r="AC329" t="s">
        <v>671</v>
      </c>
      <c r="AD329" t="s">
        <v>671</v>
      </c>
      <c r="AE329" t="s">
        <v>1731</v>
      </c>
      <c r="AF329" t="s">
        <v>1732</v>
      </c>
      <c r="AG329" t="s">
        <v>1731</v>
      </c>
      <c r="AI329" t="s">
        <v>40</v>
      </c>
      <c r="AJ329" t="s">
        <v>1636</v>
      </c>
      <c r="AK329" t="s">
        <v>1637</v>
      </c>
      <c r="AL329" s="4">
        <v>2.5</v>
      </c>
      <c r="AM329" t="s">
        <v>185</v>
      </c>
      <c r="AN329">
        <v>2.5</v>
      </c>
      <c r="AO329" t="s">
        <v>1665</v>
      </c>
      <c r="AP329" t="s">
        <v>1639</v>
      </c>
      <c r="AQ329" t="s">
        <v>1640</v>
      </c>
      <c r="AR329" t="s">
        <v>1641</v>
      </c>
      <c r="AS329">
        <v>1</v>
      </c>
      <c r="AT329">
        <v>0</v>
      </c>
      <c r="AU329">
        <v>0</v>
      </c>
      <c r="AV329">
        <v>1</v>
      </c>
      <c r="AW329">
        <v>0</v>
      </c>
      <c r="AX329">
        <v>0</v>
      </c>
      <c r="AY329" t="s">
        <v>1642</v>
      </c>
    </row>
    <row r="330" spans="1:51">
      <c r="A330" t="s">
        <v>671</v>
      </c>
      <c r="B330" t="s">
        <v>680</v>
      </c>
      <c r="C330" t="s">
        <v>673</v>
      </c>
      <c r="D330" t="s">
        <v>674</v>
      </c>
      <c r="E330" t="s">
        <v>96</v>
      </c>
      <c r="F330">
        <v>2.5</v>
      </c>
      <c r="G330" t="s">
        <v>185</v>
      </c>
      <c r="H330" t="s">
        <v>675</v>
      </c>
      <c r="I330" t="s">
        <v>85</v>
      </c>
      <c r="J330" t="s">
        <v>676</v>
      </c>
      <c r="K330" t="s">
        <v>29</v>
      </c>
      <c r="L330" t="s">
        <v>40</v>
      </c>
      <c r="M330" t="s">
        <v>677</v>
      </c>
      <c r="N330" s="7">
        <v>0.85</v>
      </c>
      <c r="O330" s="7">
        <v>0.06</v>
      </c>
      <c r="P330" s="7">
        <v>8</v>
      </c>
      <c r="Q330" s="7">
        <v>0.9</v>
      </c>
      <c r="R330" s="7">
        <v>7.0000000000000007E-2</v>
      </c>
      <c r="S330" s="7">
        <v>8</v>
      </c>
      <c r="T330" s="7">
        <v>0.16970562748477142</v>
      </c>
      <c r="U330" s="7">
        <v>0.19798989873223333</v>
      </c>
      <c r="V330" s="7">
        <v>5.7158413839948623E-2</v>
      </c>
      <c r="W330" s="7">
        <v>1.10320816779871E-2</v>
      </c>
      <c r="X330" t="s">
        <v>678</v>
      </c>
      <c r="Y330" t="s">
        <v>89</v>
      </c>
      <c r="Z330" t="s">
        <v>515</v>
      </c>
      <c r="AA330" t="s">
        <v>681</v>
      </c>
      <c r="AB330" t="s">
        <v>92</v>
      </c>
      <c r="AC330" t="s">
        <v>671</v>
      </c>
      <c r="AD330" t="s">
        <v>671</v>
      </c>
      <c r="AE330" t="s">
        <v>1731</v>
      </c>
      <c r="AF330" t="s">
        <v>1732</v>
      </c>
      <c r="AG330" t="s">
        <v>1731</v>
      </c>
      <c r="AI330" t="s">
        <v>40</v>
      </c>
      <c r="AJ330" t="s">
        <v>1636</v>
      </c>
      <c r="AK330" t="s">
        <v>1637</v>
      </c>
      <c r="AL330" s="4">
        <v>2.5</v>
      </c>
      <c r="AM330" t="s">
        <v>185</v>
      </c>
      <c r="AN330">
        <v>2.5</v>
      </c>
      <c r="AO330" t="s">
        <v>1665</v>
      </c>
      <c r="AP330" t="s">
        <v>1639</v>
      </c>
      <c r="AQ330" t="s">
        <v>1640</v>
      </c>
      <c r="AR330" t="s">
        <v>1641</v>
      </c>
      <c r="AS330">
        <v>1</v>
      </c>
      <c r="AT330">
        <v>0</v>
      </c>
      <c r="AU330">
        <v>0</v>
      </c>
      <c r="AV330">
        <v>1</v>
      </c>
      <c r="AW330">
        <v>0</v>
      </c>
      <c r="AX330">
        <v>0</v>
      </c>
      <c r="AY330" t="s">
        <v>1642</v>
      </c>
    </row>
    <row r="331" spans="1:51">
      <c r="A331" t="s">
        <v>671</v>
      </c>
      <c r="B331" t="s">
        <v>682</v>
      </c>
      <c r="C331" t="s">
        <v>673</v>
      </c>
      <c r="D331" t="s">
        <v>674</v>
      </c>
      <c r="E331" t="s">
        <v>96</v>
      </c>
      <c r="F331">
        <v>2.5</v>
      </c>
      <c r="G331" t="s">
        <v>185</v>
      </c>
      <c r="H331" t="s">
        <v>675</v>
      </c>
      <c r="I331" t="s">
        <v>85</v>
      </c>
      <c r="J331" t="s">
        <v>86</v>
      </c>
      <c r="K331" t="s">
        <v>41</v>
      </c>
      <c r="L331" t="s">
        <v>40</v>
      </c>
      <c r="M331" t="s">
        <v>677</v>
      </c>
      <c r="N331" s="7">
        <v>0.72</v>
      </c>
      <c r="O331" s="7">
        <v>0.05</v>
      </c>
      <c r="P331" s="7">
        <v>8</v>
      </c>
      <c r="Q331" s="7">
        <v>0.73</v>
      </c>
      <c r="R331" s="7">
        <v>0.05</v>
      </c>
      <c r="S331" s="7">
        <v>8</v>
      </c>
      <c r="T331" s="7">
        <v>0.14142135623730953</v>
      </c>
      <c r="U331" s="7">
        <v>0.14142135623730953</v>
      </c>
      <c r="V331" s="7">
        <v>1.3793322132335769E-2</v>
      </c>
      <c r="W331" s="7">
        <v>9.5138425549462693E-3</v>
      </c>
      <c r="X331" t="s">
        <v>678</v>
      </c>
      <c r="Y331" t="s">
        <v>89</v>
      </c>
      <c r="Z331" t="s">
        <v>515</v>
      </c>
      <c r="AA331" t="s">
        <v>683</v>
      </c>
      <c r="AB331" t="s">
        <v>92</v>
      </c>
      <c r="AC331" t="s">
        <v>671</v>
      </c>
      <c r="AD331" t="s">
        <v>671</v>
      </c>
      <c r="AE331" t="s">
        <v>1733</v>
      </c>
      <c r="AF331" t="s">
        <v>1734</v>
      </c>
      <c r="AG331" t="s">
        <v>1733</v>
      </c>
      <c r="AI331" t="s">
        <v>40</v>
      </c>
      <c r="AJ331" t="s">
        <v>1636</v>
      </c>
      <c r="AK331" t="s">
        <v>1637</v>
      </c>
      <c r="AL331" s="4">
        <v>2.5</v>
      </c>
      <c r="AM331" t="s">
        <v>185</v>
      </c>
      <c r="AN331">
        <v>2.5</v>
      </c>
      <c r="AO331" t="s">
        <v>1665</v>
      </c>
      <c r="AP331" t="s">
        <v>1639</v>
      </c>
      <c r="AQ331" t="s">
        <v>1640</v>
      </c>
      <c r="AR331" t="s">
        <v>1641</v>
      </c>
      <c r="AS331">
        <v>1</v>
      </c>
      <c r="AT331">
        <v>0</v>
      </c>
      <c r="AU331">
        <v>0</v>
      </c>
      <c r="AV331">
        <v>1</v>
      </c>
      <c r="AW331">
        <v>0</v>
      </c>
      <c r="AX331">
        <v>0</v>
      </c>
      <c r="AY331" t="s">
        <v>1642</v>
      </c>
    </row>
    <row r="332" spans="1:51">
      <c r="A332" t="s">
        <v>671</v>
      </c>
      <c r="B332" t="s">
        <v>684</v>
      </c>
      <c r="C332" t="s">
        <v>673</v>
      </c>
      <c r="D332" t="s">
        <v>674</v>
      </c>
      <c r="E332" t="s">
        <v>96</v>
      </c>
      <c r="F332">
        <v>2.5</v>
      </c>
      <c r="G332" t="s">
        <v>185</v>
      </c>
      <c r="H332" t="s">
        <v>675</v>
      </c>
      <c r="I332" t="s">
        <v>85</v>
      </c>
      <c r="J332" t="s">
        <v>86</v>
      </c>
      <c r="K332" t="s">
        <v>29</v>
      </c>
      <c r="L332" t="s">
        <v>40</v>
      </c>
      <c r="M332" t="s">
        <v>677</v>
      </c>
      <c r="N332" s="7">
        <v>0.82</v>
      </c>
      <c r="O332" s="7">
        <v>0.06</v>
      </c>
      <c r="P332" s="7">
        <v>8</v>
      </c>
      <c r="Q332" s="7">
        <v>1.02</v>
      </c>
      <c r="R332" s="7">
        <v>0.08</v>
      </c>
      <c r="S332" s="7">
        <v>8</v>
      </c>
      <c r="T332" s="7">
        <v>0.16970562748477142</v>
      </c>
      <c r="U332" s="7">
        <v>0.22627416997969524</v>
      </c>
      <c r="V332" s="7">
        <v>0.21825356602001797</v>
      </c>
      <c r="W332" s="7">
        <v>1.1505436178507286E-2</v>
      </c>
      <c r="X332" t="s">
        <v>678</v>
      </c>
      <c r="Y332" t="s">
        <v>89</v>
      </c>
      <c r="Z332" t="s">
        <v>515</v>
      </c>
      <c r="AA332" t="s">
        <v>685</v>
      </c>
      <c r="AB332" t="s">
        <v>92</v>
      </c>
      <c r="AC332" t="s">
        <v>671</v>
      </c>
      <c r="AD332" t="s">
        <v>671</v>
      </c>
      <c r="AE332" t="s">
        <v>1733</v>
      </c>
      <c r="AF332" t="s">
        <v>1734</v>
      </c>
      <c r="AG332" t="s">
        <v>1733</v>
      </c>
      <c r="AI332" t="s">
        <v>40</v>
      </c>
      <c r="AJ332" t="s">
        <v>1636</v>
      </c>
      <c r="AK332" t="s">
        <v>1637</v>
      </c>
      <c r="AL332" s="4">
        <v>2.5</v>
      </c>
      <c r="AM332" t="s">
        <v>185</v>
      </c>
      <c r="AN332">
        <v>2.5</v>
      </c>
      <c r="AO332" t="s">
        <v>1665</v>
      </c>
      <c r="AP332" t="s">
        <v>1639</v>
      </c>
      <c r="AQ332" t="s">
        <v>1640</v>
      </c>
      <c r="AR332" t="s">
        <v>1641</v>
      </c>
      <c r="AS332">
        <v>1</v>
      </c>
      <c r="AT332">
        <v>0</v>
      </c>
      <c r="AU332">
        <v>0</v>
      </c>
      <c r="AV332">
        <v>1</v>
      </c>
      <c r="AW332">
        <v>0</v>
      </c>
      <c r="AX332">
        <v>0</v>
      </c>
      <c r="AY332" t="s">
        <v>1642</v>
      </c>
    </row>
    <row r="333" spans="1:51">
      <c r="A333" t="s">
        <v>686</v>
      </c>
      <c r="B333" t="s">
        <v>687</v>
      </c>
      <c r="C333" t="s">
        <v>688</v>
      </c>
      <c r="D333" t="s">
        <v>689</v>
      </c>
      <c r="E333" t="s">
        <v>690</v>
      </c>
      <c r="F333">
        <v>10</v>
      </c>
      <c r="G333" t="s">
        <v>185</v>
      </c>
      <c r="H333" t="s">
        <v>691</v>
      </c>
      <c r="I333" t="s">
        <v>377</v>
      </c>
      <c r="J333" t="s">
        <v>692</v>
      </c>
      <c r="K333" t="s">
        <v>149</v>
      </c>
      <c r="L333" t="s">
        <v>693</v>
      </c>
      <c r="M333" t="s">
        <v>694</v>
      </c>
      <c r="N333" s="7">
        <v>2.3199999999999998</v>
      </c>
      <c r="O333" s="7"/>
      <c r="P333" s="7">
        <v>3</v>
      </c>
      <c r="Q333" s="7">
        <v>2.64</v>
      </c>
      <c r="R333" s="7"/>
      <c r="S333" s="7">
        <v>3</v>
      </c>
      <c r="T333" s="7">
        <v>0.12</v>
      </c>
      <c r="U333" s="7">
        <v>0.14000000000000001</v>
      </c>
      <c r="V333" s="7">
        <v>0.12921173148000625</v>
      </c>
      <c r="W333" s="7">
        <v>1.8291998280648158E-3</v>
      </c>
      <c r="X333" t="s">
        <v>695</v>
      </c>
      <c r="Y333" t="s">
        <v>89</v>
      </c>
      <c r="Z333" t="s">
        <v>696</v>
      </c>
      <c r="AA333" t="s">
        <v>697</v>
      </c>
      <c r="AB333" t="s">
        <v>92</v>
      </c>
      <c r="AC333" t="s">
        <v>686</v>
      </c>
      <c r="AD333" t="s">
        <v>686</v>
      </c>
      <c r="AE333" t="s">
        <v>1735</v>
      </c>
      <c r="AF333" t="s">
        <v>1736</v>
      </c>
      <c r="AG333" t="s">
        <v>1735</v>
      </c>
      <c r="AI333" t="s">
        <v>42</v>
      </c>
      <c r="AJ333" t="s">
        <v>1737</v>
      </c>
      <c r="AK333" t="s">
        <v>1637</v>
      </c>
      <c r="AL333" s="4">
        <v>10</v>
      </c>
      <c r="AM333" t="s">
        <v>185</v>
      </c>
      <c r="AN333">
        <v>10</v>
      </c>
      <c r="AO333" t="s">
        <v>1665</v>
      </c>
      <c r="AP333" t="s">
        <v>1639</v>
      </c>
      <c r="AQ333" t="s">
        <v>1685</v>
      </c>
      <c r="AR333" t="s">
        <v>1641</v>
      </c>
      <c r="AS333">
        <v>1</v>
      </c>
      <c r="AT333">
        <v>0</v>
      </c>
      <c r="AU333">
        <v>0</v>
      </c>
      <c r="AV333">
        <v>1</v>
      </c>
      <c r="AW333">
        <v>0</v>
      </c>
      <c r="AX333">
        <v>0</v>
      </c>
      <c r="AY333" t="s">
        <v>1642</v>
      </c>
    </row>
    <row r="334" spans="1:51">
      <c r="A334" t="s">
        <v>686</v>
      </c>
      <c r="B334" t="s">
        <v>698</v>
      </c>
      <c r="C334" t="s">
        <v>688</v>
      </c>
      <c r="D334" t="s">
        <v>689</v>
      </c>
      <c r="E334" t="s">
        <v>690</v>
      </c>
      <c r="F334">
        <v>10</v>
      </c>
      <c r="G334" t="s">
        <v>185</v>
      </c>
      <c r="H334" t="s">
        <v>691</v>
      </c>
      <c r="I334" t="s">
        <v>377</v>
      </c>
      <c r="J334" t="s">
        <v>692</v>
      </c>
      <c r="K334" t="s">
        <v>149</v>
      </c>
      <c r="L334" t="s">
        <v>699</v>
      </c>
      <c r="M334" t="s">
        <v>694</v>
      </c>
      <c r="N334" s="7">
        <v>1.03</v>
      </c>
      <c r="O334" s="7"/>
      <c r="P334" s="7">
        <v>3</v>
      </c>
      <c r="Q334" s="7">
        <v>0.76</v>
      </c>
      <c r="R334" s="7"/>
      <c r="S334" s="7">
        <v>3</v>
      </c>
      <c r="T334" s="7">
        <v>0.03</v>
      </c>
      <c r="U334" s="7">
        <v>0.03</v>
      </c>
      <c r="V334" s="7">
        <v>-0.30399564794330469</v>
      </c>
      <c r="W334" s="7">
        <v>8.021693544575778E-4</v>
      </c>
      <c r="X334" t="s">
        <v>695</v>
      </c>
      <c r="Y334" t="s">
        <v>89</v>
      </c>
      <c r="Z334" t="s">
        <v>696</v>
      </c>
      <c r="AA334" t="s">
        <v>700</v>
      </c>
      <c r="AB334" t="s">
        <v>92</v>
      </c>
      <c r="AC334" t="s">
        <v>686</v>
      </c>
      <c r="AD334" t="s">
        <v>686</v>
      </c>
      <c r="AE334" t="s">
        <v>1735</v>
      </c>
      <c r="AF334" t="s">
        <v>1736</v>
      </c>
      <c r="AG334" t="s">
        <v>1735</v>
      </c>
      <c r="AI334" t="s">
        <v>42</v>
      </c>
      <c r="AJ334" t="s">
        <v>1738</v>
      </c>
      <c r="AK334" t="s">
        <v>1637</v>
      </c>
      <c r="AL334" s="4">
        <v>10</v>
      </c>
      <c r="AM334" t="s">
        <v>185</v>
      </c>
      <c r="AN334">
        <v>10</v>
      </c>
      <c r="AO334" t="s">
        <v>1665</v>
      </c>
      <c r="AP334" t="s">
        <v>1639</v>
      </c>
      <c r="AQ334" t="s">
        <v>1685</v>
      </c>
      <c r="AR334" t="s">
        <v>1641</v>
      </c>
      <c r="AS334">
        <v>1</v>
      </c>
      <c r="AT334">
        <v>0</v>
      </c>
      <c r="AU334">
        <v>0</v>
      </c>
      <c r="AV334">
        <v>1</v>
      </c>
      <c r="AW334">
        <v>0</v>
      </c>
      <c r="AX334">
        <v>0</v>
      </c>
      <c r="AY334" t="s">
        <v>1642</v>
      </c>
    </row>
    <row r="335" spans="1:51">
      <c r="A335" t="s">
        <v>701</v>
      </c>
      <c r="B335" t="s">
        <v>702</v>
      </c>
      <c r="C335" t="s">
        <v>703</v>
      </c>
      <c r="D335" t="s">
        <v>704</v>
      </c>
      <c r="E335" t="s">
        <v>562</v>
      </c>
      <c r="F335">
        <v>10</v>
      </c>
      <c r="G335" t="s">
        <v>185</v>
      </c>
      <c r="H335" t="s">
        <v>705</v>
      </c>
      <c r="I335" t="s">
        <v>85</v>
      </c>
      <c r="J335" t="s">
        <v>706</v>
      </c>
      <c r="K335" t="s">
        <v>149</v>
      </c>
      <c r="L335" t="s">
        <v>40</v>
      </c>
      <c r="M335" t="s">
        <v>707</v>
      </c>
      <c r="N335" s="7">
        <v>524</v>
      </c>
      <c r="O335" s="7">
        <v>6</v>
      </c>
      <c r="P335" s="7">
        <v>3</v>
      </c>
      <c r="Q335" s="7">
        <v>539</v>
      </c>
      <c r="R335" s="7">
        <v>7</v>
      </c>
      <c r="S335" s="7">
        <v>3</v>
      </c>
      <c r="T335" s="7">
        <v>10.392304845413264</v>
      </c>
      <c r="U335" s="7">
        <v>12.124355652982141</v>
      </c>
      <c r="V335" s="7">
        <v>2.8223886587954956E-2</v>
      </c>
      <c r="W335" s="7">
        <v>2.9977374692853837E-4</v>
      </c>
      <c r="X335" t="s">
        <v>658</v>
      </c>
      <c r="Y335" t="s">
        <v>380</v>
      </c>
      <c r="Z335" t="s">
        <v>381</v>
      </c>
      <c r="AA335" t="s">
        <v>708</v>
      </c>
      <c r="AB335" t="s">
        <v>92</v>
      </c>
      <c r="AC335" t="s">
        <v>701</v>
      </c>
      <c r="AD335" t="s">
        <v>701</v>
      </c>
      <c r="AE335" t="s">
        <v>1739</v>
      </c>
      <c r="AF335" t="s">
        <v>1740</v>
      </c>
      <c r="AG335" t="s">
        <v>1739</v>
      </c>
      <c r="AI335" t="s">
        <v>40</v>
      </c>
      <c r="AJ335" t="s">
        <v>1636</v>
      </c>
      <c r="AK335" t="s">
        <v>1637</v>
      </c>
      <c r="AL335" s="4">
        <v>10</v>
      </c>
      <c r="AM335" t="s">
        <v>185</v>
      </c>
      <c r="AN335">
        <v>10</v>
      </c>
      <c r="AO335" t="s">
        <v>1665</v>
      </c>
      <c r="AP335" t="s">
        <v>1639</v>
      </c>
      <c r="AQ335" t="s">
        <v>1640</v>
      </c>
      <c r="AR335" t="s">
        <v>1686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 t="s">
        <v>1642</v>
      </c>
    </row>
    <row r="336" spans="1:51">
      <c r="A336" t="s">
        <v>701</v>
      </c>
      <c r="B336" t="s">
        <v>709</v>
      </c>
      <c r="C336" t="s">
        <v>703</v>
      </c>
      <c r="D336" t="s">
        <v>704</v>
      </c>
      <c r="E336" t="s">
        <v>562</v>
      </c>
      <c r="F336">
        <v>10</v>
      </c>
      <c r="G336" t="s">
        <v>185</v>
      </c>
      <c r="H336" t="s">
        <v>705</v>
      </c>
      <c r="I336" t="s">
        <v>85</v>
      </c>
      <c r="J336" t="s">
        <v>706</v>
      </c>
      <c r="K336" t="s">
        <v>41</v>
      </c>
      <c r="L336" t="s">
        <v>40</v>
      </c>
      <c r="M336" t="s">
        <v>707</v>
      </c>
      <c r="N336" s="7">
        <v>211</v>
      </c>
      <c r="O336" s="7">
        <v>14</v>
      </c>
      <c r="P336" s="7">
        <v>3</v>
      </c>
      <c r="Q336" s="7">
        <v>361</v>
      </c>
      <c r="R336" s="7">
        <v>8</v>
      </c>
      <c r="S336" s="7">
        <v>3</v>
      </c>
      <c r="T336" s="7">
        <v>24.248711305964282</v>
      </c>
      <c r="U336" s="7">
        <v>13.856406460551018</v>
      </c>
      <c r="V336" s="7">
        <v>0.53701982485681443</v>
      </c>
      <c r="W336" s="7">
        <v>4.8935119022602003E-3</v>
      </c>
      <c r="X336" t="s">
        <v>658</v>
      </c>
      <c r="Y336" t="s">
        <v>380</v>
      </c>
      <c r="Z336" t="s">
        <v>381</v>
      </c>
      <c r="AA336" t="s">
        <v>710</v>
      </c>
      <c r="AB336" t="s">
        <v>92</v>
      </c>
      <c r="AC336" t="s">
        <v>701</v>
      </c>
      <c r="AD336" t="s">
        <v>701</v>
      </c>
      <c r="AE336" t="s">
        <v>1739</v>
      </c>
      <c r="AF336" t="s">
        <v>1740</v>
      </c>
      <c r="AG336" t="s">
        <v>1739</v>
      </c>
      <c r="AI336" t="s">
        <v>40</v>
      </c>
      <c r="AJ336" t="s">
        <v>1636</v>
      </c>
      <c r="AK336" t="s">
        <v>1637</v>
      </c>
      <c r="AL336" s="4">
        <v>10</v>
      </c>
      <c r="AM336" t="s">
        <v>185</v>
      </c>
      <c r="AN336">
        <v>10</v>
      </c>
      <c r="AO336" t="s">
        <v>1665</v>
      </c>
      <c r="AP336" t="s">
        <v>1639</v>
      </c>
      <c r="AQ336" t="s">
        <v>1640</v>
      </c>
      <c r="AR336" t="s">
        <v>1686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 t="s">
        <v>1642</v>
      </c>
    </row>
    <row r="337" spans="1:51">
      <c r="A337" t="s">
        <v>701</v>
      </c>
      <c r="B337" t="s">
        <v>711</v>
      </c>
      <c r="C337" t="s">
        <v>703</v>
      </c>
      <c r="D337" t="s">
        <v>704</v>
      </c>
      <c r="E337" t="s">
        <v>562</v>
      </c>
      <c r="F337">
        <v>10</v>
      </c>
      <c r="G337" t="s">
        <v>185</v>
      </c>
      <c r="H337" t="s">
        <v>705</v>
      </c>
      <c r="I337" t="s">
        <v>85</v>
      </c>
      <c r="J337" t="s">
        <v>706</v>
      </c>
      <c r="K337" t="s">
        <v>29</v>
      </c>
      <c r="L337" t="s">
        <v>40</v>
      </c>
      <c r="M337" t="s">
        <v>707</v>
      </c>
      <c r="N337" s="7">
        <v>206</v>
      </c>
      <c r="O337" s="7">
        <v>11</v>
      </c>
      <c r="P337" s="7">
        <v>3</v>
      </c>
      <c r="Q337" s="7">
        <v>344</v>
      </c>
      <c r="R337" s="7">
        <v>12</v>
      </c>
      <c r="S337" s="7">
        <v>3</v>
      </c>
      <c r="T337" s="7">
        <v>19.05255888325765</v>
      </c>
      <c r="U337" s="7">
        <v>20.784609690826528</v>
      </c>
      <c r="V337" s="7">
        <v>0.51276548858381721</v>
      </c>
      <c r="W337" s="7">
        <v>4.0682266110679526E-3</v>
      </c>
      <c r="X337" t="s">
        <v>658</v>
      </c>
      <c r="Y337" t="s">
        <v>380</v>
      </c>
      <c r="Z337" t="s">
        <v>381</v>
      </c>
      <c r="AA337" t="s">
        <v>712</v>
      </c>
      <c r="AB337" t="s">
        <v>92</v>
      </c>
      <c r="AC337" t="s">
        <v>701</v>
      </c>
      <c r="AD337" t="s">
        <v>701</v>
      </c>
      <c r="AE337" t="s">
        <v>1739</v>
      </c>
      <c r="AF337" t="s">
        <v>1740</v>
      </c>
      <c r="AG337" t="s">
        <v>1739</v>
      </c>
      <c r="AI337" t="s">
        <v>40</v>
      </c>
      <c r="AJ337" t="s">
        <v>1636</v>
      </c>
      <c r="AK337" t="s">
        <v>1637</v>
      </c>
      <c r="AL337" s="4">
        <v>10</v>
      </c>
      <c r="AM337" t="s">
        <v>185</v>
      </c>
      <c r="AN337">
        <v>10</v>
      </c>
      <c r="AO337" t="s">
        <v>1665</v>
      </c>
      <c r="AP337" t="s">
        <v>1639</v>
      </c>
      <c r="AQ337" t="s">
        <v>1640</v>
      </c>
      <c r="AR337" t="s">
        <v>1686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 t="s">
        <v>1642</v>
      </c>
    </row>
    <row r="338" spans="1:51">
      <c r="A338" t="s">
        <v>713</v>
      </c>
      <c r="B338" t="s">
        <v>714</v>
      </c>
      <c r="C338" t="s">
        <v>183</v>
      </c>
      <c r="D338" t="s">
        <v>715</v>
      </c>
      <c r="E338" t="s">
        <v>94</v>
      </c>
      <c r="F338">
        <v>10</v>
      </c>
      <c r="G338" t="s">
        <v>185</v>
      </c>
      <c r="H338" t="s">
        <v>84</v>
      </c>
      <c r="I338" t="s">
        <v>85</v>
      </c>
      <c r="J338" t="s">
        <v>86</v>
      </c>
      <c r="K338" t="s">
        <v>29</v>
      </c>
      <c r="L338" t="s">
        <v>40</v>
      </c>
      <c r="M338" t="s">
        <v>188</v>
      </c>
      <c r="N338" s="7">
        <v>26</v>
      </c>
      <c r="O338" s="7">
        <v>1.3</v>
      </c>
      <c r="P338" s="7">
        <v>3</v>
      </c>
      <c r="Q338" s="7">
        <v>27</v>
      </c>
      <c r="R338" s="7">
        <v>1.3</v>
      </c>
      <c r="S338" s="7">
        <v>3</v>
      </c>
      <c r="T338" s="7">
        <v>2.2516660498395402</v>
      </c>
      <c r="U338" s="7">
        <v>2.2516660498395402</v>
      </c>
      <c r="V338" s="7">
        <v>3.7740327982847113E-2</v>
      </c>
      <c r="W338" s="7">
        <v>4.8182441700960199E-3</v>
      </c>
      <c r="X338" t="s">
        <v>716</v>
      </c>
      <c r="Y338" t="s">
        <v>89</v>
      </c>
      <c r="Z338" t="s">
        <v>515</v>
      </c>
      <c r="AA338" t="s">
        <v>717</v>
      </c>
      <c r="AB338" t="s">
        <v>92</v>
      </c>
      <c r="AC338" t="s">
        <v>713</v>
      </c>
      <c r="AD338" t="s">
        <v>713</v>
      </c>
      <c r="AE338" t="s">
        <v>1741</v>
      </c>
      <c r="AF338" t="s">
        <v>1742</v>
      </c>
      <c r="AG338" t="s">
        <v>1741</v>
      </c>
      <c r="AI338" t="s">
        <v>40</v>
      </c>
      <c r="AJ338" t="s">
        <v>1636</v>
      </c>
      <c r="AK338" t="s">
        <v>1637</v>
      </c>
      <c r="AL338" s="4">
        <v>10</v>
      </c>
      <c r="AM338" t="s">
        <v>185</v>
      </c>
      <c r="AN338">
        <v>10</v>
      </c>
      <c r="AO338" t="s">
        <v>1665</v>
      </c>
      <c r="AP338" t="s">
        <v>1639</v>
      </c>
      <c r="AQ338" t="s">
        <v>1640</v>
      </c>
      <c r="AR338" t="s">
        <v>1641</v>
      </c>
      <c r="AS338">
        <v>1</v>
      </c>
      <c r="AT338">
        <v>0</v>
      </c>
      <c r="AU338">
        <v>0</v>
      </c>
      <c r="AV338">
        <v>1</v>
      </c>
      <c r="AW338">
        <v>0</v>
      </c>
      <c r="AX338">
        <v>0</v>
      </c>
      <c r="AY338" t="s">
        <v>1642</v>
      </c>
    </row>
    <row r="339" spans="1:51">
      <c r="A339" t="s">
        <v>713</v>
      </c>
      <c r="B339" t="s">
        <v>718</v>
      </c>
      <c r="C339" t="s">
        <v>183</v>
      </c>
      <c r="D339" t="s">
        <v>715</v>
      </c>
      <c r="E339" t="s">
        <v>94</v>
      </c>
      <c r="F339">
        <v>20</v>
      </c>
      <c r="G339" t="s">
        <v>185</v>
      </c>
      <c r="H339" t="s">
        <v>84</v>
      </c>
      <c r="I339" t="s">
        <v>85</v>
      </c>
      <c r="J339" t="s">
        <v>86</v>
      </c>
      <c r="K339" t="s">
        <v>29</v>
      </c>
      <c r="L339" t="s">
        <v>40</v>
      </c>
      <c r="M339" t="s">
        <v>188</v>
      </c>
      <c r="N339" s="7">
        <v>26</v>
      </c>
      <c r="O339" s="7">
        <v>1.3</v>
      </c>
      <c r="P339" s="7">
        <v>3</v>
      </c>
      <c r="Q339" s="7">
        <v>27.8</v>
      </c>
      <c r="R339" s="7">
        <v>1.3</v>
      </c>
      <c r="S339" s="7">
        <v>3</v>
      </c>
      <c r="T339" s="7">
        <v>2.2516660498395402</v>
      </c>
      <c r="U339" s="7">
        <v>2.2516660498395402</v>
      </c>
      <c r="V339" s="7">
        <v>6.693948267510931E-2</v>
      </c>
      <c r="W339" s="7">
        <v>4.6867398167796687E-3</v>
      </c>
      <c r="X339" t="s">
        <v>716</v>
      </c>
      <c r="Y339" t="s">
        <v>89</v>
      </c>
      <c r="Z339" t="s">
        <v>515</v>
      </c>
      <c r="AA339" t="s">
        <v>717</v>
      </c>
      <c r="AB339" t="s">
        <v>92</v>
      </c>
      <c r="AC339" t="s">
        <v>713</v>
      </c>
      <c r="AD339" t="s">
        <v>713</v>
      </c>
      <c r="AE339" t="s">
        <v>1741</v>
      </c>
      <c r="AF339" t="s">
        <v>1743</v>
      </c>
      <c r="AG339" t="s">
        <v>1741</v>
      </c>
      <c r="AI339" t="s">
        <v>40</v>
      </c>
      <c r="AJ339" t="s">
        <v>1636</v>
      </c>
      <c r="AK339" t="s">
        <v>1637</v>
      </c>
      <c r="AL339" s="4">
        <v>20</v>
      </c>
      <c r="AM339" t="s">
        <v>185</v>
      </c>
      <c r="AN339">
        <v>20</v>
      </c>
      <c r="AO339" t="s">
        <v>1665</v>
      </c>
      <c r="AP339" t="s">
        <v>1639</v>
      </c>
      <c r="AQ339" t="s">
        <v>1640</v>
      </c>
      <c r="AR339" t="s">
        <v>1641</v>
      </c>
      <c r="AS339">
        <v>1</v>
      </c>
      <c r="AT339">
        <v>0</v>
      </c>
      <c r="AU339">
        <v>0</v>
      </c>
      <c r="AV339">
        <v>1</v>
      </c>
      <c r="AW339">
        <v>0</v>
      </c>
      <c r="AX339">
        <v>0</v>
      </c>
      <c r="AY339" t="s">
        <v>1642</v>
      </c>
    </row>
    <row r="340" spans="1:51">
      <c r="A340" t="s">
        <v>713</v>
      </c>
      <c r="B340" t="s">
        <v>719</v>
      </c>
      <c r="C340" t="s">
        <v>183</v>
      </c>
      <c r="D340" t="s">
        <v>715</v>
      </c>
      <c r="E340" t="s">
        <v>94</v>
      </c>
      <c r="F340">
        <v>30</v>
      </c>
      <c r="G340" t="s">
        <v>185</v>
      </c>
      <c r="H340" t="s">
        <v>84</v>
      </c>
      <c r="I340" t="s">
        <v>85</v>
      </c>
      <c r="J340" t="s">
        <v>86</v>
      </c>
      <c r="K340" t="s">
        <v>29</v>
      </c>
      <c r="L340" t="s">
        <v>40</v>
      </c>
      <c r="M340" t="s">
        <v>188</v>
      </c>
      <c r="N340" s="7">
        <v>26</v>
      </c>
      <c r="O340" s="7">
        <v>1.3</v>
      </c>
      <c r="P340" s="7">
        <v>3</v>
      </c>
      <c r="Q340" s="7">
        <v>27.1</v>
      </c>
      <c r="R340" s="7">
        <v>1.3</v>
      </c>
      <c r="S340" s="7">
        <v>3</v>
      </c>
      <c r="T340" s="7">
        <v>2.2516660498395402</v>
      </c>
      <c r="U340" s="7">
        <v>2.2516660498395402</v>
      </c>
      <c r="V340" s="7">
        <v>4.1437189864173239E-2</v>
      </c>
      <c r="W340" s="7">
        <v>4.801166923108344E-3</v>
      </c>
      <c r="X340" t="s">
        <v>716</v>
      </c>
      <c r="Y340" t="s">
        <v>89</v>
      </c>
      <c r="Z340" t="s">
        <v>515</v>
      </c>
      <c r="AA340" t="s">
        <v>717</v>
      </c>
      <c r="AB340" t="s">
        <v>92</v>
      </c>
      <c r="AC340" t="s">
        <v>713</v>
      </c>
      <c r="AD340" t="s">
        <v>713</v>
      </c>
      <c r="AE340" t="s">
        <v>1741</v>
      </c>
      <c r="AF340" t="s">
        <v>1744</v>
      </c>
      <c r="AG340" t="s">
        <v>1741</v>
      </c>
      <c r="AI340" t="s">
        <v>40</v>
      </c>
      <c r="AJ340" t="s">
        <v>1636</v>
      </c>
      <c r="AK340" t="s">
        <v>1637</v>
      </c>
      <c r="AL340" s="4">
        <v>30</v>
      </c>
      <c r="AM340" t="s">
        <v>185</v>
      </c>
      <c r="AN340">
        <v>30</v>
      </c>
      <c r="AO340" t="s">
        <v>1665</v>
      </c>
      <c r="AP340" t="s">
        <v>1639</v>
      </c>
      <c r="AQ340" t="s">
        <v>1640</v>
      </c>
      <c r="AR340" t="s">
        <v>1641</v>
      </c>
      <c r="AS340">
        <v>1</v>
      </c>
      <c r="AT340">
        <v>0</v>
      </c>
      <c r="AU340">
        <v>0</v>
      </c>
      <c r="AV340">
        <v>1</v>
      </c>
      <c r="AW340">
        <v>0</v>
      </c>
      <c r="AX340">
        <v>0</v>
      </c>
      <c r="AY340" t="s">
        <v>1642</v>
      </c>
    </row>
    <row r="341" spans="1:51">
      <c r="A341" t="s">
        <v>713</v>
      </c>
      <c r="B341" t="s">
        <v>720</v>
      </c>
      <c r="C341" t="s">
        <v>183</v>
      </c>
      <c r="D341" t="s">
        <v>715</v>
      </c>
      <c r="E341" t="s">
        <v>94</v>
      </c>
      <c r="F341">
        <v>40</v>
      </c>
      <c r="G341" t="s">
        <v>185</v>
      </c>
      <c r="H341" t="s">
        <v>84</v>
      </c>
      <c r="I341" t="s">
        <v>85</v>
      </c>
      <c r="J341" t="s">
        <v>86</v>
      </c>
      <c r="K341" t="s">
        <v>29</v>
      </c>
      <c r="L341" t="s">
        <v>40</v>
      </c>
      <c r="M341" t="s">
        <v>188</v>
      </c>
      <c r="N341" s="7">
        <v>26</v>
      </c>
      <c r="O341" s="7">
        <v>1.3</v>
      </c>
      <c r="P341" s="7">
        <v>3</v>
      </c>
      <c r="Q341" s="7">
        <v>32</v>
      </c>
      <c r="R341" s="7">
        <v>1.3</v>
      </c>
      <c r="S341" s="7">
        <v>3</v>
      </c>
      <c r="T341" s="7">
        <v>2.2516660498395402</v>
      </c>
      <c r="U341" s="7">
        <v>2.2516660498395402</v>
      </c>
      <c r="V341" s="7">
        <v>0.20763936477824455</v>
      </c>
      <c r="W341" s="7">
        <v>4.1503906249999983E-3</v>
      </c>
      <c r="X341" t="s">
        <v>716</v>
      </c>
      <c r="Y341" t="s">
        <v>89</v>
      </c>
      <c r="Z341" t="s">
        <v>515</v>
      </c>
      <c r="AA341" t="s">
        <v>717</v>
      </c>
      <c r="AB341" t="s">
        <v>92</v>
      </c>
      <c r="AC341" t="s">
        <v>713</v>
      </c>
      <c r="AD341" t="s">
        <v>713</v>
      </c>
      <c r="AE341" t="s">
        <v>1741</v>
      </c>
      <c r="AF341" t="s">
        <v>1745</v>
      </c>
      <c r="AG341" t="s">
        <v>1741</v>
      </c>
      <c r="AI341" t="s">
        <v>40</v>
      </c>
      <c r="AJ341" t="s">
        <v>1636</v>
      </c>
      <c r="AK341" t="s">
        <v>1637</v>
      </c>
      <c r="AL341" s="4">
        <v>40</v>
      </c>
      <c r="AM341" t="s">
        <v>185</v>
      </c>
      <c r="AN341">
        <v>40</v>
      </c>
      <c r="AO341" t="s">
        <v>1665</v>
      </c>
      <c r="AP341" t="s">
        <v>1639</v>
      </c>
      <c r="AQ341" t="s">
        <v>1640</v>
      </c>
      <c r="AR341" t="s">
        <v>1641</v>
      </c>
      <c r="AS341">
        <v>1</v>
      </c>
      <c r="AT341">
        <v>0</v>
      </c>
      <c r="AU341">
        <v>0</v>
      </c>
      <c r="AV341">
        <v>1</v>
      </c>
      <c r="AW341">
        <v>0</v>
      </c>
      <c r="AX341">
        <v>0</v>
      </c>
      <c r="AY341" t="s">
        <v>1642</v>
      </c>
    </row>
    <row r="342" spans="1:51">
      <c r="A342" t="s">
        <v>713</v>
      </c>
      <c r="B342" t="s">
        <v>721</v>
      </c>
      <c r="C342" t="s">
        <v>183</v>
      </c>
      <c r="D342" t="s">
        <v>715</v>
      </c>
      <c r="E342" t="s">
        <v>94</v>
      </c>
      <c r="F342">
        <v>10</v>
      </c>
      <c r="G342" t="s">
        <v>185</v>
      </c>
      <c r="H342" t="s">
        <v>84</v>
      </c>
      <c r="I342" t="s">
        <v>85</v>
      </c>
      <c r="J342" t="s">
        <v>86</v>
      </c>
      <c r="K342" t="s">
        <v>41</v>
      </c>
      <c r="L342" t="s">
        <v>40</v>
      </c>
      <c r="M342" t="s">
        <v>188</v>
      </c>
      <c r="N342" s="7">
        <v>4.9000000000000004</v>
      </c>
      <c r="O342" s="7">
        <v>0.35</v>
      </c>
      <c r="P342" s="7">
        <v>3</v>
      </c>
      <c r="Q342" s="7">
        <v>5.2</v>
      </c>
      <c r="R342" s="7">
        <v>0.35</v>
      </c>
      <c r="S342" s="7">
        <v>3</v>
      </c>
      <c r="T342" s="7">
        <v>0.60621778264910697</v>
      </c>
      <c r="U342" s="7">
        <v>0.60621778264910697</v>
      </c>
      <c r="V342" s="7">
        <v>5.9423420470800806E-2</v>
      </c>
      <c r="W342" s="7">
        <v>9.632366260113507E-3</v>
      </c>
      <c r="X342" t="s">
        <v>716</v>
      </c>
      <c r="Y342" t="s">
        <v>89</v>
      </c>
      <c r="Z342" t="s">
        <v>515</v>
      </c>
      <c r="AA342" t="s">
        <v>722</v>
      </c>
      <c r="AB342" t="s">
        <v>92</v>
      </c>
      <c r="AC342" t="s">
        <v>713</v>
      </c>
      <c r="AD342" t="s">
        <v>713</v>
      </c>
      <c r="AE342" t="s">
        <v>1741</v>
      </c>
      <c r="AF342" t="s">
        <v>1742</v>
      </c>
      <c r="AG342" t="s">
        <v>1741</v>
      </c>
      <c r="AI342" t="s">
        <v>40</v>
      </c>
      <c r="AJ342" t="s">
        <v>1636</v>
      </c>
      <c r="AK342" t="s">
        <v>1637</v>
      </c>
      <c r="AL342" s="4">
        <v>10</v>
      </c>
      <c r="AM342" t="s">
        <v>185</v>
      </c>
      <c r="AN342">
        <v>10</v>
      </c>
      <c r="AO342" t="s">
        <v>1665</v>
      </c>
      <c r="AP342" t="s">
        <v>1639</v>
      </c>
      <c r="AQ342" t="s">
        <v>1640</v>
      </c>
      <c r="AR342" t="s">
        <v>1641</v>
      </c>
      <c r="AS342">
        <v>1</v>
      </c>
      <c r="AT342">
        <v>0</v>
      </c>
      <c r="AU342">
        <v>0</v>
      </c>
      <c r="AV342">
        <v>1</v>
      </c>
      <c r="AW342">
        <v>0</v>
      </c>
      <c r="AX342">
        <v>0</v>
      </c>
      <c r="AY342" t="s">
        <v>1642</v>
      </c>
    </row>
    <row r="343" spans="1:51">
      <c r="A343" t="s">
        <v>713</v>
      </c>
      <c r="B343" t="s">
        <v>723</v>
      </c>
      <c r="C343" t="s">
        <v>183</v>
      </c>
      <c r="D343" t="s">
        <v>715</v>
      </c>
      <c r="E343" t="s">
        <v>94</v>
      </c>
      <c r="F343">
        <v>20</v>
      </c>
      <c r="G343" t="s">
        <v>185</v>
      </c>
      <c r="H343" t="s">
        <v>84</v>
      </c>
      <c r="I343" t="s">
        <v>85</v>
      </c>
      <c r="J343" t="s">
        <v>86</v>
      </c>
      <c r="K343" t="s">
        <v>41</v>
      </c>
      <c r="L343" t="s">
        <v>40</v>
      </c>
      <c r="M343" t="s">
        <v>188</v>
      </c>
      <c r="N343" s="7">
        <v>4.9000000000000004</v>
      </c>
      <c r="O343" s="7">
        <v>0.35</v>
      </c>
      <c r="P343" s="7">
        <v>3</v>
      </c>
      <c r="Q343" s="7">
        <v>6.1</v>
      </c>
      <c r="R343" s="7">
        <v>0.35</v>
      </c>
      <c r="S343" s="7">
        <v>3</v>
      </c>
      <c r="T343" s="7">
        <v>0.60621778264910697</v>
      </c>
      <c r="U343" s="7">
        <v>0.60621778264910697</v>
      </c>
      <c r="V343" s="7">
        <v>0.2190535660626845</v>
      </c>
      <c r="W343" s="7">
        <v>8.3941665889682906E-3</v>
      </c>
      <c r="X343" t="s">
        <v>716</v>
      </c>
      <c r="Y343" t="s">
        <v>89</v>
      </c>
      <c r="Z343" t="s">
        <v>515</v>
      </c>
      <c r="AA343" t="s">
        <v>722</v>
      </c>
      <c r="AB343" t="s">
        <v>92</v>
      </c>
      <c r="AC343" t="s">
        <v>713</v>
      </c>
      <c r="AD343" t="s">
        <v>713</v>
      </c>
      <c r="AE343" t="s">
        <v>1741</v>
      </c>
      <c r="AF343" t="s">
        <v>1743</v>
      </c>
      <c r="AG343" t="s">
        <v>1741</v>
      </c>
      <c r="AI343" t="s">
        <v>40</v>
      </c>
      <c r="AJ343" t="s">
        <v>1636</v>
      </c>
      <c r="AK343" t="s">
        <v>1637</v>
      </c>
      <c r="AL343" s="4">
        <v>20</v>
      </c>
      <c r="AM343" t="s">
        <v>185</v>
      </c>
      <c r="AN343">
        <v>20</v>
      </c>
      <c r="AO343" t="s">
        <v>1665</v>
      </c>
      <c r="AP343" t="s">
        <v>1639</v>
      </c>
      <c r="AQ343" t="s">
        <v>1640</v>
      </c>
      <c r="AR343" t="s">
        <v>1641</v>
      </c>
      <c r="AS343">
        <v>1</v>
      </c>
      <c r="AT343">
        <v>0</v>
      </c>
      <c r="AU343">
        <v>0</v>
      </c>
      <c r="AV343">
        <v>1</v>
      </c>
      <c r="AW343">
        <v>0</v>
      </c>
      <c r="AX343">
        <v>0</v>
      </c>
      <c r="AY343" t="s">
        <v>1642</v>
      </c>
    </row>
    <row r="344" spans="1:51">
      <c r="A344" t="s">
        <v>713</v>
      </c>
      <c r="B344" t="s">
        <v>724</v>
      </c>
      <c r="C344" t="s">
        <v>183</v>
      </c>
      <c r="D344" t="s">
        <v>715</v>
      </c>
      <c r="E344" t="s">
        <v>94</v>
      </c>
      <c r="F344">
        <v>30</v>
      </c>
      <c r="G344" t="s">
        <v>185</v>
      </c>
      <c r="H344" t="s">
        <v>84</v>
      </c>
      <c r="I344" t="s">
        <v>85</v>
      </c>
      <c r="J344" t="s">
        <v>86</v>
      </c>
      <c r="K344" t="s">
        <v>41</v>
      </c>
      <c r="L344" t="s">
        <v>40</v>
      </c>
      <c r="M344" t="s">
        <v>188</v>
      </c>
      <c r="N344" s="7">
        <v>4.9000000000000004</v>
      </c>
      <c r="O344" s="7">
        <v>0.35</v>
      </c>
      <c r="P344" s="7">
        <v>3</v>
      </c>
      <c r="Q344" s="7">
        <v>6.9</v>
      </c>
      <c r="R344" s="7">
        <v>0.35</v>
      </c>
      <c r="S344" s="7">
        <v>3</v>
      </c>
      <c r="T344" s="7">
        <v>0.60621778264910697</v>
      </c>
      <c r="U344" s="7">
        <v>0.60621778264910697</v>
      </c>
      <c r="V344" s="7">
        <v>0.34228620648663277</v>
      </c>
      <c r="W344" s="7">
        <v>7.6750296842114252E-3</v>
      </c>
      <c r="X344" t="s">
        <v>716</v>
      </c>
      <c r="Y344" t="s">
        <v>89</v>
      </c>
      <c r="Z344" t="s">
        <v>515</v>
      </c>
      <c r="AA344" t="s">
        <v>722</v>
      </c>
      <c r="AB344" t="s">
        <v>92</v>
      </c>
      <c r="AC344" t="s">
        <v>713</v>
      </c>
      <c r="AD344" t="s">
        <v>713</v>
      </c>
      <c r="AE344" t="s">
        <v>1741</v>
      </c>
      <c r="AF344" t="s">
        <v>1744</v>
      </c>
      <c r="AG344" t="s">
        <v>1741</v>
      </c>
      <c r="AI344" t="s">
        <v>40</v>
      </c>
      <c r="AJ344" t="s">
        <v>1636</v>
      </c>
      <c r="AK344" t="s">
        <v>1637</v>
      </c>
      <c r="AL344" s="4">
        <v>30</v>
      </c>
      <c r="AM344" t="s">
        <v>185</v>
      </c>
      <c r="AN344">
        <v>30</v>
      </c>
      <c r="AO344" t="s">
        <v>1665</v>
      </c>
      <c r="AP344" t="s">
        <v>1639</v>
      </c>
      <c r="AQ344" t="s">
        <v>1640</v>
      </c>
      <c r="AR344" t="s">
        <v>1641</v>
      </c>
      <c r="AS344">
        <v>1</v>
      </c>
      <c r="AT344">
        <v>0</v>
      </c>
      <c r="AU344">
        <v>0</v>
      </c>
      <c r="AV344">
        <v>1</v>
      </c>
      <c r="AW344">
        <v>0</v>
      </c>
      <c r="AX344">
        <v>0</v>
      </c>
      <c r="AY344" t="s">
        <v>1642</v>
      </c>
    </row>
    <row r="345" spans="1:51">
      <c r="A345" t="s">
        <v>713</v>
      </c>
      <c r="B345" t="s">
        <v>725</v>
      </c>
      <c r="C345" t="s">
        <v>183</v>
      </c>
      <c r="D345" t="s">
        <v>715</v>
      </c>
      <c r="E345" t="s">
        <v>94</v>
      </c>
      <c r="F345">
        <v>40</v>
      </c>
      <c r="G345" t="s">
        <v>185</v>
      </c>
      <c r="H345" t="s">
        <v>84</v>
      </c>
      <c r="I345" t="s">
        <v>85</v>
      </c>
      <c r="J345" t="s">
        <v>86</v>
      </c>
      <c r="K345" t="s">
        <v>41</v>
      </c>
      <c r="L345" t="s">
        <v>40</v>
      </c>
      <c r="M345" t="s">
        <v>188</v>
      </c>
      <c r="N345" s="7">
        <v>4.9000000000000004</v>
      </c>
      <c r="O345" s="7">
        <v>0.35</v>
      </c>
      <c r="P345" s="7">
        <v>3</v>
      </c>
      <c r="Q345" s="7">
        <v>7.1</v>
      </c>
      <c r="R345" s="7">
        <v>0.4</v>
      </c>
      <c r="S345" s="7">
        <v>3</v>
      </c>
      <c r="T345" s="7">
        <v>0.60621778264910697</v>
      </c>
      <c r="U345" s="7">
        <v>0.69282032302755092</v>
      </c>
      <c r="V345" s="7">
        <v>0.37085957893068872</v>
      </c>
      <c r="W345" s="7">
        <v>8.2760142342991512E-3</v>
      </c>
      <c r="X345" t="s">
        <v>716</v>
      </c>
      <c r="Y345" t="s">
        <v>89</v>
      </c>
      <c r="Z345" t="s">
        <v>515</v>
      </c>
      <c r="AA345" t="s">
        <v>722</v>
      </c>
      <c r="AB345" t="s">
        <v>92</v>
      </c>
      <c r="AC345" t="s">
        <v>713</v>
      </c>
      <c r="AD345" t="s">
        <v>713</v>
      </c>
      <c r="AE345" t="s">
        <v>1741</v>
      </c>
      <c r="AF345" t="s">
        <v>1745</v>
      </c>
      <c r="AG345" t="s">
        <v>1741</v>
      </c>
      <c r="AI345" t="s">
        <v>40</v>
      </c>
      <c r="AJ345" t="s">
        <v>1636</v>
      </c>
      <c r="AK345" t="s">
        <v>1637</v>
      </c>
      <c r="AL345" s="4">
        <v>40</v>
      </c>
      <c r="AM345" t="s">
        <v>185</v>
      </c>
      <c r="AN345">
        <v>40</v>
      </c>
      <c r="AO345" t="s">
        <v>1665</v>
      </c>
      <c r="AP345" t="s">
        <v>1639</v>
      </c>
      <c r="AQ345" t="s">
        <v>1640</v>
      </c>
      <c r="AR345" t="s">
        <v>1641</v>
      </c>
      <c r="AS345">
        <v>1</v>
      </c>
      <c r="AT345">
        <v>0</v>
      </c>
      <c r="AU345">
        <v>0</v>
      </c>
      <c r="AV345">
        <v>1</v>
      </c>
      <c r="AW345">
        <v>0</v>
      </c>
      <c r="AX345">
        <v>0</v>
      </c>
      <c r="AY345" t="s">
        <v>1642</v>
      </c>
    </row>
    <row r="346" spans="1:51">
      <c r="A346" t="s">
        <v>713</v>
      </c>
      <c r="B346" t="s">
        <v>726</v>
      </c>
      <c r="C346" t="s">
        <v>183</v>
      </c>
      <c r="D346" t="s">
        <v>715</v>
      </c>
      <c r="E346" t="s">
        <v>94</v>
      </c>
      <c r="F346">
        <v>10</v>
      </c>
      <c r="G346" t="s">
        <v>185</v>
      </c>
      <c r="H346" t="s">
        <v>84</v>
      </c>
      <c r="I346" t="s">
        <v>85</v>
      </c>
      <c r="J346" t="s">
        <v>86</v>
      </c>
      <c r="K346" t="s">
        <v>29</v>
      </c>
      <c r="L346" t="s">
        <v>30</v>
      </c>
      <c r="M346" t="s">
        <v>188</v>
      </c>
      <c r="N346" s="7">
        <v>5.75</v>
      </c>
      <c r="O346" s="7">
        <v>0.7</v>
      </c>
      <c r="P346" s="7">
        <v>3</v>
      </c>
      <c r="Q346" s="7">
        <v>6.4</v>
      </c>
      <c r="R346" s="7">
        <v>0.7</v>
      </c>
      <c r="S346" s="7">
        <v>3</v>
      </c>
      <c r="T346" s="7">
        <v>1.2124355652982139</v>
      </c>
      <c r="U346" s="7">
        <v>1.2124355652982139</v>
      </c>
      <c r="V346" s="7">
        <v>0.10709813555636712</v>
      </c>
      <c r="W346" s="7">
        <v>2.6783306504017002E-2</v>
      </c>
      <c r="X346" t="s">
        <v>716</v>
      </c>
      <c r="Y346" t="s">
        <v>89</v>
      </c>
      <c r="Z346" t="s">
        <v>515</v>
      </c>
      <c r="AA346" t="s">
        <v>727</v>
      </c>
      <c r="AB346" t="s">
        <v>92</v>
      </c>
      <c r="AC346" t="s">
        <v>713</v>
      </c>
      <c r="AD346" t="s">
        <v>713</v>
      </c>
      <c r="AE346" t="s">
        <v>1741</v>
      </c>
      <c r="AF346" t="s">
        <v>1742</v>
      </c>
      <c r="AG346" t="s">
        <v>1741</v>
      </c>
      <c r="AI346" t="s">
        <v>30</v>
      </c>
      <c r="AJ346" t="s">
        <v>1636</v>
      </c>
      <c r="AK346" t="s">
        <v>1637</v>
      </c>
      <c r="AL346" s="4">
        <v>10</v>
      </c>
      <c r="AM346" t="s">
        <v>185</v>
      </c>
      <c r="AN346">
        <v>10</v>
      </c>
      <c r="AO346" t="s">
        <v>1665</v>
      </c>
      <c r="AP346" t="s">
        <v>1639</v>
      </c>
      <c r="AQ346" t="s">
        <v>1640</v>
      </c>
      <c r="AR346" t="s">
        <v>1641</v>
      </c>
      <c r="AS346">
        <v>1</v>
      </c>
      <c r="AT346">
        <v>0</v>
      </c>
      <c r="AU346">
        <v>0</v>
      </c>
      <c r="AV346">
        <v>1</v>
      </c>
      <c r="AW346">
        <v>0</v>
      </c>
      <c r="AX346">
        <v>0</v>
      </c>
      <c r="AY346" t="s">
        <v>1642</v>
      </c>
    </row>
    <row r="347" spans="1:51">
      <c r="A347" t="s">
        <v>713</v>
      </c>
      <c r="B347" t="s">
        <v>728</v>
      </c>
      <c r="C347" t="s">
        <v>183</v>
      </c>
      <c r="D347" t="s">
        <v>715</v>
      </c>
      <c r="E347" t="s">
        <v>94</v>
      </c>
      <c r="F347">
        <v>20</v>
      </c>
      <c r="G347" t="s">
        <v>185</v>
      </c>
      <c r="H347" t="s">
        <v>84</v>
      </c>
      <c r="I347" t="s">
        <v>85</v>
      </c>
      <c r="J347" t="s">
        <v>86</v>
      </c>
      <c r="K347" t="s">
        <v>29</v>
      </c>
      <c r="L347" t="s">
        <v>30</v>
      </c>
      <c r="M347" t="s">
        <v>188</v>
      </c>
      <c r="N347" s="7">
        <v>5.75</v>
      </c>
      <c r="O347" s="7">
        <v>0.7</v>
      </c>
      <c r="P347" s="7">
        <v>3</v>
      </c>
      <c r="Q347" s="7">
        <v>7.35</v>
      </c>
      <c r="R347" s="7">
        <v>0.7</v>
      </c>
      <c r="S347" s="7">
        <v>3</v>
      </c>
      <c r="T347" s="7">
        <v>1.2124355652982139</v>
      </c>
      <c r="U347" s="7">
        <v>1.2124355652982139</v>
      </c>
      <c r="V347" s="7">
        <v>0.24550045841548621</v>
      </c>
      <c r="W347" s="7">
        <v>2.3890710663597506E-2</v>
      </c>
      <c r="X347" t="s">
        <v>716</v>
      </c>
      <c r="Y347" t="s">
        <v>89</v>
      </c>
      <c r="Z347" t="s">
        <v>515</v>
      </c>
      <c r="AA347" t="s">
        <v>727</v>
      </c>
      <c r="AB347" t="s">
        <v>92</v>
      </c>
      <c r="AC347" t="s">
        <v>713</v>
      </c>
      <c r="AD347" t="s">
        <v>713</v>
      </c>
      <c r="AE347" t="s">
        <v>1741</v>
      </c>
      <c r="AF347" t="s">
        <v>1743</v>
      </c>
      <c r="AG347" t="s">
        <v>1741</v>
      </c>
      <c r="AI347" t="s">
        <v>30</v>
      </c>
      <c r="AJ347" t="s">
        <v>1636</v>
      </c>
      <c r="AK347" t="s">
        <v>1637</v>
      </c>
      <c r="AL347" s="4">
        <v>20</v>
      </c>
      <c r="AM347" t="s">
        <v>185</v>
      </c>
      <c r="AN347">
        <v>20</v>
      </c>
      <c r="AO347" t="s">
        <v>1665</v>
      </c>
      <c r="AP347" t="s">
        <v>1639</v>
      </c>
      <c r="AQ347" t="s">
        <v>1640</v>
      </c>
      <c r="AR347" t="s">
        <v>1641</v>
      </c>
      <c r="AS347">
        <v>1</v>
      </c>
      <c r="AT347">
        <v>0</v>
      </c>
      <c r="AU347">
        <v>0</v>
      </c>
      <c r="AV347">
        <v>1</v>
      </c>
      <c r="AW347">
        <v>0</v>
      </c>
      <c r="AX347">
        <v>0</v>
      </c>
      <c r="AY347" t="s">
        <v>1642</v>
      </c>
    </row>
    <row r="348" spans="1:51">
      <c r="A348" t="s">
        <v>713</v>
      </c>
      <c r="B348" t="s">
        <v>729</v>
      </c>
      <c r="C348" t="s">
        <v>183</v>
      </c>
      <c r="D348" t="s">
        <v>715</v>
      </c>
      <c r="E348" t="s">
        <v>94</v>
      </c>
      <c r="F348">
        <v>30</v>
      </c>
      <c r="G348" t="s">
        <v>185</v>
      </c>
      <c r="H348" t="s">
        <v>84</v>
      </c>
      <c r="I348" t="s">
        <v>85</v>
      </c>
      <c r="J348" t="s">
        <v>86</v>
      </c>
      <c r="K348" t="s">
        <v>29</v>
      </c>
      <c r="L348" t="s">
        <v>30</v>
      </c>
      <c r="M348" t="s">
        <v>188</v>
      </c>
      <c r="N348" s="7">
        <v>5.75</v>
      </c>
      <c r="O348" s="7">
        <v>0.7</v>
      </c>
      <c r="P348" s="7">
        <v>3</v>
      </c>
      <c r="Q348" s="7">
        <v>8.65</v>
      </c>
      <c r="R348" s="7">
        <v>0.7</v>
      </c>
      <c r="S348" s="7">
        <v>3</v>
      </c>
      <c r="T348" s="7">
        <v>1.2124355652982139</v>
      </c>
      <c r="U348" s="7">
        <v>1.2124355652982139</v>
      </c>
      <c r="V348" s="7">
        <v>0.40835946613452889</v>
      </c>
      <c r="W348" s="7">
        <v>2.1369248115309564E-2</v>
      </c>
      <c r="X348" t="s">
        <v>716</v>
      </c>
      <c r="Y348" t="s">
        <v>89</v>
      </c>
      <c r="Z348" t="s">
        <v>515</v>
      </c>
      <c r="AA348" t="s">
        <v>727</v>
      </c>
      <c r="AB348" t="s">
        <v>92</v>
      </c>
      <c r="AC348" t="s">
        <v>713</v>
      </c>
      <c r="AD348" t="s">
        <v>713</v>
      </c>
      <c r="AE348" t="s">
        <v>1741</v>
      </c>
      <c r="AF348" t="s">
        <v>1744</v>
      </c>
      <c r="AG348" t="s">
        <v>1741</v>
      </c>
      <c r="AI348" t="s">
        <v>30</v>
      </c>
      <c r="AJ348" t="s">
        <v>1636</v>
      </c>
      <c r="AK348" t="s">
        <v>1637</v>
      </c>
      <c r="AL348" s="4">
        <v>30</v>
      </c>
      <c r="AM348" t="s">
        <v>185</v>
      </c>
      <c r="AN348">
        <v>30</v>
      </c>
      <c r="AO348" t="s">
        <v>1665</v>
      </c>
      <c r="AP348" t="s">
        <v>1639</v>
      </c>
      <c r="AQ348" t="s">
        <v>1640</v>
      </c>
      <c r="AR348" t="s">
        <v>1641</v>
      </c>
      <c r="AS348">
        <v>1</v>
      </c>
      <c r="AT348">
        <v>0</v>
      </c>
      <c r="AU348">
        <v>0</v>
      </c>
      <c r="AV348">
        <v>1</v>
      </c>
      <c r="AW348">
        <v>0</v>
      </c>
      <c r="AX348">
        <v>0</v>
      </c>
      <c r="AY348" t="s">
        <v>1642</v>
      </c>
    </row>
    <row r="349" spans="1:51">
      <c r="A349" t="s">
        <v>713</v>
      </c>
      <c r="B349" t="s">
        <v>730</v>
      </c>
      <c r="C349" t="s">
        <v>183</v>
      </c>
      <c r="D349" t="s">
        <v>715</v>
      </c>
      <c r="E349" t="s">
        <v>94</v>
      </c>
      <c r="F349">
        <v>40</v>
      </c>
      <c r="G349" t="s">
        <v>185</v>
      </c>
      <c r="H349" t="s">
        <v>84</v>
      </c>
      <c r="I349" t="s">
        <v>85</v>
      </c>
      <c r="J349" t="s">
        <v>86</v>
      </c>
      <c r="K349" t="s">
        <v>29</v>
      </c>
      <c r="L349" t="s">
        <v>30</v>
      </c>
      <c r="M349" t="s">
        <v>188</v>
      </c>
      <c r="N349" s="7">
        <v>5.75</v>
      </c>
      <c r="O349" s="7">
        <v>0.7</v>
      </c>
      <c r="P349" s="7">
        <v>3</v>
      </c>
      <c r="Q349" s="7">
        <v>9.65</v>
      </c>
      <c r="R349" s="7">
        <v>0.75</v>
      </c>
      <c r="S349" s="7">
        <v>3</v>
      </c>
      <c r="T349" s="7">
        <v>1.2124355652982139</v>
      </c>
      <c r="U349" s="7">
        <v>1.299038105676658</v>
      </c>
      <c r="V349" s="7">
        <v>0.51775806054163553</v>
      </c>
      <c r="W349" s="7">
        <v>2.0860846494604006E-2</v>
      </c>
      <c r="X349" t="s">
        <v>716</v>
      </c>
      <c r="Y349" t="s">
        <v>89</v>
      </c>
      <c r="Z349" t="s">
        <v>515</v>
      </c>
      <c r="AA349" t="s">
        <v>727</v>
      </c>
      <c r="AB349" t="s">
        <v>92</v>
      </c>
      <c r="AC349" t="s">
        <v>713</v>
      </c>
      <c r="AD349" t="s">
        <v>713</v>
      </c>
      <c r="AE349" t="s">
        <v>1741</v>
      </c>
      <c r="AF349" t="s">
        <v>1745</v>
      </c>
      <c r="AG349" t="s">
        <v>1741</v>
      </c>
      <c r="AI349" t="s">
        <v>30</v>
      </c>
      <c r="AJ349" t="s">
        <v>1636</v>
      </c>
      <c r="AK349" t="s">
        <v>1637</v>
      </c>
      <c r="AL349" s="4">
        <v>40</v>
      </c>
      <c r="AM349" t="s">
        <v>185</v>
      </c>
      <c r="AN349">
        <v>40</v>
      </c>
      <c r="AO349" t="s">
        <v>1665</v>
      </c>
      <c r="AP349" t="s">
        <v>1639</v>
      </c>
      <c r="AQ349" t="s">
        <v>1640</v>
      </c>
      <c r="AR349" t="s">
        <v>1641</v>
      </c>
      <c r="AS349">
        <v>1</v>
      </c>
      <c r="AT349">
        <v>0</v>
      </c>
      <c r="AU349">
        <v>0</v>
      </c>
      <c r="AV349">
        <v>1</v>
      </c>
      <c r="AW349">
        <v>0</v>
      </c>
      <c r="AX349">
        <v>0</v>
      </c>
      <c r="AY349" t="s">
        <v>1642</v>
      </c>
    </row>
    <row r="350" spans="1:51">
      <c r="A350" t="s">
        <v>713</v>
      </c>
      <c r="B350" t="s">
        <v>731</v>
      </c>
      <c r="C350" t="s">
        <v>183</v>
      </c>
      <c r="D350" t="s">
        <v>715</v>
      </c>
      <c r="E350" t="s">
        <v>94</v>
      </c>
      <c r="F350">
        <v>10</v>
      </c>
      <c r="G350" t="s">
        <v>185</v>
      </c>
      <c r="H350" t="s">
        <v>84</v>
      </c>
      <c r="I350" t="s">
        <v>85</v>
      </c>
      <c r="J350" t="s">
        <v>86</v>
      </c>
      <c r="K350" t="s">
        <v>41</v>
      </c>
      <c r="L350" t="s">
        <v>30</v>
      </c>
      <c r="M350" t="s">
        <v>188</v>
      </c>
      <c r="N350" s="7">
        <v>5.75</v>
      </c>
      <c r="O350" s="7">
        <v>0.2</v>
      </c>
      <c r="P350" s="7">
        <v>3</v>
      </c>
      <c r="Q350" s="7">
        <v>6.5</v>
      </c>
      <c r="R350" s="7">
        <v>0.2</v>
      </c>
      <c r="S350" s="7">
        <v>3</v>
      </c>
      <c r="T350" s="7">
        <v>0.34641016151377546</v>
      </c>
      <c r="U350" s="7">
        <v>0.34641016151377546</v>
      </c>
      <c r="V350" s="7">
        <v>0.12260232209233228</v>
      </c>
      <c r="W350" s="7">
        <v>2.1565754298050357E-3</v>
      </c>
      <c r="X350" t="s">
        <v>716</v>
      </c>
      <c r="Y350" t="s">
        <v>89</v>
      </c>
      <c r="Z350" t="s">
        <v>515</v>
      </c>
      <c r="AA350" t="s">
        <v>732</v>
      </c>
      <c r="AB350" t="s">
        <v>92</v>
      </c>
      <c r="AC350" t="s">
        <v>713</v>
      </c>
      <c r="AD350" t="s">
        <v>713</v>
      </c>
      <c r="AE350" t="s">
        <v>1741</v>
      </c>
      <c r="AF350" t="s">
        <v>1742</v>
      </c>
      <c r="AG350" t="s">
        <v>1741</v>
      </c>
      <c r="AI350" t="s">
        <v>30</v>
      </c>
      <c r="AJ350" t="s">
        <v>1636</v>
      </c>
      <c r="AK350" t="s">
        <v>1637</v>
      </c>
      <c r="AL350" s="4">
        <v>10</v>
      </c>
      <c r="AM350" t="s">
        <v>185</v>
      </c>
      <c r="AN350">
        <v>10</v>
      </c>
      <c r="AO350" t="s">
        <v>1665</v>
      </c>
      <c r="AP350" t="s">
        <v>1639</v>
      </c>
      <c r="AQ350" t="s">
        <v>1640</v>
      </c>
      <c r="AR350" t="s">
        <v>1641</v>
      </c>
      <c r="AS350">
        <v>1</v>
      </c>
      <c r="AT350">
        <v>0</v>
      </c>
      <c r="AU350">
        <v>0</v>
      </c>
      <c r="AV350">
        <v>1</v>
      </c>
      <c r="AW350">
        <v>0</v>
      </c>
      <c r="AX350">
        <v>0</v>
      </c>
      <c r="AY350" t="s">
        <v>1642</v>
      </c>
    </row>
    <row r="351" spans="1:51">
      <c r="A351" t="s">
        <v>713</v>
      </c>
      <c r="B351" t="s">
        <v>733</v>
      </c>
      <c r="C351" t="s">
        <v>183</v>
      </c>
      <c r="D351" t="s">
        <v>715</v>
      </c>
      <c r="E351" t="s">
        <v>94</v>
      </c>
      <c r="F351">
        <v>20</v>
      </c>
      <c r="G351" t="s">
        <v>185</v>
      </c>
      <c r="H351" t="s">
        <v>84</v>
      </c>
      <c r="I351" t="s">
        <v>85</v>
      </c>
      <c r="J351" t="s">
        <v>86</v>
      </c>
      <c r="K351" t="s">
        <v>41</v>
      </c>
      <c r="L351" t="s">
        <v>30</v>
      </c>
      <c r="M351" t="s">
        <v>188</v>
      </c>
      <c r="N351" s="7">
        <v>5.75</v>
      </c>
      <c r="O351" s="7">
        <v>0.2</v>
      </c>
      <c r="P351" s="7">
        <v>3</v>
      </c>
      <c r="Q351" s="7">
        <v>6.85</v>
      </c>
      <c r="R351" s="7">
        <v>0.2</v>
      </c>
      <c r="S351" s="7">
        <v>3</v>
      </c>
      <c r="T351" s="7">
        <v>0.34641016151377546</v>
      </c>
      <c r="U351" s="7">
        <v>0.34641016151377546</v>
      </c>
      <c r="V351" s="7">
        <v>0.17504879746487487</v>
      </c>
      <c r="W351" s="7">
        <v>2.0622993652506479E-3</v>
      </c>
      <c r="X351" t="s">
        <v>716</v>
      </c>
      <c r="Y351" t="s">
        <v>89</v>
      </c>
      <c r="Z351" t="s">
        <v>515</v>
      </c>
      <c r="AA351" t="s">
        <v>732</v>
      </c>
      <c r="AB351" t="s">
        <v>92</v>
      </c>
      <c r="AC351" t="s">
        <v>713</v>
      </c>
      <c r="AD351" t="s">
        <v>713</v>
      </c>
      <c r="AE351" t="s">
        <v>1741</v>
      </c>
      <c r="AF351" t="s">
        <v>1743</v>
      </c>
      <c r="AG351" t="s">
        <v>1741</v>
      </c>
      <c r="AI351" t="s">
        <v>30</v>
      </c>
      <c r="AJ351" t="s">
        <v>1636</v>
      </c>
      <c r="AK351" t="s">
        <v>1637</v>
      </c>
      <c r="AL351" s="4">
        <v>20</v>
      </c>
      <c r="AM351" t="s">
        <v>185</v>
      </c>
      <c r="AN351">
        <v>20</v>
      </c>
      <c r="AO351" t="s">
        <v>1665</v>
      </c>
      <c r="AP351" t="s">
        <v>1639</v>
      </c>
      <c r="AQ351" t="s">
        <v>1640</v>
      </c>
      <c r="AR351" t="s">
        <v>1641</v>
      </c>
      <c r="AS351">
        <v>1</v>
      </c>
      <c r="AT351">
        <v>0</v>
      </c>
      <c r="AU351">
        <v>0</v>
      </c>
      <c r="AV351">
        <v>1</v>
      </c>
      <c r="AW351">
        <v>0</v>
      </c>
      <c r="AX351">
        <v>0</v>
      </c>
      <c r="AY351" t="s">
        <v>1642</v>
      </c>
    </row>
    <row r="352" spans="1:51">
      <c r="A352" t="s">
        <v>713</v>
      </c>
      <c r="B352" t="s">
        <v>734</v>
      </c>
      <c r="C352" t="s">
        <v>183</v>
      </c>
      <c r="D352" t="s">
        <v>715</v>
      </c>
      <c r="E352" t="s">
        <v>94</v>
      </c>
      <c r="F352">
        <v>30</v>
      </c>
      <c r="G352" t="s">
        <v>185</v>
      </c>
      <c r="H352" t="s">
        <v>84</v>
      </c>
      <c r="I352" t="s">
        <v>85</v>
      </c>
      <c r="J352" t="s">
        <v>86</v>
      </c>
      <c r="K352" t="s">
        <v>41</v>
      </c>
      <c r="L352" t="s">
        <v>30</v>
      </c>
      <c r="M352" t="s">
        <v>188</v>
      </c>
      <c r="N352" s="7">
        <v>5.75</v>
      </c>
      <c r="O352" s="7">
        <v>0.2</v>
      </c>
      <c r="P352" s="7">
        <v>3</v>
      </c>
      <c r="Q352" s="7">
        <v>7.25</v>
      </c>
      <c r="R352" s="7">
        <v>0.2</v>
      </c>
      <c r="S352" s="7">
        <v>3</v>
      </c>
      <c r="T352" s="7">
        <v>0.34641016151377546</v>
      </c>
      <c r="U352" s="7">
        <v>0.34641016151377546</v>
      </c>
      <c r="V352" s="7">
        <v>0.23180161405732438</v>
      </c>
      <c r="W352" s="7">
        <v>1.970828678614216E-3</v>
      </c>
      <c r="X352" t="s">
        <v>716</v>
      </c>
      <c r="Y352" t="s">
        <v>89</v>
      </c>
      <c r="Z352" t="s">
        <v>515</v>
      </c>
      <c r="AA352" t="s">
        <v>732</v>
      </c>
      <c r="AB352" t="s">
        <v>92</v>
      </c>
      <c r="AC352" t="s">
        <v>713</v>
      </c>
      <c r="AD352" t="s">
        <v>713</v>
      </c>
      <c r="AE352" t="s">
        <v>1741</v>
      </c>
      <c r="AF352" t="s">
        <v>1744</v>
      </c>
      <c r="AG352" t="s">
        <v>1741</v>
      </c>
      <c r="AI352" t="s">
        <v>30</v>
      </c>
      <c r="AJ352" t="s">
        <v>1636</v>
      </c>
      <c r="AK352" t="s">
        <v>1637</v>
      </c>
      <c r="AL352" s="4">
        <v>30</v>
      </c>
      <c r="AM352" t="s">
        <v>185</v>
      </c>
      <c r="AN352">
        <v>30</v>
      </c>
      <c r="AO352" t="s">
        <v>1665</v>
      </c>
      <c r="AP352" t="s">
        <v>1639</v>
      </c>
      <c r="AQ352" t="s">
        <v>1640</v>
      </c>
      <c r="AR352" t="s">
        <v>1641</v>
      </c>
      <c r="AS352">
        <v>1</v>
      </c>
      <c r="AT352">
        <v>0</v>
      </c>
      <c r="AU352">
        <v>0</v>
      </c>
      <c r="AV352">
        <v>1</v>
      </c>
      <c r="AW352">
        <v>0</v>
      </c>
      <c r="AX352">
        <v>0</v>
      </c>
      <c r="AY352" t="s">
        <v>1642</v>
      </c>
    </row>
    <row r="353" spans="1:51">
      <c r="A353" t="s">
        <v>713</v>
      </c>
      <c r="B353" t="s">
        <v>735</v>
      </c>
      <c r="C353" t="s">
        <v>183</v>
      </c>
      <c r="D353" t="s">
        <v>715</v>
      </c>
      <c r="E353" t="s">
        <v>94</v>
      </c>
      <c r="F353">
        <v>40</v>
      </c>
      <c r="G353" t="s">
        <v>185</v>
      </c>
      <c r="H353" t="s">
        <v>84</v>
      </c>
      <c r="I353" t="s">
        <v>85</v>
      </c>
      <c r="J353" t="s">
        <v>86</v>
      </c>
      <c r="K353" t="s">
        <v>41</v>
      </c>
      <c r="L353" t="s">
        <v>30</v>
      </c>
      <c r="M353" t="s">
        <v>188</v>
      </c>
      <c r="N353" s="7">
        <v>5.75</v>
      </c>
      <c r="O353" s="7">
        <v>0.2</v>
      </c>
      <c r="P353" s="7">
        <v>3</v>
      </c>
      <c r="Q353" s="7">
        <v>7.95</v>
      </c>
      <c r="R353" s="7">
        <v>0.3</v>
      </c>
      <c r="S353" s="7">
        <v>3</v>
      </c>
      <c r="T353" s="7">
        <v>0.34641016151377546</v>
      </c>
      <c r="U353" s="7">
        <v>0.51961524227066314</v>
      </c>
      <c r="V353" s="7">
        <v>0.32397207385698146</v>
      </c>
      <c r="W353" s="7">
        <v>2.6338241716976417E-3</v>
      </c>
      <c r="X353" t="s">
        <v>716</v>
      </c>
      <c r="Y353" t="s">
        <v>89</v>
      </c>
      <c r="Z353" t="s">
        <v>515</v>
      </c>
      <c r="AA353" t="s">
        <v>732</v>
      </c>
      <c r="AB353" t="s">
        <v>92</v>
      </c>
      <c r="AC353" t="s">
        <v>713</v>
      </c>
      <c r="AD353" t="s">
        <v>713</v>
      </c>
      <c r="AE353" t="s">
        <v>1741</v>
      </c>
      <c r="AF353" t="s">
        <v>1745</v>
      </c>
      <c r="AG353" t="s">
        <v>1741</v>
      </c>
      <c r="AI353" t="s">
        <v>30</v>
      </c>
      <c r="AJ353" t="s">
        <v>1636</v>
      </c>
      <c r="AK353" t="s">
        <v>1637</v>
      </c>
      <c r="AL353" s="4">
        <v>40</v>
      </c>
      <c r="AM353" t="s">
        <v>185</v>
      </c>
      <c r="AN353">
        <v>40</v>
      </c>
      <c r="AO353" t="s">
        <v>1665</v>
      </c>
      <c r="AP353" t="s">
        <v>1639</v>
      </c>
      <c r="AQ353" t="s">
        <v>1640</v>
      </c>
      <c r="AR353" t="s">
        <v>1641</v>
      </c>
      <c r="AS353">
        <v>1</v>
      </c>
      <c r="AT353">
        <v>0</v>
      </c>
      <c r="AU353">
        <v>0</v>
      </c>
      <c r="AV353">
        <v>1</v>
      </c>
      <c r="AW353">
        <v>0</v>
      </c>
      <c r="AX353">
        <v>0</v>
      </c>
      <c r="AY353" t="s">
        <v>1642</v>
      </c>
    </row>
    <row r="354" spans="1:51">
      <c r="A354" t="s">
        <v>713</v>
      </c>
      <c r="B354" t="s">
        <v>736</v>
      </c>
      <c r="C354" t="s">
        <v>183</v>
      </c>
      <c r="D354" t="s">
        <v>715</v>
      </c>
      <c r="E354" t="s">
        <v>94</v>
      </c>
      <c r="F354">
        <v>10</v>
      </c>
      <c r="G354" t="s">
        <v>185</v>
      </c>
      <c r="H354" t="s">
        <v>84</v>
      </c>
      <c r="I354" t="s">
        <v>85</v>
      </c>
      <c r="J354" t="s">
        <v>86</v>
      </c>
      <c r="K354" t="s">
        <v>29</v>
      </c>
      <c r="L354" t="s">
        <v>737</v>
      </c>
      <c r="M354" t="s">
        <v>188</v>
      </c>
      <c r="N354" s="7">
        <v>9.4</v>
      </c>
      <c r="O354" s="7">
        <v>1</v>
      </c>
      <c r="P354" s="7">
        <v>3</v>
      </c>
      <c r="Q354" s="7">
        <v>11.5</v>
      </c>
      <c r="R354" s="7">
        <v>1</v>
      </c>
      <c r="S354" s="7">
        <v>3</v>
      </c>
      <c r="T354" s="7">
        <v>1.7320508075688772</v>
      </c>
      <c r="U354" s="7">
        <v>1.7320508075688772</v>
      </c>
      <c r="V354" s="7">
        <v>0.20163734609324613</v>
      </c>
      <c r="W354" s="7">
        <v>1.8878774835032142E-2</v>
      </c>
      <c r="X354" t="s">
        <v>716</v>
      </c>
      <c r="Y354" t="s">
        <v>89</v>
      </c>
      <c r="Z354" t="s">
        <v>515</v>
      </c>
      <c r="AA354" t="s">
        <v>738</v>
      </c>
      <c r="AB354" t="s">
        <v>92</v>
      </c>
      <c r="AC354" t="s">
        <v>713</v>
      </c>
      <c r="AD354" t="s">
        <v>713</v>
      </c>
      <c r="AE354" t="s">
        <v>1741</v>
      </c>
      <c r="AF354" t="s">
        <v>1742</v>
      </c>
      <c r="AG354" t="s">
        <v>1741</v>
      </c>
      <c r="AI354" t="s">
        <v>42</v>
      </c>
      <c r="AJ354" t="s">
        <v>737</v>
      </c>
      <c r="AK354" t="s">
        <v>1637</v>
      </c>
      <c r="AL354" s="4">
        <v>10</v>
      </c>
      <c r="AM354" t="s">
        <v>185</v>
      </c>
      <c r="AN354">
        <v>10</v>
      </c>
      <c r="AO354" t="s">
        <v>1665</v>
      </c>
      <c r="AP354" t="s">
        <v>1639</v>
      </c>
      <c r="AQ354" t="s">
        <v>1640</v>
      </c>
      <c r="AR354" t="s">
        <v>1641</v>
      </c>
      <c r="AS354">
        <v>1</v>
      </c>
      <c r="AT354">
        <v>0</v>
      </c>
      <c r="AU354">
        <v>0</v>
      </c>
      <c r="AV354">
        <v>1</v>
      </c>
      <c r="AW354">
        <v>0</v>
      </c>
      <c r="AX354">
        <v>0</v>
      </c>
      <c r="AY354" t="s">
        <v>1642</v>
      </c>
    </row>
    <row r="355" spans="1:51">
      <c r="A355" t="s">
        <v>713</v>
      </c>
      <c r="B355" t="s">
        <v>739</v>
      </c>
      <c r="C355" t="s">
        <v>183</v>
      </c>
      <c r="D355" t="s">
        <v>715</v>
      </c>
      <c r="E355" t="s">
        <v>94</v>
      </c>
      <c r="F355">
        <v>20</v>
      </c>
      <c r="G355" t="s">
        <v>185</v>
      </c>
      <c r="H355" t="s">
        <v>84</v>
      </c>
      <c r="I355" t="s">
        <v>85</v>
      </c>
      <c r="J355" t="s">
        <v>86</v>
      </c>
      <c r="K355" t="s">
        <v>29</v>
      </c>
      <c r="L355" t="s">
        <v>737</v>
      </c>
      <c r="M355" t="s">
        <v>188</v>
      </c>
      <c r="N355" s="7">
        <v>9.4</v>
      </c>
      <c r="O355" s="7">
        <v>1</v>
      </c>
      <c r="P355" s="7">
        <v>3</v>
      </c>
      <c r="Q355" s="7">
        <v>11.6</v>
      </c>
      <c r="R355" s="7">
        <v>1</v>
      </c>
      <c r="S355" s="7">
        <v>3</v>
      </c>
      <c r="T355" s="7">
        <v>1.7320508075688772</v>
      </c>
      <c r="U355" s="7">
        <v>1.7320508075688772</v>
      </c>
      <c r="V355" s="7">
        <v>0.21029540883636075</v>
      </c>
      <c r="W355" s="7">
        <v>1.8748967175143946E-2</v>
      </c>
      <c r="X355" t="s">
        <v>716</v>
      </c>
      <c r="Y355" t="s">
        <v>89</v>
      </c>
      <c r="Z355" t="s">
        <v>515</v>
      </c>
      <c r="AA355" t="s">
        <v>738</v>
      </c>
      <c r="AB355" t="s">
        <v>92</v>
      </c>
      <c r="AC355" t="s">
        <v>713</v>
      </c>
      <c r="AD355" t="s">
        <v>713</v>
      </c>
      <c r="AE355" t="s">
        <v>1741</v>
      </c>
      <c r="AF355" t="s">
        <v>1743</v>
      </c>
      <c r="AG355" t="s">
        <v>1741</v>
      </c>
      <c r="AI355" t="s">
        <v>42</v>
      </c>
      <c r="AJ355" t="s">
        <v>737</v>
      </c>
      <c r="AK355" t="s">
        <v>1637</v>
      </c>
      <c r="AL355" s="4">
        <v>20</v>
      </c>
      <c r="AM355" t="s">
        <v>185</v>
      </c>
      <c r="AN355">
        <v>20</v>
      </c>
      <c r="AO355" t="s">
        <v>1665</v>
      </c>
      <c r="AP355" t="s">
        <v>1639</v>
      </c>
      <c r="AQ355" t="s">
        <v>1640</v>
      </c>
      <c r="AR355" t="s">
        <v>1641</v>
      </c>
      <c r="AS355">
        <v>1</v>
      </c>
      <c r="AT355">
        <v>0</v>
      </c>
      <c r="AU355">
        <v>0</v>
      </c>
      <c r="AV355">
        <v>1</v>
      </c>
      <c r="AW355">
        <v>0</v>
      </c>
      <c r="AX355">
        <v>0</v>
      </c>
      <c r="AY355" t="s">
        <v>1642</v>
      </c>
    </row>
    <row r="356" spans="1:51">
      <c r="A356" t="s">
        <v>713</v>
      </c>
      <c r="B356" t="s">
        <v>740</v>
      </c>
      <c r="C356" t="s">
        <v>183</v>
      </c>
      <c r="D356" t="s">
        <v>715</v>
      </c>
      <c r="E356" t="s">
        <v>94</v>
      </c>
      <c r="F356">
        <v>30</v>
      </c>
      <c r="G356" t="s">
        <v>185</v>
      </c>
      <c r="H356" t="s">
        <v>84</v>
      </c>
      <c r="I356" t="s">
        <v>85</v>
      </c>
      <c r="J356" t="s">
        <v>86</v>
      </c>
      <c r="K356" t="s">
        <v>29</v>
      </c>
      <c r="L356" t="s">
        <v>737</v>
      </c>
      <c r="M356" t="s">
        <v>188</v>
      </c>
      <c r="N356" s="7">
        <v>9.4</v>
      </c>
      <c r="O356" s="7">
        <v>1</v>
      </c>
      <c r="P356" s="7">
        <v>3</v>
      </c>
      <c r="Q356" s="7">
        <v>13.5</v>
      </c>
      <c r="R356" s="7">
        <v>1</v>
      </c>
      <c r="S356" s="7">
        <v>3</v>
      </c>
      <c r="T356" s="7">
        <v>1.7320508075688772</v>
      </c>
      <c r="U356" s="7">
        <v>1.7320508075688772</v>
      </c>
      <c r="V356" s="7">
        <v>0.36197999616842558</v>
      </c>
      <c r="W356" s="7">
        <v>1.6804306611995692E-2</v>
      </c>
      <c r="X356" t="s">
        <v>716</v>
      </c>
      <c r="Y356" t="s">
        <v>89</v>
      </c>
      <c r="Z356" t="s">
        <v>515</v>
      </c>
      <c r="AA356" t="s">
        <v>738</v>
      </c>
      <c r="AB356" t="s">
        <v>92</v>
      </c>
      <c r="AC356" t="s">
        <v>713</v>
      </c>
      <c r="AD356" t="s">
        <v>713</v>
      </c>
      <c r="AE356" t="s">
        <v>1741</v>
      </c>
      <c r="AF356" t="s">
        <v>1744</v>
      </c>
      <c r="AG356" t="s">
        <v>1741</v>
      </c>
      <c r="AI356" t="s">
        <v>42</v>
      </c>
      <c r="AJ356" t="s">
        <v>737</v>
      </c>
      <c r="AK356" t="s">
        <v>1637</v>
      </c>
      <c r="AL356" s="4">
        <v>30</v>
      </c>
      <c r="AM356" t="s">
        <v>185</v>
      </c>
      <c r="AN356">
        <v>30</v>
      </c>
      <c r="AO356" t="s">
        <v>1665</v>
      </c>
      <c r="AP356" t="s">
        <v>1639</v>
      </c>
      <c r="AQ356" t="s">
        <v>1640</v>
      </c>
      <c r="AR356" t="s">
        <v>1641</v>
      </c>
      <c r="AS356">
        <v>1</v>
      </c>
      <c r="AT356">
        <v>0</v>
      </c>
      <c r="AU356">
        <v>0</v>
      </c>
      <c r="AV356">
        <v>1</v>
      </c>
      <c r="AW356">
        <v>0</v>
      </c>
      <c r="AX356">
        <v>0</v>
      </c>
      <c r="AY356" t="s">
        <v>1642</v>
      </c>
    </row>
    <row r="357" spans="1:51">
      <c r="A357" t="s">
        <v>713</v>
      </c>
      <c r="B357" t="s">
        <v>741</v>
      </c>
      <c r="C357" t="s">
        <v>183</v>
      </c>
      <c r="D357" t="s">
        <v>715</v>
      </c>
      <c r="E357" t="s">
        <v>94</v>
      </c>
      <c r="F357">
        <v>40</v>
      </c>
      <c r="G357" t="s">
        <v>185</v>
      </c>
      <c r="H357" t="s">
        <v>84</v>
      </c>
      <c r="I357" t="s">
        <v>85</v>
      </c>
      <c r="J357" t="s">
        <v>86</v>
      </c>
      <c r="K357" t="s">
        <v>29</v>
      </c>
      <c r="L357" t="s">
        <v>737</v>
      </c>
      <c r="M357" t="s">
        <v>188</v>
      </c>
      <c r="N357" s="7">
        <v>9.4</v>
      </c>
      <c r="O357" s="7">
        <v>1</v>
      </c>
      <c r="P357" s="7">
        <v>3</v>
      </c>
      <c r="Q357" s="7">
        <v>14.1</v>
      </c>
      <c r="R357" s="7">
        <v>1</v>
      </c>
      <c r="S357" s="7">
        <v>3</v>
      </c>
      <c r="T357" s="7">
        <v>1.7320508075688772</v>
      </c>
      <c r="U357" s="7">
        <v>1.7320508075688772</v>
      </c>
      <c r="V357" s="7">
        <v>0.40546510810816438</v>
      </c>
      <c r="W357" s="7">
        <v>1.6347266234092848E-2</v>
      </c>
      <c r="X357" t="s">
        <v>716</v>
      </c>
      <c r="Y357" t="s">
        <v>89</v>
      </c>
      <c r="Z357" t="s">
        <v>515</v>
      </c>
      <c r="AA357" t="s">
        <v>738</v>
      </c>
      <c r="AB357" t="s">
        <v>92</v>
      </c>
      <c r="AC357" t="s">
        <v>713</v>
      </c>
      <c r="AD357" t="s">
        <v>713</v>
      </c>
      <c r="AE357" t="s">
        <v>1741</v>
      </c>
      <c r="AF357" t="s">
        <v>1745</v>
      </c>
      <c r="AG357" t="s">
        <v>1741</v>
      </c>
      <c r="AI357" t="s">
        <v>42</v>
      </c>
      <c r="AJ357" t="s">
        <v>737</v>
      </c>
      <c r="AK357" t="s">
        <v>1637</v>
      </c>
      <c r="AL357" s="4">
        <v>40</v>
      </c>
      <c r="AM357" t="s">
        <v>185</v>
      </c>
      <c r="AN357">
        <v>40</v>
      </c>
      <c r="AO357" t="s">
        <v>1665</v>
      </c>
      <c r="AP357" t="s">
        <v>1639</v>
      </c>
      <c r="AQ357" t="s">
        <v>1640</v>
      </c>
      <c r="AR357" t="s">
        <v>1641</v>
      </c>
      <c r="AS357">
        <v>1</v>
      </c>
      <c r="AT357">
        <v>0</v>
      </c>
      <c r="AU357">
        <v>0</v>
      </c>
      <c r="AV357">
        <v>1</v>
      </c>
      <c r="AW357">
        <v>0</v>
      </c>
      <c r="AX357">
        <v>0</v>
      </c>
      <c r="AY357" t="s">
        <v>1642</v>
      </c>
    </row>
    <row r="358" spans="1:51">
      <c r="A358" t="s">
        <v>713</v>
      </c>
      <c r="B358" t="s">
        <v>742</v>
      </c>
      <c r="C358" t="s">
        <v>183</v>
      </c>
      <c r="D358" t="s">
        <v>715</v>
      </c>
      <c r="E358" t="s">
        <v>94</v>
      </c>
      <c r="F358">
        <v>10</v>
      </c>
      <c r="G358" t="s">
        <v>185</v>
      </c>
      <c r="H358" t="s">
        <v>84</v>
      </c>
      <c r="I358" t="s">
        <v>85</v>
      </c>
      <c r="J358" t="s">
        <v>86</v>
      </c>
      <c r="K358" t="s">
        <v>41</v>
      </c>
      <c r="L358" t="s">
        <v>737</v>
      </c>
      <c r="M358" t="s">
        <v>188</v>
      </c>
      <c r="N358" s="7">
        <v>7.4</v>
      </c>
      <c r="O358" s="7">
        <v>0.9</v>
      </c>
      <c r="P358" s="7">
        <v>3</v>
      </c>
      <c r="Q358" s="7">
        <v>7.5</v>
      </c>
      <c r="R358" s="7">
        <v>0.9</v>
      </c>
      <c r="S358" s="7">
        <v>3</v>
      </c>
      <c r="T358" s="7">
        <v>1.5588457268119895</v>
      </c>
      <c r="U358" s="7">
        <v>1.5588457268119895</v>
      </c>
      <c r="V358" s="7">
        <v>1.342302033214055E-2</v>
      </c>
      <c r="W358" s="7">
        <v>2.9191818845872894E-2</v>
      </c>
      <c r="X358" t="s">
        <v>716</v>
      </c>
      <c r="Y358" t="s">
        <v>89</v>
      </c>
      <c r="Z358" t="s">
        <v>515</v>
      </c>
      <c r="AA358" t="s">
        <v>743</v>
      </c>
      <c r="AB358" t="s">
        <v>92</v>
      </c>
      <c r="AC358" t="s">
        <v>713</v>
      </c>
      <c r="AD358" t="s">
        <v>713</v>
      </c>
      <c r="AE358" t="s">
        <v>1741</v>
      </c>
      <c r="AF358" t="s">
        <v>1742</v>
      </c>
      <c r="AG358" t="s">
        <v>1741</v>
      </c>
      <c r="AI358" t="s">
        <v>42</v>
      </c>
      <c r="AJ358" t="s">
        <v>737</v>
      </c>
      <c r="AK358" t="s">
        <v>1637</v>
      </c>
      <c r="AL358" s="4">
        <v>10</v>
      </c>
      <c r="AM358" t="s">
        <v>185</v>
      </c>
      <c r="AN358">
        <v>10</v>
      </c>
      <c r="AO358" t="s">
        <v>1665</v>
      </c>
      <c r="AP358" t="s">
        <v>1639</v>
      </c>
      <c r="AQ358" t="s">
        <v>1640</v>
      </c>
      <c r="AR358" t="s">
        <v>1641</v>
      </c>
      <c r="AS358">
        <v>1</v>
      </c>
      <c r="AT358">
        <v>0</v>
      </c>
      <c r="AU358">
        <v>0</v>
      </c>
      <c r="AV358">
        <v>1</v>
      </c>
      <c r="AW358">
        <v>0</v>
      </c>
      <c r="AX358">
        <v>0</v>
      </c>
      <c r="AY358" t="s">
        <v>1642</v>
      </c>
    </row>
    <row r="359" spans="1:51">
      <c r="A359" t="s">
        <v>713</v>
      </c>
      <c r="B359" t="s">
        <v>744</v>
      </c>
      <c r="C359" t="s">
        <v>183</v>
      </c>
      <c r="D359" t="s">
        <v>715</v>
      </c>
      <c r="E359" t="s">
        <v>94</v>
      </c>
      <c r="F359">
        <v>20</v>
      </c>
      <c r="G359" t="s">
        <v>185</v>
      </c>
      <c r="H359" t="s">
        <v>84</v>
      </c>
      <c r="I359" t="s">
        <v>85</v>
      </c>
      <c r="J359" t="s">
        <v>86</v>
      </c>
      <c r="K359" t="s">
        <v>41</v>
      </c>
      <c r="L359" t="s">
        <v>737</v>
      </c>
      <c r="M359" t="s">
        <v>188</v>
      </c>
      <c r="N359" s="7">
        <v>7.4</v>
      </c>
      <c r="O359" s="7">
        <v>0.9</v>
      </c>
      <c r="P359" s="7">
        <v>3</v>
      </c>
      <c r="Q359" s="7">
        <v>9.4</v>
      </c>
      <c r="R359" s="7">
        <v>0.9</v>
      </c>
      <c r="S359" s="7">
        <v>3</v>
      </c>
      <c r="T359" s="7">
        <v>1.5588457268119895</v>
      </c>
      <c r="U359" s="7">
        <v>1.5588457268119895</v>
      </c>
      <c r="V359" s="7">
        <v>0.23922968906583406</v>
      </c>
      <c r="W359" s="7">
        <v>2.3958862757144962E-2</v>
      </c>
      <c r="X359" t="s">
        <v>716</v>
      </c>
      <c r="Y359" t="s">
        <v>89</v>
      </c>
      <c r="Z359" t="s">
        <v>515</v>
      </c>
      <c r="AA359" t="s">
        <v>743</v>
      </c>
      <c r="AB359" t="s">
        <v>92</v>
      </c>
      <c r="AC359" t="s">
        <v>713</v>
      </c>
      <c r="AD359" t="s">
        <v>713</v>
      </c>
      <c r="AE359" t="s">
        <v>1741</v>
      </c>
      <c r="AF359" t="s">
        <v>1743</v>
      </c>
      <c r="AG359" t="s">
        <v>1741</v>
      </c>
      <c r="AI359" t="s">
        <v>42</v>
      </c>
      <c r="AJ359" t="s">
        <v>737</v>
      </c>
      <c r="AK359" t="s">
        <v>1637</v>
      </c>
      <c r="AL359" s="4">
        <v>20</v>
      </c>
      <c r="AM359" t="s">
        <v>185</v>
      </c>
      <c r="AN359">
        <v>20</v>
      </c>
      <c r="AO359" t="s">
        <v>1665</v>
      </c>
      <c r="AP359" t="s">
        <v>1639</v>
      </c>
      <c r="AQ359" t="s">
        <v>1640</v>
      </c>
      <c r="AR359" t="s">
        <v>1641</v>
      </c>
      <c r="AS359">
        <v>1</v>
      </c>
      <c r="AT359">
        <v>0</v>
      </c>
      <c r="AU359">
        <v>0</v>
      </c>
      <c r="AV359">
        <v>1</v>
      </c>
      <c r="AW359">
        <v>0</v>
      </c>
      <c r="AX359">
        <v>0</v>
      </c>
      <c r="AY359" t="s">
        <v>1642</v>
      </c>
    </row>
    <row r="360" spans="1:51">
      <c r="A360" t="s">
        <v>713</v>
      </c>
      <c r="B360" t="s">
        <v>745</v>
      </c>
      <c r="C360" t="s">
        <v>183</v>
      </c>
      <c r="D360" t="s">
        <v>715</v>
      </c>
      <c r="E360" t="s">
        <v>94</v>
      </c>
      <c r="F360">
        <v>30</v>
      </c>
      <c r="G360" t="s">
        <v>185</v>
      </c>
      <c r="H360" t="s">
        <v>84</v>
      </c>
      <c r="I360" t="s">
        <v>85</v>
      </c>
      <c r="J360" t="s">
        <v>86</v>
      </c>
      <c r="K360" t="s">
        <v>41</v>
      </c>
      <c r="L360" t="s">
        <v>737</v>
      </c>
      <c r="M360" t="s">
        <v>188</v>
      </c>
      <c r="N360" s="7">
        <v>7.4</v>
      </c>
      <c r="O360" s="7">
        <v>0.9</v>
      </c>
      <c r="P360" s="7">
        <v>3</v>
      </c>
      <c r="Q360" s="7">
        <v>10.4</v>
      </c>
      <c r="R360" s="7">
        <v>0.9</v>
      </c>
      <c r="S360" s="7">
        <v>3</v>
      </c>
      <c r="T360" s="7">
        <v>1.5588457268119895</v>
      </c>
      <c r="U360" s="7">
        <v>1.5588457268119895</v>
      </c>
      <c r="V360" s="7">
        <v>0.34032580593720296</v>
      </c>
      <c r="W360" s="7">
        <v>2.2280724171316681E-2</v>
      </c>
      <c r="X360" t="s">
        <v>716</v>
      </c>
      <c r="Y360" t="s">
        <v>89</v>
      </c>
      <c r="Z360" t="s">
        <v>515</v>
      </c>
      <c r="AA360" t="s">
        <v>743</v>
      </c>
      <c r="AB360" t="s">
        <v>92</v>
      </c>
      <c r="AC360" t="s">
        <v>713</v>
      </c>
      <c r="AD360" t="s">
        <v>713</v>
      </c>
      <c r="AE360" t="s">
        <v>1741</v>
      </c>
      <c r="AF360" t="s">
        <v>1744</v>
      </c>
      <c r="AG360" t="s">
        <v>1741</v>
      </c>
      <c r="AI360" t="s">
        <v>42</v>
      </c>
      <c r="AJ360" t="s">
        <v>737</v>
      </c>
      <c r="AK360" t="s">
        <v>1637</v>
      </c>
      <c r="AL360" s="4">
        <v>30</v>
      </c>
      <c r="AM360" t="s">
        <v>185</v>
      </c>
      <c r="AN360">
        <v>30</v>
      </c>
      <c r="AO360" t="s">
        <v>1665</v>
      </c>
      <c r="AP360" t="s">
        <v>1639</v>
      </c>
      <c r="AQ360" t="s">
        <v>1640</v>
      </c>
      <c r="AR360" t="s">
        <v>1641</v>
      </c>
      <c r="AS360">
        <v>1</v>
      </c>
      <c r="AT360">
        <v>0</v>
      </c>
      <c r="AU360">
        <v>0</v>
      </c>
      <c r="AV360">
        <v>1</v>
      </c>
      <c r="AW360">
        <v>0</v>
      </c>
      <c r="AX360">
        <v>0</v>
      </c>
      <c r="AY360" t="s">
        <v>1642</v>
      </c>
    </row>
    <row r="361" spans="1:51">
      <c r="A361" t="s">
        <v>713</v>
      </c>
      <c r="B361" t="s">
        <v>746</v>
      </c>
      <c r="C361" t="s">
        <v>183</v>
      </c>
      <c r="D361" t="s">
        <v>715</v>
      </c>
      <c r="E361" t="s">
        <v>94</v>
      </c>
      <c r="F361">
        <v>40</v>
      </c>
      <c r="G361" t="s">
        <v>185</v>
      </c>
      <c r="H361" t="s">
        <v>84</v>
      </c>
      <c r="I361" t="s">
        <v>85</v>
      </c>
      <c r="J361" t="s">
        <v>86</v>
      </c>
      <c r="K361" t="s">
        <v>41</v>
      </c>
      <c r="L361" t="s">
        <v>737</v>
      </c>
      <c r="M361" t="s">
        <v>188</v>
      </c>
      <c r="N361" s="7">
        <v>7.4</v>
      </c>
      <c r="O361" s="7">
        <v>0.9</v>
      </c>
      <c r="P361" s="7">
        <v>3</v>
      </c>
      <c r="Q361" s="7">
        <v>12.3</v>
      </c>
      <c r="R361" s="7">
        <v>0.9</v>
      </c>
      <c r="S361" s="7">
        <v>3</v>
      </c>
      <c r="T361" s="7">
        <v>1.5588457268119895</v>
      </c>
      <c r="U361" s="7">
        <v>1.5588457268119895</v>
      </c>
      <c r="V361" s="7">
        <v>0.50811926216824777</v>
      </c>
      <c r="W361" s="7">
        <v>2.014577482445707E-2</v>
      </c>
      <c r="X361" t="s">
        <v>716</v>
      </c>
      <c r="Y361" t="s">
        <v>89</v>
      </c>
      <c r="Z361" t="s">
        <v>515</v>
      </c>
      <c r="AA361" t="s">
        <v>743</v>
      </c>
      <c r="AB361" t="s">
        <v>92</v>
      </c>
      <c r="AC361" t="s">
        <v>713</v>
      </c>
      <c r="AD361" t="s">
        <v>713</v>
      </c>
      <c r="AE361" t="s">
        <v>1741</v>
      </c>
      <c r="AF361" t="s">
        <v>1745</v>
      </c>
      <c r="AG361" t="s">
        <v>1741</v>
      </c>
      <c r="AI361" t="s">
        <v>42</v>
      </c>
      <c r="AJ361" t="s">
        <v>737</v>
      </c>
      <c r="AK361" t="s">
        <v>1637</v>
      </c>
      <c r="AL361" s="4">
        <v>40</v>
      </c>
      <c r="AM361" t="s">
        <v>185</v>
      </c>
      <c r="AN361">
        <v>40</v>
      </c>
      <c r="AO361" t="s">
        <v>1665</v>
      </c>
      <c r="AP361" t="s">
        <v>1639</v>
      </c>
      <c r="AQ361" t="s">
        <v>1640</v>
      </c>
      <c r="AR361" t="s">
        <v>1641</v>
      </c>
      <c r="AS361">
        <v>1</v>
      </c>
      <c r="AT361">
        <v>0</v>
      </c>
      <c r="AU361">
        <v>0</v>
      </c>
      <c r="AV361">
        <v>1</v>
      </c>
      <c r="AW361">
        <v>0</v>
      </c>
      <c r="AX361">
        <v>0</v>
      </c>
      <c r="AY361" t="s">
        <v>1642</v>
      </c>
    </row>
    <row r="362" spans="1:51">
      <c r="A362" t="s">
        <v>747</v>
      </c>
      <c r="B362" t="s">
        <v>748</v>
      </c>
      <c r="C362" t="s">
        <v>81</v>
      </c>
      <c r="D362" t="s">
        <v>749</v>
      </c>
      <c r="E362" t="s">
        <v>750</v>
      </c>
      <c r="F362">
        <v>2.4</v>
      </c>
      <c r="G362" t="s">
        <v>185</v>
      </c>
      <c r="H362" t="s">
        <v>84</v>
      </c>
      <c r="I362" t="s">
        <v>85</v>
      </c>
      <c r="J362" t="s">
        <v>751</v>
      </c>
      <c r="K362" t="s">
        <v>149</v>
      </c>
      <c r="L362" t="s">
        <v>337</v>
      </c>
      <c r="M362" t="s">
        <v>482</v>
      </c>
      <c r="N362" s="7">
        <v>4826.4271499750876</v>
      </c>
      <c r="O362" s="7">
        <v>839.37863477827614</v>
      </c>
      <c r="P362" s="7">
        <v>3</v>
      </c>
      <c r="Q362" s="7">
        <v>4826.4271499750876</v>
      </c>
      <c r="R362" s="7">
        <v>839.37863477827614</v>
      </c>
      <c r="S362" s="7">
        <v>3</v>
      </c>
      <c r="T362" s="7">
        <v>1453.8464422237748</v>
      </c>
      <c r="U362" s="7">
        <v>1453.8464422237748</v>
      </c>
      <c r="V362" s="7">
        <v>0</v>
      </c>
      <c r="W362" s="7">
        <v>6.0491493383742906E-2</v>
      </c>
      <c r="X362" t="s">
        <v>752</v>
      </c>
      <c r="Y362" t="s">
        <v>753</v>
      </c>
      <c r="Z362" t="s">
        <v>515</v>
      </c>
      <c r="AA362" t="s">
        <v>754</v>
      </c>
      <c r="AB362" t="s">
        <v>92</v>
      </c>
      <c r="AC362" t="s">
        <v>747</v>
      </c>
      <c r="AD362" t="s">
        <v>747</v>
      </c>
      <c r="AE362" t="s">
        <v>1746</v>
      </c>
      <c r="AF362" t="s">
        <v>1747</v>
      </c>
      <c r="AG362" t="s">
        <v>1746</v>
      </c>
      <c r="AI362" t="s">
        <v>337</v>
      </c>
      <c r="AJ362" t="s">
        <v>1636</v>
      </c>
      <c r="AK362" t="s">
        <v>1637</v>
      </c>
      <c r="AL362" s="4">
        <v>2.4</v>
      </c>
      <c r="AM362" t="s">
        <v>185</v>
      </c>
      <c r="AN362">
        <v>2.4</v>
      </c>
      <c r="AO362" t="s">
        <v>1665</v>
      </c>
      <c r="AP362" t="s">
        <v>1639</v>
      </c>
      <c r="AQ362" t="s">
        <v>1640</v>
      </c>
      <c r="AR362" t="s">
        <v>1641</v>
      </c>
      <c r="AS362">
        <v>1</v>
      </c>
      <c r="AT362">
        <v>0</v>
      </c>
      <c r="AU362">
        <v>0</v>
      </c>
      <c r="AV362">
        <v>1</v>
      </c>
      <c r="AW362">
        <v>0</v>
      </c>
      <c r="AX362">
        <v>0</v>
      </c>
      <c r="AY362" t="s">
        <v>1642</v>
      </c>
    </row>
    <row r="363" spans="1:51">
      <c r="A363" t="s">
        <v>747</v>
      </c>
      <c r="B363" t="s">
        <v>755</v>
      </c>
      <c r="C363" t="s">
        <v>81</v>
      </c>
      <c r="D363" t="s">
        <v>749</v>
      </c>
      <c r="E363" t="s">
        <v>94</v>
      </c>
      <c r="F363">
        <v>4.5999999999999996</v>
      </c>
      <c r="G363" t="s">
        <v>185</v>
      </c>
      <c r="H363" t="s">
        <v>84</v>
      </c>
      <c r="I363" t="s">
        <v>85</v>
      </c>
      <c r="J363" t="s">
        <v>751</v>
      </c>
      <c r="K363" t="s">
        <v>149</v>
      </c>
      <c r="L363" t="s">
        <v>337</v>
      </c>
      <c r="M363" t="s">
        <v>482</v>
      </c>
      <c r="N363" s="7">
        <v>4826.4271499750876</v>
      </c>
      <c r="O363" s="7">
        <v>839.37863477827614</v>
      </c>
      <c r="P363" s="7">
        <v>3</v>
      </c>
      <c r="Q363" s="7">
        <v>6295.3397608370706</v>
      </c>
      <c r="R363" s="7">
        <v>839.37863477827614</v>
      </c>
      <c r="S363" s="7">
        <v>3</v>
      </c>
      <c r="T363" s="7">
        <v>1453.8464422237748</v>
      </c>
      <c r="U363" s="7">
        <v>1453.8464422237748</v>
      </c>
      <c r="V363" s="7">
        <v>0.26570316573300568</v>
      </c>
      <c r="W363" s="7">
        <v>4.8023524469649234E-2</v>
      </c>
      <c r="X363" t="s">
        <v>752</v>
      </c>
      <c r="Y363" t="s">
        <v>753</v>
      </c>
      <c r="Z363" t="s">
        <v>515</v>
      </c>
      <c r="AA363" t="s">
        <v>754</v>
      </c>
      <c r="AB363" t="s">
        <v>92</v>
      </c>
      <c r="AC363" t="s">
        <v>747</v>
      </c>
      <c r="AD363" t="s">
        <v>747</v>
      </c>
      <c r="AE363" t="s">
        <v>1746</v>
      </c>
      <c r="AF363" t="s">
        <v>1748</v>
      </c>
      <c r="AG363" t="s">
        <v>1746</v>
      </c>
      <c r="AI363" t="s">
        <v>337</v>
      </c>
      <c r="AJ363" t="s">
        <v>1636</v>
      </c>
      <c r="AK363" t="s">
        <v>1637</v>
      </c>
      <c r="AL363" s="4">
        <v>4.5999999999999996</v>
      </c>
      <c r="AM363" t="s">
        <v>185</v>
      </c>
      <c r="AN363">
        <v>4.5999999999999996</v>
      </c>
      <c r="AO363" t="s">
        <v>1665</v>
      </c>
      <c r="AP363" t="s">
        <v>1639</v>
      </c>
      <c r="AQ363" t="s">
        <v>1640</v>
      </c>
      <c r="AR363" t="s">
        <v>1641</v>
      </c>
      <c r="AS363">
        <v>1</v>
      </c>
      <c r="AT363">
        <v>0</v>
      </c>
      <c r="AU363">
        <v>0</v>
      </c>
      <c r="AV363">
        <v>1</v>
      </c>
      <c r="AW363">
        <v>0</v>
      </c>
      <c r="AX363">
        <v>0</v>
      </c>
      <c r="AY363" t="s">
        <v>1642</v>
      </c>
    </row>
    <row r="364" spans="1:51">
      <c r="A364" t="s">
        <v>747</v>
      </c>
      <c r="B364" t="s">
        <v>756</v>
      </c>
      <c r="C364" t="s">
        <v>81</v>
      </c>
      <c r="D364" t="s">
        <v>749</v>
      </c>
      <c r="E364" t="s">
        <v>560</v>
      </c>
      <c r="F364">
        <v>3.6</v>
      </c>
      <c r="G364" t="s">
        <v>185</v>
      </c>
      <c r="H364" t="s">
        <v>84</v>
      </c>
      <c r="I364" t="s">
        <v>85</v>
      </c>
      <c r="J364" t="s">
        <v>751</v>
      </c>
      <c r="K364" t="s">
        <v>149</v>
      </c>
      <c r="L364" t="s">
        <v>337</v>
      </c>
      <c r="M364" t="s">
        <v>482</v>
      </c>
      <c r="N364" s="7">
        <v>4826.4271499750876</v>
      </c>
      <c r="O364" s="7">
        <v>839.37863477827614</v>
      </c>
      <c r="P364" s="7">
        <v>3</v>
      </c>
      <c r="Q364" s="7">
        <v>43227.999691081219</v>
      </c>
      <c r="R364" s="7">
        <v>839.37863477827614</v>
      </c>
      <c r="S364" s="7">
        <v>3</v>
      </c>
      <c r="T364" s="7">
        <v>1453.8464422237748</v>
      </c>
      <c r="U364" s="7">
        <v>1453.8464422237748</v>
      </c>
      <c r="V364" s="7">
        <v>2.1923819528604316</v>
      </c>
      <c r="W364" s="7">
        <v>3.0622785055524956E-2</v>
      </c>
      <c r="X364" t="s">
        <v>752</v>
      </c>
      <c r="Y364" t="s">
        <v>753</v>
      </c>
      <c r="Z364" t="s">
        <v>515</v>
      </c>
      <c r="AA364" t="s">
        <v>754</v>
      </c>
      <c r="AB364" t="s">
        <v>92</v>
      </c>
      <c r="AC364" t="s">
        <v>747</v>
      </c>
      <c r="AD364" t="s">
        <v>747</v>
      </c>
      <c r="AE364" t="s">
        <v>1746</v>
      </c>
      <c r="AF364" t="s">
        <v>1749</v>
      </c>
      <c r="AG364" t="s">
        <v>1746</v>
      </c>
      <c r="AI364" t="s">
        <v>337</v>
      </c>
      <c r="AJ364" t="s">
        <v>1636</v>
      </c>
      <c r="AK364" t="s">
        <v>1637</v>
      </c>
      <c r="AL364" s="4">
        <v>3.6</v>
      </c>
      <c r="AM364" t="s">
        <v>185</v>
      </c>
      <c r="AN364">
        <v>3.6</v>
      </c>
      <c r="AO364" t="s">
        <v>1665</v>
      </c>
      <c r="AP364" t="s">
        <v>1639</v>
      </c>
      <c r="AQ364" t="s">
        <v>1640</v>
      </c>
      <c r="AR364" t="s">
        <v>1641</v>
      </c>
      <c r="AS364">
        <v>1</v>
      </c>
      <c r="AT364">
        <v>0</v>
      </c>
      <c r="AU364">
        <v>0</v>
      </c>
      <c r="AV364">
        <v>1</v>
      </c>
      <c r="AW364">
        <v>0</v>
      </c>
      <c r="AX364">
        <v>1</v>
      </c>
      <c r="AY364" t="s">
        <v>1642</v>
      </c>
    </row>
    <row r="365" spans="1:51">
      <c r="A365" t="s">
        <v>747</v>
      </c>
      <c r="B365" t="s">
        <v>757</v>
      </c>
      <c r="C365" t="s">
        <v>81</v>
      </c>
      <c r="D365" t="s">
        <v>749</v>
      </c>
      <c r="E365" t="s">
        <v>750</v>
      </c>
      <c r="F365">
        <v>2.4</v>
      </c>
      <c r="G365" t="s">
        <v>185</v>
      </c>
      <c r="H365" t="s">
        <v>84</v>
      </c>
      <c r="I365" t="s">
        <v>85</v>
      </c>
      <c r="J365" t="s">
        <v>751</v>
      </c>
      <c r="K365" t="s">
        <v>452</v>
      </c>
      <c r="L365" t="s">
        <v>337</v>
      </c>
      <c r="M365" t="s">
        <v>482</v>
      </c>
      <c r="N365" s="7">
        <v>3357.5145391131045</v>
      </c>
      <c r="O365" s="7">
        <v>839.37863477827614</v>
      </c>
      <c r="P365" s="7">
        <v>3</v>
      </c>
      <c r="Q365" s="7">
        <v>3147.6698804185353</v>
      </c>
      <c r="R365" s="7">
        <v>839.37863477827614</v>
      </c>
      <c r="S365" s="7">
        <v>3</v>
      </c>
      <c r="T365" s="7">
        <v>1453.8464422237748</v>
      </c>
      <c r="U365" s="7">
        <v>1453.8464422237748</v>
      </c>
      <c r="V365" s="7">
        <v>-6.4538521137571289E-2</v>
      </c>
      <c r="W365" s="7">
        <v>0.1336111111111111</v>
      </c>
      <c r="X365" t="s">
        <v>752</v>
      </c>
      <c r="Y365" t="s">
        <v>753</v>
      </c>
      <c r="Z365" t="s">
        <v>515</v>
      </c>
      <c r="AA365" t="s">
        <v>758</v>
      </c>
      <c r="AB365" t="s">
        <v>92</v>
      </c>
      <c r="AC365" t="s">
        <v>747</v>
      </c>
      <c r="AD365" t="s">
        <v>747</v>
      </c>
      <c r="AE365" t="s">
        <v>1746</v>
      </c>
      <c r="AF365" t="s">
        <v>1747</v>
      </c>
      <c r="AG365" t="s">
        <v>1746</v>
      </c>
      <c r="AI365" t="s">
        <v>337</v>
      </c>
      <c r="AJ365" t="s">
        <v>1636</v>
      </c>
      <c r="AK365" t="s">
        <v>1637</v>
      </c>
      <c r="AL365" s="4">
        <v>2.4</v>
      </c>
      <c r="AM365" t="s">
        <v>185</v>
      </c>
      <c r="AN365">
        <v>2.4</v>
      </c>
      <c r="AO365" t="s">
        <v>1665</v>
      </c>
      <c r="AP365" t="s">
        <v>1639</v>
      </c>
      <c r="AQ365" t="s">
        <v>1640</v>
      </c>
      <c r="AR365" t="s">
        <v>1641</v>
      </c>
      <c r="AS365">
        <v>1</v>
      </c>
      <c r="AT365">
        <v>0</v>
      </c>
      <c r="AU365">
        <v>0</v>
      </c>
      <c r="AV365">
        <v>1</v>
      </c>
      <c r="AW365">
        <v>0</v>
      </c>
      <c r="AX365">
        <v>0</v>
      </c>
      <c r="AY365" t="s">
        <v>1642</v>
      </c>
    </row>
    <row r="366" spans="1:51">
      <c r="A366" t="s">
        <v>747</v>
      </c>
      <c r="B366" t="s">
        <v>759</v>
      </c>
      <c r="C366" t="s">
        <v>81</v>
      </c>
      <c r="D366" t="s">
        <v>749</v>
      </c>
      <c r="E366" t="s">
        <v>94</v>
      </c>
      <c r="F366">
        <v>4.5999999999999996</v>
      </c>
      <c r="G366" t="s">
        <v>185</v>
      </c>
      <c r="H366" t="s">
        <v>84</v>
      </c>
      <c r="I366" t="s">
        <v>85</v>
      </c>
      <c r="J366" t="s">
        <v>751</v>
      </c>
      <c r="K366" t="s">
        <v>452</v>
      </c>
      <c r="L366" t="s">
        <v>337</v>
      </c>
      <c r="M366" t="s">
        <v>482</v>
      </c>
      <c r="N366" s="7">
        <v>3357.5145391131045</v>
      </c>
      <c r="O366" s="7">
        <v>839.37863477827614</v>
      </c>
      <c r="P366" s="7">
        <v>3</v>
      </c>
      <c r="Q366" s="7">
        <v>2937.8252217239665</v>
      </c>
      <c r="R366" s="7">
        <v>839.37863477827614</v>
      </c>
      <c r="S366" s="7">
        <v>3</v>
      </c>
      <c r="T366" s="7">
        <v>1453.8464422237748</v>
      </c>
      <c r="U366" s="7">
        <v>1453.8464422237748</v>
      </c>
      <c r="V366" s="7">
        <v>-0.13353139262452263</v>
      </c>
      <c r="W366" s="7">
        <v>0.14413265306122447</v>
      </c>
      <c r="X366" t="s">
        <v>752</v>
      </c>
      <c r="Y366" t="s">
        <v>753</v>
      </c>
      <c r="Z366" t="s">
        <v>515</v>
      </c>
      <c r="AA366" t="s">
        <v>758</v>
      </c>
      <c r="AB366" t="s">
        <v>92</v>
      </c>
      <c r="AC366" t="s">
        <v>747</v>
      </c>
      <c r="AD366" t="s">
        <v>747</v>
      </c>
      <c r="AE366" t="s">
        <v>1746</v>
      </c>
      <c r="AF366" t="s">
        <v>1748</v>
      </c>
      <c r="AG366" t="s">
        <v>1746</v>
      </c>
      <c r="AI366" t="s">
        <v>337</v>
      </c>
      <c r="AJ366" t="s">
        <v>1636</v>
      </c>
      <c r="AK366" t="s">
        <v>1637</v>
      </c>
      <c r="AL366" s="4">
        <v>4.5999999999999996</v>
      </c>
      <c r="AM366" t="s">
        <v>185</v>
      </c>
      <c r="AN366">
        <v>4.5999999999999996</v>
      </c>
      <c r="AO366" t="s">
        <v>1665</v>
      </c>
      <c r="AP366" t="s">
        <v>1639</v>
      </c>
      <c r="AQ366" t="s">
        <v>1640</v>
      </c>
      <c r="AR366" t="s">
        <v>1641</v>
      </c>
      <c r="AS366">
        <v>1</v>
      </c>
      <c r="AT366">
        <v>0</v>
      </c>
      <c r="AU366">
        <v>0</v>
      </c>
      <c r="AV366">
        <v>1</v>
      </c>
      <c r="AW366">
        <v>0</v>
      </c>
      <c r="AX366">
        <v>0</v>
      </c>
      <c r="AY366" t="s">
        <v>1642</v>
      </c>
    </row>
    <row r="367" spans="1:51">
      <c r="A367" t="s">
        <v>747</v>
      </c>
      <c r="B367" t="s">
        <v>760</v>
      </c>
      <c r="C367" t="s">
        <v>81</v>
      </c>
      <c r="D367" t="s">
        <v>749</v>
      </c>
      <c r="E367" t="s">
        <v>560</v>
      </c>
      <c r="F367">
        <v>3.6</v>
      </c>
      <c r="G367" t="s">
        <v>185</v>
      </c>
      <c r="H367" t="s">
        <v>84</v>
      </c>
      <c r="I367" t="s">
        <v>85</v>
      </c>
      <c r="J367" t="s">
        <v>751</v>
      </c>
      <c r="K367" t="s">
        <v>452</v>
      </c>
      <c r="L367" t="s">
        <v>337</v>
      </c>
      <c r="M367" t="s">
        <v>482</v>
      </c>
      <c r="N367" s="7">
        <v>3357.5145391131045</v>
      </c>
      <c r="O367" s="7">
        <v>839.37863477827614</v>
      </c>
      <c r="P367" s="7">
        <v>3</v>
      </c>
      <c r="Q367" s="7">
        <v>39660.640493273546</v>
      </c>
      <c r="R367" s="7">
        <v>839.37863477827614</v>
      </c>
      <c r="S367" s="7">
        <v>3</v>
      </c>
      <c r="T367" s="7">
        <v>1453.8464422237748</v>
      </c>
      <c r="U367" s="7">
        <v>1453.8464422237748</v>
      </c>
      <c r="V367" s="7">
        <v>2.469158292819861</v>
      </c>
      <c r="W367" s="7">
        <v>6.2947915791831122E-2</v>
      </c>
      <c r="X367" t="s">
        <v>752</v>
      </c>
      <c r="Y367" t="s">
        <v>753</v>
      </c>
      <c r="Z367" t="s">
        <v>515</v>
      </c>
      <c r="AA367" t="s">
        <v>758</v>
      </c>
      <c r="AB367" t="s">
        <v>92</v>
      </c>
      <c r="AC367" t="s">
        <v>747</v>
      </c>
      <c r="AD367" t="s">
        <v>747</v>
      </c>
      <c r="AE367" t="s">
        <v>1746</v>
      </c>
      <c r="AF367" t="s">
        <v>1749</v>
      </c>
      <c r="AG367" t="s">
        <v>1746</v>
      </c>
      <c r="AI367" t="s">
        <v>337</v>
      </c>
      <c r="AJ367" t="s">
        <v>1636</v>
      </c>
      <c r="AK367" t="s">
        <v>1637</v>
      </c>
      <c r="AL367" s="4">
        <v>3.6</v>
      </c>
      <c r="AM367" t="s">
        <v>185</v>
      </c>
      <c r="AN367">
        <v>3.6</v>
      </c>
      <c r="AO367" t="s">
        <v>1665</v>
      </c>
      <c r="AP367" t="s">
        <v>1639</v>
      </c>
      <c r="AQ367" t="s">
        <v>1640</v>
      </c>
      <c r="AR367" t="s">
        <v>1641</v>
      </c>
      <c r="AS367">
        <v>1</v>
      </c>
      <c r="AT367">
        <v>0</v>
      </c>
      <c r="AU367">
        <v>0</v>
      </c>
      <c r="AV367">
        <v>1</v>
      </c>
      <c r="AW367">
        <v>0</v>
      </c>
      <c r="AX367">
        <v>1</v>
      </c>
      <c r="AY367" t="s">
        <v>1642</v>
      </c>
    </row>
    <row r="368" spans="1:51">
      <c r="A368" t="s">
        <v>747</v>
      </c>
      <c r="B368" t="s">
        <v>761</v>
      </c>
      <c r="C368" t="s">
        <v>81</v>
      </c>
      <c r="D368" t="s">
        <v>749</v>
      </c>
      <c r="E368" t="s">
        <v>750</v>
      </c>
      <c r="F368">
        <v>2.4</v>
      </c>
      <c r="G368" t="s">
        <v>185</v>
      </c>
      <c r="H368" t="s">
        <v>84</v>
      </c>
      <c r="I368" t="s">
        <v>85</v>
      </c>
      <c r="J368" t="s">
        <v>751</v>
      </c>
      <c r="K368" t="s">
        <v>29</v>
      </c>
      <c r="L368" t="s">
        <v>337</v>
      </c>
      <c r="M368" t="s">
        <v>482</v>
      </c>
      <c r="N368" s="7">
        <v>2937.8252217239665</v>
      </c>
      <c r="O368" s="7">
        <v>839.37863477827614</v>
      </c>
      <c r="P368" s="7">
        <v>3</v>
      </c>
      <c r="Q368" s="7">
        <v>3147.6698804185353</v>
      </c>
      <c r="R368" s="7">
        <v>839.37863477827614</v>
      </c>
      <c r="S368" s="7">
        <v>3</v>
      </c>
      <c r="T368" s="7">
        <v>1453.8464422237748</v>
      </c>
      <c r="U368" s="7">
        <v>1453.8464422237748</v>
      </c>
      <c r="V368" s="7">
        <v>6.8992871486951421E-2</v>
      </c>
      <c r="W368" s="7">
        <v>0.15274376417233559</v>
      </c>
      <c r="X368" t="s">
        <v>752</v>
      </c>
      <c r="Y368" t="s">
        <v>753</v>
      </c>
      <c r="Z368" t="s">
        <v>515</v>
      </c>
      <c r="AA368" t="s">
        <v>762</v>
      </c>
      <c r="AB368" t="s">
        <v>92</v>
      </c>
      <c r="AC368" t="s">
        <v>747</v>
      </c>
      <c r="AD368" t="s">
        <v>747</v>
      </c>
      <c r="AE368" t="s">
        <v>1746</v>
      </c>
      <c r="AF368" t="s">
        <v>1747</v>
      </c>
      <c r="AG368" t="s">
        <v>1746</v>
      </c>
      <c r="AI368" t="s">
        <v>337</v>
      </c>
      <c r="AJ368" t="s">
        <v>1636</v>
      </c>
      <c r="AK368" t="s">
        <v>1637</v>
      </c>
      <c r="AL368" s="4">
        <v>2.4</v>
      </c>
      <c r="AM368" t="s">
        <v>185</v>
      </c>
      <c r="AN368">
        <v>2.4</v>
      </c>
      <c r="AO368" t="s">
        <v>1665</v>
      </c>
      <c r="AP368" t="s">
        <v>1639</v>
      </c>
      <c r="AQ368" t="s">
        <v>1640</v>
      </c>
      <c r="AR368" t="s">
        <v>1641</v>
      </c>
      <c r="AS368">
        <v>1</v>
      </c>
      <c r="AT368">
        <v>0</v>
      </c>
      <c r="AU368">
        <v>0</v>
      </c>
      <c r="AV368">
        <v>1</v>
      </c>
      <c r="AW368">
        <v>0</v>
      </c>
      <c r="AX368">
        <v>0</v>
      </c>
      <c r="AY368" t="s">
        <v>1642</v>
      </c>
    </row>
    <row r="369" spans="1:51">
      <c r="A369" t="s">
        <v>747</v>
      </c>
      <c r="B369" t="s">
        <v>763</v>
      </c>
      <c r="C369" t="s">
        <v>81</v>
      </c>
      <c r="D369" t="s">
        <v>749</v>
      </c>
      <c r="E369" t="s">
        <v>94</v>
      </c>
      <c r="F369">
        <v>4.5999999999999996</v>
      </c>
      <c r="G369" t="s">
        <v>185</v>
      </c>
      <c r="H369" t="s">
        <v>84</v>
      </c>
      <c r="I369" t="s">
        <v>85</v>
      </c>
      <c r="J369" t="s">
        <v>751</v>
      </c>
      <c r="K369" t="s">
        <v>29</v>
      </c>
      <c r="L369" t="s">
        <v>337</v>
      </c>
      <c r="M369" t="s">
        <v>482</v>
      </c>
      <c r="N369" s="7">
        <v>2937.8252217239665</v>
      </c>
      <c r="O369" s="7">
        <v>839.37863477827614</v>
      </c>
      <c r="P369" s="7">
        <v>3</v>
      </c>
      <c r="Q369" s="7">
        <v>2937.8252217239665</v>
      </c>
      <c r="R369" s="7">
        <v>839.37863477827614</v>
      </c>
      <c r="S369" s="7">
        <v>3</v>
      </c>
      <c r="T369" s="7">
        <v>1453.8464422237748</v>
      </c>
      <c r="U369" s="7">
        <v>1453.8464422237748</v>
      </c>
      <c r="V369" s="7">
        <v>0</v>
      </c>
      <c r="W369" s="7">
        <v>0.16326530612244897</v>
      </c>
      <c r="X369" t="s">
        <v>752</v>
      </c>
      <c r="Y369" t="s">
        <v>753</v>
      </c>
      <c r="Z369" t="s">
        <v>515</v>
      </c>
      <c r="AA369" t="s">
        <v>762</v>
      </c>
      <c r="AB369" t="s">
        <v>92</v>
      </c>
      <c r="AC369" t="s">
        <v>747</v>
      </c>
      <c r="AD369" t="s">
        <v>747</v>
      </c>
      <c r="AE369" t="s">
        <v>1746</v>
      </c>
      <c r="AF369" t="s">
        <v>1748</v>
      </c>
      <c r="AG369" t="s">
        <v>1746</v>
      </c>
      <c r="AI369" t="s">
        <v>337</v>
      </c>
      <c r="AJ369" t="s">
        <v>1636</v>
      </c>
      <c r="AK369" t="s">
        <v>1637</v>
      </c>
      <c r="AL369" s="4">
        <v>4.5999999999999996</v>
      </c>
      <c r="AM369" t="s">
        <v>185</v>
      </c>
      <c r="AN369">
        <v>4.5999999999999996</v>
      </c>
      <c r="AO369" t="s">
        <v>1665</v>
      </c>
      <c r="AP369" t="s">
        <v>1639</v>
      </c>
      <c r="AQ369" t="s">
        <v>1640</v>
      </c>
      <c r="AR369" t="s">
        <v>1641</v>
      </c>
      <c r="AS369">
        <v>1</v>
      </c>
      <c r="AT369">
        <v>0</v>
      </c>
      <c r="AU369">
        <v>0</v>
      </c>
      <c r="AV369">
        <v>1</v>
      </c>
      <c r="AW369">
        <v>0</v>
      </c>
      <c r="AX369">
        <v>0</v>
      </c>
      <c r="AY369" t="s">
        <v>1642</v>
      </c>
    </row>
    <row r="370" spans="1:51">
      <c r="A370" t="s">
        <v>747</v>
      </c>
      <c r="B370" t="s">
        <v>764</v>
      </c>
      <c r="C370" t="s">
        <v>81</v>
      </c>
      <c r="D370" t="s">
        <v>749</v>
      </c>
      <c r="E370" t="s">
        <v>560</v>
      </c>
      <c r="F370">
        <v>3.6</v>
      </c>
      <c r="G370" t="s">
        <v>185</v>
      </c>
      <c r="H370" t="s">
        <v>84</v>
      </c>
      <c r="I370" t="s">
        <v>85</v>
      </c>
      <c r="J370" t="s">
        <v>751</v>
      </c>
      <c r="K370" t="s">
        <v>29</v>
      </c>
      <c r="L370" t="s">
        <v>337</v>
      </c>
      <c r="M370" t="s">
        <v>482</v>
      </c>
      <c r="N370" s="7">
        <v>2937.8252217239665</v>
      </c>
      <c r="O370" s="7">
        <v>839.37863477827614</v>
      </c>
      <c r="P370" s="7">
        <v>3</v>
      </c>
      <c r="Q370" s="7">
        <v>39240.951175884409</v>
      </c>
      <c r="R370" s="7">
        <v>839.37863477827614</v>
      </c>
      <c r="S370" s="7">
        <v>3</v>
      </c>
      <c r="T370" s="7">
        <v>1453.8464422237748</v>
      </c>
      <c r="U370" s="7">
        <v>1453.8464422237748</v>
      </c>
      <c r="V370" s="7">
        <v>2.592051287239328</v>
      </c>
      <c r="W370" s="7">
        <v>8.2090201175268357E-2</v>
      </c>
      <c r="X370" t="s">
        <v>752</v>
      </c>
      <c r="Y370" t="s">
        <v>753</v>
      </c>
      <c r="Z370" t="s">
        <v>515</v>
      </c>
      <c r="AA370" t="s">
        <v>762</v>
      </c>
      <c r="AB370" t="s">
        <v>92</v>
      </c>
      <c r="AC370" t="s">
        <v>747</v>
      </c>
      <c r="AD370" t="s">
        <v>747</v>
      </c>
      <c r="AE370" t="s">
        <v>1746</v>
      </c>
      <c r="AF370" t="s">
        <v>1749</v>
      </c>
      <c r="AG370" t="s">
        <v>1746</v>
      </c>
      <c r="AI370" t="s">
        <v>337</v>
      </c>
      <c r="AJ370" t="s">
        <v>1636</v>
      </c>
      <c r="AK370" t="s">
        <v>1637</v>
      </c>
      <c r="AL370" s="4">
        <v>3.6</v>
      </c>
      <c r="AM370" t="s">
        <v>185</v>
      </c>
      <c r="AN370">
        <v>3.6</v>
      </c>
      <c r="AO370" t="s">
        <v>1665</v>
      </c>
      <c r="AP370" t="s">
        <v>1639</v>
      </c>
      <c r="AQ370" t="s">
        <v>1640</v>
      </c>
      <c r="AR370" t="s">
        <v>1641</v>
      </c>
      <c r="AS370">
        <v>1</v>
      </c>
      <c r="AT370">
        <v>0</v>
      </c>
      <c r="AU370">
        <v>0</v>
      </c>
      <c r="AV370">
        <v>1</v>
      </c>
      <c r="AW370">
        <v>0</v>
      </c>
      <c r="AX370">
        <v>1</v>
      </c>
      <c r="AY370" t="s">
        <v>1642</v>
      </c>
    </row>
    <row r="371" spans="1:51">
      <c r="A371" t="s">
        <v>747</v>
      </c>
      <c r="B371" t="s">
        <v>765</v>
      </c>
      <c r="C371" t="s">
        <v>81</v>
      </c>
      <c r="D371" t="s">
        <v>749</v>
      </c>
      <c r="E371" t="s">
        <v>750</v>
      </c>
      <c r="F371">
        <v>2.4</v>
      </c>
      <c r="G371" t="s">
        <v>185</v>
      </c>
      <c r="H371" t="s">
        <v>84</v>
      </c>
      <c r="I371" t="s">
        <v>85</v>
      </c>
      <c r="J371" t="s">
        <v>751</v>
      </c>
      <c r="K371" t="s">
        <v>149</v>
      </c>
      <c r="L371" t="s">
        <v>30</v>
      </c>
      <c r="M371" t="s">
        <v>482</v>
      </c>
      <c r="N371" s="7">
        <v>3762.3873239872883</v>
      </c>
      <c r="O371" s="7">
        <v>752.47746479745774</v>
      </c>
      <c r="P371" s="7">
        <v>3</v>
      </c>
      <c r="Q371" s="7">
        <v>5768.9938967805092</v>
      </c>
      <c r="R371" s="7">
        <v>752.47746479745774</v>
      </c>
      <c r="S371" s="7">
        <v>3</v>
      </c>
      <c r="T371" s="7">
        <v>1303.329200579818</v>
      </c>
      <c r="U371" s="7">
        <v>1303.329200579818</v>
      </c>
      <c r="V371" s="7">
        <v>0.42744401482693967</v>
      </c>
      <c r="W371" s="7">
        <v>5.7013232514177697E-2</v>
      </c>
      <c r="X371" t="s">
        <v>752</v>
      </c>
      <c r="Y371" t="s">
        <v>753</v>
      </c>
      <c r="Z371" t="s">
        <v>515</v>
      </c>
      <c r="AA371" t="s">
        <v>766</v>
      </c>
      <c r="AB371" t="s">
        <v>92</v>
      </c>
      <c r="AC371" t="s">
        <v>747</v>
      </c>
      <c r="AD371" t="s">
        <v>747</v>
      </c>
      <c r="AE371" t="s">
        <v>1746</v>
      </c>
      <c r="AF371" t="s">
        <v>1747</v>
      </c>
      <c r="AG371" t="s">
        <v>1746</v>
      </c>
      <c r="AI371" t="s">
        <v>30</v>
      </c>
      <c r="AJ371" t="s">
        <v>1636</v>
      </c>
      <c r="AK371" t="s">
        <v>1637</v>
      </c>
      <c r="AL371" s="4">
        <v>2.4</v>
      </c>
      <c r="AM371" t="s">
        <v>185</v>
      </c>
      <c r="AN371">
        <v>2.4</v>
      </c>
      <c r="AO371" t="s">
        <v>1665</v>
      </c>
      <c r="AP371" t="s">
        <v>1639</v>
      </c>
      <c r="AQ371" t="s">
        <v>1640</v>
      </c>
      <c r="AR371" t="s">
        <v>1641</v>
      </c>
      <c r="AS371">
        <v>1</v>
      </c>
      <c r="AT371">
        <v>0</v>
      </c>
      <c r="AU371">
        <v>0</v>
      </c>
      <c r="AV371">
        <v>1</v>
      </c>
      <c r="AW371">
        <v>0</v>
      </c>
      <c r="AX371">
        <v>0</v>
      </c>
      <c r="AY371" t="s">
        <v>1642</v>
      </c>
    </row>
    <row r="372" spans="1:51">
      <c r="A372" t="s">
        <v>747</v>
      </c>
      <c r="B372" t="s">
        <v>767</v>
      </c>
      <c r="C372" t="s">
        <v>81</v>
      </c>
      <c r="D372" t="s">
        <v>749</v>
      </c>
      <c r="E372" t="s">
        <v>94</v>
      </c>
      <c r="F372">
        <v>4.5999999999999996</v>
      </c>
      <c r="G372" t="s">
        <v>185</v>
      </c>
      <c r="H372" t="s">
        <v>84</v>
      </c>
      <c r="I372" t="s">
        <v>85</v>
      </c>
      <c r="J372" t="s">
        <v>751</v>
      </c>
      <c r="K372" t="s">
        <v>149</v>
      </c>
      <c r="L372" t="s">
        <v>30</v>
      </c>
      <c r="M372" t="s">
        <v>482</v>
      </c>
      <c r="N372" s="7">
        <v>3762.3873239872883</v>
      </c>
      <c r="O372" s="7">
        <v>752.47746479745774</v>
      </c>
      <c r="P372" s="7">
        <v>3</v>
      </c>
      <c r="Q372" s="7">
        <v>8026.426291172882</v>
      </c>
      <c r="R372" s="7">
        <v>752.47746479745774</v>
      </c>
      <c r="S372" s="7">
        <v>3</v>
      </c>
      <c r="T372" s="7">
        <v>1303.329200579818</v>
      </c>
      <c r="U372" s="7">
        <v>1303.329200579818</v>
      </c>
      <c r="V372" s="7">
        <v>0.75768570169751648</v>
      </c>
      <c r="W372" s="7">
        <v>4.8789062500000008E-2</v>
      </c>
      <c r="X372" t="s">
        <v>752</v>
      </c>
      <c r="Y372" t="s">
        <v>753</v>
      </c>
      <c r="Z372" t="s">
        <v>515</v>
      </c>
      <c r="AA372" t="s">
        <v>766</v>
      </c>
      <c r="AB372" t="s">
        <v>92</v>
      </c>
      <c r="AC372" t="s">
        <v>747</v>
      </c>
      <c r="AD372" t="s">
        <v>747</v>
      </c>
      <c r="AE372" t="s">
        <v>1746</v>
      </c>
      <c r="AF372" t="s">
        <v>1748</v>
      </c>
      <c r="AG372" t="s">
        <v>1746</v>
      </c>
      <c r="AI372" t="s">
        <v>30</v>
      </c>
      <c r="AJ372" t="s">
        <v>1636</v>
      </c>
      <c r="AK372" t="s">
        <v>1637</v>
      </c>
      <c r="AL372" s="4">
        <v>4.5999999999999996</v>
      </c>
      <c r="AM372" t="s">
        <v>185</v>
      </c>
      <c r="AN372">
        <v>4.5999999999999996</v>
      </c>
      <c r="AO372" t="s">
        <v>1665</v>
      </c>
      <c r="AP372" t="s">
        <v>1639</v>
      </c>
      <c r="AQ372" t="s">
        <v>1640</v>
      </c>
      <c r="AR372" t="s">
        <v>1641</v>
      </c>
      <c r="AS372">
        <v>1</v>
      </c>
      <c r="AT372">
        <v>0</v>
      </c>
      <c r="AU372">
        <v>0</v>
      </c>
      <c r="AV372">
        <v>1</v>
      </c>
      <c r="AW372">
        <v>0</v>
      </c>
      <c r="AX372">
        <v>0</v>
      </c>
      <c r="AY372" t="s">
        <v>1642</v>
      </c>
    </row>
    <row r="373" spans="1:51">
      <c r="A373" t="s">
        <v>747</v>
      </c>
      <c r="B373" t="s">
        <v>768</v>
      </c>
      <c r="C373" t="s">
        <v>81</v>
      </c>
      <c r="D373" t="s">
        <v>749</v>
      </c>
      <c r="E373" t="s">
        <v>560</v>
      </c>
      <c r="F373">
        <v>3.6</v>
      </c>
      <c r="G373" t="s">
        <v>185</v>
      </c>
      <c r="H373" t="s">
        <v>84</v>
      </c>
      <c r="I373" t="s">
        <v>85</v>
      </c>
      <c r="J373" t="s">
        <v>751</v>
      </c>
      <c r="K373" t="s">
        <v>149</v>
      </c>
      <c r="L373" t="s">
        <v>30</v>
      </c>
      <c r="M373" t="s">
        <v>482</v>
      </c>
      <c r="N373" s="7">
        <v>3762.3873239872883</v>
      </c>
      <c r="O373" s="7">
        <v>752.47746479745774</v>
      </c>
      <c r="P373" s="7">
        <v>3</v>
      </c>
      <c r="Q373" s="7">
        <v>52924.248357421187</v>
      </c>
      <c r="R373" s="7">
        <v>752.47746479745774</v>
      </c>
      <c r="S373" s="7">
        <v>3</v>
      </c>
      <c r="T373" s="7">
        <v>1303.329200579818</v>
      </c>
      <c r="U373" s="7">
        <v>1303.329200579818</v>
      </c>
      <c r="V373" s="7">
        <v>2.6438079323738566</v>
      </c>
      <c r="W373" s="7">
        <v>4.0202151793535645E-2</v>
      </c>
      <c r="X373" t="s">
        <v>752</v>
      </c>
      <c r="Y373" t="s">
        <v>753</v>
      </c>
      <c r="Z373" t="s">
        <v>515</v>
      </c>
      <c r="AA373" t="s">
        <v>766</v>
      </c>
      <c r="AB373" t="s">
        <v>92</v>
      </c>
      <c r="AC373" t="s">
        <v>747</v>
      </c>
      <c r="AD373" t="s">
        <v>747</v>
      </c>
      <c r="AE373" t="s">
        <v>1746</v>
      </c>
      <c r="AF373" t="s">
        <v>1749</v>
      </c>
      <c r="AG373" t="s">
        <v>1746</v>
      </c>
      <c r="AI373" t="s">
        <v>30</v>
      </c>
      <c r="AJ373" t="s">
        <v>1636</v>
      </c>
      <c r="AK373" t="s">
        <v>1637</v>
      </c>
      <c r="AL373" s="4">
        <v>3.6</v>
      </c>
      <c r="AM373" t="s">
        <v>185</v>
      </c>
      <c r="AN373">
        <v>3.6</v>
      </c>
      <c r="AO373" t="s">
        <v>1665</v>
      </c>
      <c r="AP373" t="s">
        <v>1639</v>
      </c>
      <c r="AQ373" t="s">
        <v>1640</v>
      </c>
      <c r="AR373" t="s">
        <v>1641</v>
      </c>
      <c r="AS373">
        <v>1</v>
      </c>
      <c r="AT373">
        <v>0</v>
      </c>
      <c r="AU373">
        <v>0</v>
      </c>
      <c r="AV373">
        <v>1</v>
      </c>
      <c r="AW373">
        <v>0</v>
      </c>
      <c r="AX373">
        <v>1</v>
      </c>
      <c r="AY373" t="s">
        <v>1642</v>
      </c>
    </row>
    <row r="374" spans="1:51">
      <c r="A374" t="s">
        <v>747</v>
      </c>
      <c r="B374" t="s">
        <v>769</v>
      </c>
      <c r="C374" t="s">
        <v>81</v>
      </c>
      <c r="D374" t="s">
        <v>749</v>
      </c>
      <c r="E374" t="s">
        <v>750</v>
      </c>
      <c r="F374">
        <v>2.4</v>
      </c>
      <c r="G374" t="s">
        <v>185</v>
      </c>
      <c r="H374" t="s">
        <v>84</v>
      </c>
      <c r="I374" t="s">
        <v>85</v>
      </c>
      <c r="J374" t="s">
        <v>751</v>
      </c>
      <c r="K374" t="s">
        <v>452</v>
      </c>
      <c r="L374" t="s">
        <v>30</v>
      </c>
      <c r="M374" t="s">
        <v>482</v>
      </c>
      <c r="N374" s="7">
        <v>3260.7356807889832</v>
      </c>
      <c r="O374" s="7">
        <v>752.47746479745774</v>
      </c>
      <c r="P374" s="7">
        <v>3</v>
      </c>
      <c r="Q374" s="7">
        <v>7775.6004695737292</v>
      </c>
      <c r="R374" s="7">
        <v>752.47746479745774</v>
      </c>
      <c r="S374" s="7">
        <v>3</v>
      </c>
      <c r="T374" s="7">
        <v>1303.329200579818</v>
      </c>
      <c r="U374" s="7">
        <v>1303.329200579818</v>
      </c>
      <c r="V374" s="7">
        <v>0.86903784702360953</v>
      </c>
      <c r="W374" s="7">
        <v>6.2619682406763175E-2</v>
      </c>
      <c r="X374" t="s">
        <v>752</v>
      </c>
      <c r="Y374" t="s">
        <v>753</v>
      </c>
      <c r="Z374" t="s">
        <v>515</v>
      </c>
      <c r="AA374" t="s">
        <v>770</v>
      </c>
      <c r="AB374" t="s">
        <v>92</v>
      </c>
      <c r="AC374" t="s">
        <v>747</v>
      </c>
      <c r="AD374" t="s">
        <v>747</v>
      </c>
      <c r="AE374" t="s">
        <v>1746</v>
      </c>
      <c r="AF374" t="s">
        <v>1747</v>
      </c>
      <c r="AG374" t="s">
        <v>1746</v>
      </c>
      <c r="AI374" t="s">
        <v>30</v>
      </c>
      <c r="AJ374" t="s">
        <v>1636</v>
      </c>
      <c r="AK374" t="s">
        <v>1637</v>
      </c>
      <c r="AL374" s="4">
        <v>2.4</v>
      </c>
      <c r="AM374" t="s">
        <v>185</v>
      </c>
      <c r="AN374">
        <v>2.4</v>
      </c>
      <c r="AO374" t="s">
        <v>1665</v>
      </c>
      <c r="AP374" t="s">
        <v>1639</v>
      </c>
      <c r="AQ374" t="s">
        <v>1640</v>
      </c>
      <c r="AR374" t="s">
        <v>1641</v>
      </c>
      <c r="AS374">
        <v>1</v>
      </c>
      <c r="AT374">
        <v>0</v>
      </c>
      <c r="AU374">
        <v>0</v>
      </c>
      <c r="AV374">
        <v>1</v>
      </c>
      <c r="AW374">
        <v>0</v>
      </c>
      <c r="AX374">
        <v>0</v>
      </c>
      <c r="AY374" t="s">
        <v>1642</v>
      </c>
    </row>
    <row r="375" spans="1:51">
      <c r="A375" t="s">
        <v>747</v>
      </c>
      <c r="B375" t="s">
        <v>771</v>
      </c>
      <c r="C375" t="s">
        <v>81</v>
      </c>
      <c r="D375" t="s">
        <v>749</v>
      </c>
      <c r="E375" t="s">
        <v>94</v>
      </c>
      <c r="F375">
        <v>4.5999999999999996</v>
      </c>
      <c r="G375" t="s">
        <v>185</v>
      </c>
      <c r="H375" t="s">
        <v>84</v>
      </c>
      <c r="I375" t="s">
        <v>85</v>
      </c>
      <c r="J375" t="s">
        <v>751</v>
      </c>
      <c r="K375" t="s">
        <v>452</v>
      </c>
      <c r="L375" t="s">
        <v>30</v>
      </c>
      <c r="M375" t="s">
        <v>482</v>
      </c>
      <c r="N375" s="7">
        <v>3260.7356807889832</v>
      </c>
      <c r="O375" s="7">
        <v>752.47746479745774</v>
      </c>
      <c r="P375" s="7">
        <v>3</v>
      </c>
      <c r="Q375" s="7">
        <v>5267.3422535822037</v>
      </c>
      <c r="R375" s="7">
        <v>752.47746479745774</v>
      </c>
      <c r="S375" s="7">
        <v>3</v>
      </c>
      <c r="T375" s="7">
        <v>1303.329200579818</v>
      </c>
      <c r="U375" s="7">
        <v>1303.329200579818</v>
      </c>
      <c r="V375" s="7">
        <v>0.47957308026188628</v>
      </c>
      <c r="W375" s="7">
        <v>7.3662601135128611E-2</v>
      </c>
      <c r="X375" t="s">
        <v>752</v>
      </c>
      <c r="Y375" t="s">
        <v>753</v>
      </c>
      <c r="Z375" t="s">
        <v>515</v>
      </c>
      <c r="AA375" t="s">
        <v>770</v>
      </c>
      <c r="AB375" t="s">
        <v>92</v>
      </c>
      <c r="AC375" t="s">
        <v>747</v>
      </c>
      <c r="AD375" t="s">
        <v>747</v>
      </c>
      <c r="AE375" t="s">
        <v>1746</v>
      </c>
      <c r="AF375" t="s">
        <v>1748</v>
      </c>
      <c r="AG375" t="s">
        <v>1746</v>
      </c>
      <c r="AI375" t="s">
        <v>30</v>
      </c>
      <c r="AJ375" t="s">
        <v>1636</v>
      </c>
      <c r="AK375" t="s">
        <v>1637</v>
      </c>
      <c r="AL375" s="4">
        <v>4.5999999999999996</v>
      </c>
      <c r="AM375" t="s">
        <v>185</v>
      </c>
      <c r="AN375">
        <v>4.5999999999999996</v>
      </c>
      <c r="AO375" t="s">
        <v>1665</v>
      </c>
      <c r="AP375" t="s">
        <v>1639</v>
      </c>
      <c r="AQ375" t="s">
        <v>1640</v>
      </c>
      <c r="AR375" t="s">
        <v>1641</v>
      </c>
      <c r="AS375">
        <v>1</v>
      </c>
      <c r="AT375">
        <v>0</v>
      </c>
      <c r="AU375">
        <v>0</v>
      </c>
      <c r="AV375">
        <v>1</v>
      </c>
      <c r="AW375">
        <v>0</v>
      </c>
      <c r="AX375">
        <v>0</v>
      </c>
      <c r="AY375" t="s">
        <v>1642</v>
      </c>
    </row>
    <row r="376" spans="1:51">
      <c r="A376" t="s">
        <v>747</v>
      </c>
      <c r="B376" t="s">
        <v>772</v>
      </c>
      <c r="C376" t="s">
        <v>81</v>
      </c>
      <c r="D376" t="s">
        <v>749</v>
      </c>
      <c r="E376" t="s">
        <v>560</v>
      </c>
      <c r="F376">
        <v>3.6</v>
      </c>
      <c r="G376" t="s">
        <v>185</v>
      </c>
      <c r="H376" t="s">
        <v>84</v>
      </c>
      <c r="I376" t="s">
        <v>85</v>
      </c>
      <c r="J376" t="s">
        <v>751</v>
      </c>
      <c r="K376" t="s">
        <v>452</v>
      </c>
      <c r="L376" t="s">
        <v>30</v>
      </c>
      <c r="M376" t="s">
        <v>482</v>
      </c>
      <c r="N376" s="7">
        <v>3260.7356807889832</v>
      </c>
      <c r="O376" s="7">
        <v>752.47746479745774</v>
      </c>
      <c r="P376" s="7">
        <v>3</v>
      </c>
      <c r="Q376" s="7">
        <v>37874.699061472034</v>
      </c>
      <c r="R376" s="7">
        <v>752.47746479745774</v>
      </c>
      <c r="S376" s="7">
        <v>3</v>
      </c>
      <c r="T376" s="7">
        <v>1303.329200579818</v>
      </c>
      <c r="U376" s="7">
        <v>1303.329200579818</v>
      </c>
      <c r="V376" s="7">
        <v>2.4523304793533875</v>
      </c>
      <c r="W376" s="7">
        <v>5.364915739966767E-2</v>
      </c>
      <c r="X376" t="s">
        <v>752</v>
      </c>
      <c r="Y376" t="s">
        <v>753</v>
      </c>
      <c r="Z376" t="s">
        <v>515</v>
      </c>
      <c r="AA376" t="s">
        <v>770</v>
      </c>
      <c r="AB376" t="s">
        <v>92</v>
      </c>
      <c r="AC376" t="s">
        <v>747</v>
      </c>
      <c r="AD376" t="s">
        <v>747</v>
      </c>
      <c r="AE376" t="s">
        <v>1746</v>
      </c>
      <c r="AF376" t="s">
        <v>1749</v>
      </c>
      <c r="AG376" t="s">
        <v>1746</v>
      </c>
      <c r="AI376" t="s">
        <v>30</v>
      </c>
      <c r="AJ376" t="s">
        <v>1636</v>
      </c>
      <c r="AK376" t="s">
        <v>1637</v>
      </c>
      <c r="AL376" s="4">
        <v>3.6</v>
      </c>
      <c r="AM376" t="s">
        <v>185</v>
      </c>
      <c r="AN376">
        <v>3.6</v>
      </c>
      <c r="AO376" t="s">
        <v>1665</v>
      </c>
      <c r="AP376" t="s">
        <v>1639</v>
      </c>
      <c r="AQ376" t="s">
        <v>1640</v>
      </c>
      <c r="AR376" t="s">
        <v>1641</v>
      </c>
      <c r="AS376">
        <v>1</v>
      </c>
      <c r="AT376">
        <v>0</v>
      </c>
      <c r="AU376">
        <v>0</v>
      </c>
      <c r="AV376">
        <v>1</v>
      </c>
      <c r="AW376">
        <v>0</v>
      </c>
      <c r="AX376">
        <v>1</v>
      </c>
      <c r="AY376" t="s">
        <v>1642</v>
      </c>
    </row>
    <row r="377" spans="1:51">
      <c r="A377" t="s">
        <v>747</v>
      </c>
      <c r="B377" t="s">
        <v>773</v>
      </c>
      <c r="C377" t="s">
        <v>81</v>
      </c>
      <c r="D377" t="s">
        <v>749</v>
      </c>
      <c r="E377" t="s">
        <v>750</v>
      </c>
      <c r="F377">
        <v>2.4</v>
      </c>
      <c r="G377" t="s">
        <v>185</v>
      </c>
      <c r="H377" t="s">
        <v>84</v>
      </c>
      <c r="I377" t="s">
        <v>85</v>
      </c>
      <c r="J377" t="s">
        <v>751</v>
      </c>
      <c r="K377" t="s">
        <v>29</v>
      </c>
      <c r="L377" t="s">
        <v>30</v>
      </c>
      <c r="M377" t="s">
        <v>482</v>
      </c>
      <c r="N377" s="7">
        <v>3260.7356807889832</v>
      </c>
      <c r="O377" s="7">
        <v>752.47746479745774</v>
      </c>
      <c r="P377" s="7">
        <v>3</v>
      </c>
      <c r="Q377" s="7">
        <v>7023.123004776272</v>
      </c>
      <c r="R377" s="7">
        <v>752.47746479745774</v>
      </c>
      <c r="S377" s="7">
        <v>3</v>
      </c>
      <c r="T377" s="7">
        <v>1303.329200579818</v>
      </c>
      <c r="U377" s="7">
        <v>1303.329200579818</v>
      </c>
      <c r="V377" s="7">
        <v>0.76725515271366718</v>
      </c>
      <c r="W377" s="7">
        <v>6.4734029706557172E-2</v>
      </c>
      <c r="X377" t="s">
        <v>752</v>
      </c>
      <c r="Y377" t="s">
        <v>753</v>
      </c>
      <c r="Z377" t="s">
        <v>515</v>
      </c>
      <c r="AA377" t="s">
        <v>774</v>
      </c>
      <c r="AB377" t="s">
        <v>92</v>
      </c>
      <c r="AC377" t="s">
        <v>747</v>
      </c>
      <c r="AD377" t="s">
        <v>747</v>
      </c>
      <c r="AE377" t="s">
        <v>1746</v>
      </c>
      <c r="AF377" t="s">
        <v>1747</v>
      </c>
      <c r="AG377" t="s">
        <v>1746</v>
      </c>
      <c r="AI377" t="s">
        <v>30</v>
      </c>
      <c r="AJ377" t="s">
        <v>1636</v>
      </c>
      <c r="AK377" t="s">
        <v>1637</v>
      </c>
      <c r="AL377" s="4">
        <v>2.4</v>
      </c>
      <c r="AM377" t="s">
        <v>185</v>
      </c>
      <c r="AN377">
        <v>2.4</v>
      </c>
      <c r="AO377" t="s">
        <v>1665</v>
      </c>
      <c r="AP377" t="s">
        <v>1639</v>
      </c>
      <c r="AQ377" t="s">
        <v>1640</v>
      </c>
      <c r="AR377" t="s">
        <v>1641</v>
      </c>
      <c r="AS377">
        <v>1</v>
      </c>
      <c r="AT377">
        <v>0</v>
      </c>
      <c r="AU377">
        <v>0</v>
      </c>
      <c r="AV377">
        <v>1</v>
      </c>
      <c r="AW377">
        <v>0</v>
      </c>
      <c r="AX377">
        <v>0</v>
      </c>
      <c r="AY377" t="s">
        <v>1642</v>
      </c>
    </row>
    <row r="378" spans="1:51">
      <c r="A378" t="s">
        <v>747</v>
      </c>
      <c r="B378" t="s">
        <v>775</v>
      </c>
      <c r="C378" t="s">
        <v>81</v>
      </c>
      <c r="D378" t="s">
        <v>749</v>
      </c>
      <c r="E378" t="s">
        <v>94</v>
      </c>
      <c r="F378">
        <v>4.5999999999999996</v>
      </c>
      <c r="G378" t="s">
        <v>185</v>
      </c>
      <c r="H378" t="s">
        <v>84</v>
      </c>
      <c r="I378" t="s">
        <v>85</v>
      </c>
      <c r="J378" t="s">
        <v>751</v>
      </c>
      <c r="K378" t="s">
        <v>29</v>
      </c>
      <c r="L378" t="s">
        <v>30</v>
      </c>
      <c r="M378" t="s">
        <v>482</v>
      </c>
      <c r="N378" s="7">
        <v>3260.7356807889832</v>
      </c>
      <c r="O378" s="7">
        <v>752.47746479745774</v>
      </c>
      <c r="P378" s="7">
        <v>3</v>
      </c>
      <c r="Q378" s="7">
        <v>6019.8197183796619</v>
      </c>
      <c r="R378" s="7">
        <v>752.47746479745774</v>
      </c>
      <c r="S378" s="7">
        <v>3</v>
      </c>
      <c r="T378" s="7">
        <v>1303.329200579818</v>
      </c>
      <c r="U378" s="7">
        <v>1303.329200579818</v>
      </c>
      <c r="V378" s="7">
        <v>0.6131044728864089</v>
      </c>
      <c r="W378" s="7">
        <v>6.887943786982248E-2</v>
      </c>
      <c r="X378" t="s">
        <v>752</v>
      </c>
      <c r="Y378" t="s">
        <v>753</v>
      </c>
      <c r="Z378" t="s">
        <v>515</v>
      </c>
      <c r="AA378" t="s">
        <v>774</v>
      </c>
      <c r="AB378" t="s">
        <v>92</v>
      </c>
      <c r="AC378" t="s">
        <v>747</v>
      </c>
      <c r="AD378" t="s">
        <v>747</v>
      </c>
      <c r="AE378" t="s">
        <v>1746</v>
      </c>
      <c r="AF378" t="s">
        <v>1748</v>
      </c>
      <c r="AG378" t="s">
        <v>1746</v>
      </c>
      <c r="AI378" t="s">
        <v>30</v>
      </c>
      <c r="AJ378" t="s">
        <v>1636</v>
      </c>
      <c r="AK378" t="s">
        <v>1637</v>
      </c>
      <c r="AL378" s="4">
        <v>4.5999999999999996</v>
      </c>
      <c r="AM378" t="s">
        <v>185</v>
      </c>
      <c r="AN378">
        <v>4.5999999999999996</v>
      </c>
      <c r="AO378" t="s">
        <v>1665</v>
      </c>
      <c r="AP378" t="s">
        <v>1639</v>
      </c>
      <c r="AQ378" t="s">
        <v>1640</v>
      </c>
      <c r="AR378" t="s">
        <v>1641</v>
      </c>
      <c r="AS378">
        <v>1</v>
      </c>
      <c r="AT378">
        <v>0</v>
      </c>
      <c r="AU378">
        <v>0</v>
      </c>
      <c r="AV378">
        <v>1</v>
      </c>
      <c r="AW378">
        <v>0</v>
      </c>
      <c r="AX378">
        <v>0</v>
      </c>
      <c r="AY378" t="s">
        <v>1642</v>
      </c>
    </row>
    <row r="379" spans="1:51">
      <c r="A379" t="s">
        <v>747</v>
      </c>
      <c r="B379" t="s">
        <v>776</v>
      </c>
      <c r="C379" t="s">
        <v>81</v>
      </c>
      <c r="D379" t="s">
        <v>749</v>
      </c>
      <c r="E379" t="s">
        <v>560</v>
      </c>
      <c r="F379">
        <v>3.6</v>
      </c>
      <c r="G379" t="s">
        <v>185</v>
      </c>
      <c r="H379" t="s">
        <v>84</v>
      </c>
      <c r="I379" t="s">
        <v>85</v>
      </c>
      <c r="J379" t="s">
        <v>751</v>
      </c>
      <c r="K379" t="s">
        <v>29</v>
      </c>
      <c r="L379" t="s">
        <v>30</v>
      </c>
      <c r="M379" t="s">
        <v>482</v>
      </c>
      <c r="N379" s="7">
        <v>3260.7356807889832</v>
      </c>
      <c r="O379" s="7">
        <v>752.47746479745774</v>
      </c>
      <c r="P379" s="7">
        <v>3</v>
      </c>
      <c r="Q379" s="7">
        <v>44897.822066248307</v>
      </c>
      <c r="R379" s="7">
        <v>752.47746479745774</v>
      </c>
      <c r="S379" s="7">
        <v>3</v>
      </c>
      <c r="T379" s="7">
        <v>1303.329200579818</v>
      </c>
      <c r="U379" s="7">
        <v>1303.329200579818</v>
      </c>
      <c r="V379" s="7">
        <v>2.6224364483792182</v>
      </c>
      <c r="W379" s="7">
        <v>5.3535327979369628E-2</v>
      </c>
      <c r="X379" t="s">
        <v>752</v>
      </c>
      <c r="Y379" t="s">
        <v>753</v>
      </c>
      <c r="Z379" t="s">
        <v>515</v>
      </c>
      <c r="AA379" t="s">
        <v>774</v>
      </c>
      <c r="AB379" t="s">
        <v>92</v>
      </c>
      <c r="AC379" t="s">
        <v>747</v>
      </c>
      <c r="AD379" t="s">
        <v>747</v>
      </c>
      <c r="AE379" t="s">
        <v>1746</v>
      </c>
      <c r="AF379" t="s">
        <v>1749</v>
      </c>
      <c r="AG379" t="s">
        <v>1746</v>
      </c>
      <c r="AI379" t="s">
        <v>30</v>
      </c>
      <c r="AJ379" t="s">
        <v>1636</v>
      </c>
      <c r="AK379" t="s">
        <v>1637</v>
      </c>
      <c r="AL379" s="4">
        <v>3.6</v>
      </c>
      <c r="AM379" t="s">
        <v>185</v>
      </c>
      <c r="AN379">
        <v>3.6</v>
      </c>
      <c r="AO379" t="s">
        <v>1665</v>
      </c>
      <c r="AP379" t="s">
        <v>1639</v>
      </c>
      <c r="AQ379" t="s">
        <v>1640</v>
      </c>
      <c r="AR379" t="s">
        <v>1641</v>
      </c>
      <c r="AS379">
        <v>1</v>
      </c>
      <c r="AT379">
        <v>0</v>
      </c>
      <c r="AU379">
        <v>0</v>
      </c>
      <c r="AV379">
        <v>1</v>
      </c>
      <c r="AW379">
        <v>0</v>
      </c>
      <c r="AX379">
        <v>1</v>
      </c>
      <c r="AY379" t="s">
        <v>1642</v>
      </c>
    </row>
    <row r="380" spans="1:51">
      <c r="A380" t="s">
        <v>747</v>
      </c>
      <c r="B380" t="s">
        <v>777</v>
      </c>
      <c r="C380" t="s">
        <v>81</v>
      </c>
      <c r="D380" t="s">
        <v>749</v>
      </c>
      <c r="E380" t="s">
        <v>750</v>
      </c>
      <c r="F380">
        <v>2.4</v>
      </c>
      <c r="G380" t="s">
        <v>185</v>
      </c>
      <c r="H380" t="s">
        <v>84</v>
      </c>
      <c r="I380" t="s">
        <v>85</v>
      </c>
      <c r="J380" t="s">
        <v>751</v>
      </c>
      <c r="K380" t="s">
        <v>149</v>
      </c>
      <c r="L380" t="s">
        <v>40</v>
      </c>
      <c r="M380" t="s">
        <v>482</v>
      </c>
      <c r="N380" s="7">
        <v>32075.549894500029</v>
      </c>
      <c r="O380" s="7">
        <v>886.064914212708</v>
      </c>
      <c r="P380" s="7">
        <v>3</v>
      </c>
      <c r="Q380" s="7">
        <v>20379.493026892284</v>
      </c>
      <c r="R380" s="7">
        <v>886.064914212708</v>
      </c>
      <c r="S380" s="7">
        <v>3</v>
      </c>
      <c r="T380" s="7">
        <v>1534.7094502205689</v>
      </c>
      <c r="U380" s="7">
        <v>1534.7094502205689</v>
      </c>
      <c r="V380" s="7">
        <v>-0.45356490290257562</v>
      </c>
      <c r="W380" s="7">
        <v>2.6534616376415569E-3</v>
      </c>
      <c r="X380" t="s">
        <v>752</v>
      </c>
      <c r="Y380" t="s">
        <v>753</v>
      </c>
      <c r="Z380" t="s">
        <v>515</v>
      </c>
      <c r="AA380" t="s">
        <v>778</v>
      </c>
      <c r="AB380" t="s">
        <v>92</v>
      </c>
      <c r="AC380" t="s">
        <v>747</v>
      </c>
      <c r="AD380" t="s">
        <v>747</v>
      </c>
      <c r="AE380" t="s">
        <v>1746</v>
      </c>
      <c r="AF380" t="s">
        <v>1747</v>
      </c>
      <c r="AG380" t="s">
        <v>1746</v>
      </c>
      <c r="AI380" t="s">
        <v>40</v>
      </c>
      <c r="AJ380" t="s">
        <v>1636</v>
      </c>
      <c r="AK380" t="s">
        <v>1637</v>
      </c>
      <c r="AL380" s="4">
        <v>2.4</v>
      </c>
      <c r="AM380" t="s">
        <v>185</v>
      </c>
      <c r="AN380">
        <v>2.4</v>
      </c>
      <c r="AO380" t="s">
        <v>1665</v>
      </c>
      <c r="AP380" t="s">
        <v>1639</v>
      </c>
      <c r="AQ380" t="s">
        <v>1640</v>
      </c>
      <c r="AR380" t="s">
        <v>1641</v>
      </c>
      <c r="AS380">
        <v>1</v>
      </c>
      <c r="AT380">
        <v>0</v>
      </c>
      <c r="AU380">
        <v>0</v>
      </c>
      <c r="AV380">
        <v>1</v>
      </c>
      <c r="AW380">
        <v>0</v>
      </c>
      <c r="AX380">
        <v>0</v>
      </c>
      <c r="AY380" t="s">
        <v>1642</v>
      </c>
    </row>
    <row r="381" spans="1:51">
      <c r="A381" t="s">
        <v>747</v>
      </c>
      <c r="B381" t="s">
        <v>779</v>
      </c>
      <c r="C381" t="s">
        <v>81</v>
      </c>
      <c r="D381" t="s">
        <v>749</v>
      </c>
      <c r="E381" t="s">
        <v>94</v>
      </c>
      <c r="F381">
        <v>4.5999999999999996</v>
      </c>
      <c r="G381" t="s">
        <v>185</v>
      </c>
      <c r="H381" t="s">
        <v>84</v>
      </c>
      <c r="I381" t="s">
        <v>85</v>
      </c>
      <c r="J381" t="s">
        <v>751</v>
      </c>
      <c r="K381" t="s">
        <v>149</v>
      </c>
      <c r="L381" t="s">
        <v>40</v>
      </c>
      <c r="M381" t="s">
        <v>482</v>
      </c>
      <c r="N381" s="7">
        <v>32075.549894500029</v>
      </c>
      <c r="O381" s="7">
        <v>886.064914212708</v>
      </c>
      <c r="P381" s="7">
        <v>3</v>
      </c>
      <c r="Q381" s="7">
        <v>29062.929186176825</v>
      </c>
      <c r="R381" s="7">
        <v>886.064914212708</v>
      </c>
      <c r="S381" s="7">
        <v>3</v>
      </c>
      <c r="T381" s="7">
        <v>1534.7094502205689</v>
      </c>
      <c r="U381" s="7">
        <v>1534.7094502205689</v>
      </c>
      <c r="V381" s="7">
        <v>-9.8630603441627177E-2</v>
      </c>
      <c r="W381" s="7">
        <v>1.6926087156815656E-3</v>
      </c>
      <c r="X381" t="s">
        <v>752</v>
      </c>
      <c r="Y381" t="s">
        <v>753</v>
      </c>
      <c r="Z381" t="s">
        <v>515</v>
      </c>
      <c r="AA381" t="s">
        <v>778</v>
      </c>
      <c r="AB381" t="s">
        <v>92</v>
      </c>
      <c r="AC381" t="s">
        <v>747</v>
      </c>
      <c r="AD381" t="s">
        <v>747</v>
      </c>
      <c r="AE381" t="s">
        <v>1746</v>
      </c>
      <c r="AF381" t="s">
        <v>1748</v>
      </c>
      <c r="AG381" t="s">
        <v>1746</v>
      </c>
      <c r="AI381" t="s">
        <v>40</v>
      </c>
      <c r="AJ381" t="s">
        <v>1636</v>
      </c>
      <c r="AK381" t="s">
        <v>1637</v>
      </c>
      <c r="AL381" s="4">
        <v>4.5999999999999996</v>
      </c>
      <c r="AM381" t="s">
        <v>185</v>
      </c>
      <c r="AN381">
        <v>4.5999999999999996</v>
      </c>
      <c r="AO381" t="s">
        <v>1665</v>
      </c>
      <c r="AP381" t="s">
        <v>1639</v>
      </c>
      <c r="AQ381" t="s">
        <v>1640</v>
      </c>
      <c r="AR381" t="s">
        <v>1641</v>
      </c>
      <c r="AS381">
        <v>1</v>
      </c>
      <c r="AT381">
        <v>0</v>
      </c>
      <c r="AU381">
        <v>0</v>
      </c>
      <c r="AV381">
        <v>1</v>
      </c>
      <c r="AW381">
        <v>0</v>
      </c>
      <c r="AX381">
        <v>0</v>
      </c>
      <c r="AY381" t="s">
        <v>1642</v>
      </c>
    </row>
    <row r="382" spans="1:51">
      <c r="A382" t="s">
        <v>747</v>
      </c>
      <c r="B382" t="s">
        <v>780</v>
      </c>
      <c r="C382" t="s">
        <v>81</v>
      </c>
      <c r="D382" t="s">
        <v>749</v>
      </c>
      <c r="E382" t="s">
        <v>560</v>
      </c>
      <c r="F382">
        <v>3.6</v>
      </c>
      <c r="G382" t="s">
        <v>185</v>
      </c>
      <c r="H382" t="s">
        <v>84</v>
      </c>
      <c r="I382" t="s">
        <v>85</v>
      </c>
      <c r="J382" t="s">
        <v>751</v>
      </c>
      <c r="K382" t="s">
        <v>149</v>
      </c>
      <c r="L382" t="s">
        <v>40</v>
      </c>
      <c r="M382" t="s">
        <v>482</v>
      </c>
      <c r="N382" s="7">
        <v>32075.549894500029</v>
      </c>
      <c r="O382" s="7">
        <v>886.064914212708</v>
      </c>
      <c r="P382" s="7">
        <v>3</v>
      </c>
      <c r="Q382" s="7">
        <v>23037.68776953041</v>
      </c>
      <c r="R382" s="7">
        <v>886.064914212708</v>
      </c>
      <c r="S382" s="7">
        <v>3</v>
      </c>
      <c r="T382" s="7">
        <v>1534.7094502205689</v>
      </c>
      <c r="U382" s="7">
        <v>1534.7094502205689</v>
      </c>
      <c r="V382" s="7">
        <v>-0.33096258081024327</v>
      </c>
      <c r="W382" s="7">
        <v>2.2423924102279928E-3</v>
      </c>
      <c r="X382" t="s">
        <v>752</v>
      </c>
      <c r="Y382" t="s">
        <v>753</v>
      </c>
      <c r="Z382" t="s">
        <v>515</v>
      </c>
      <c r="AA382" t="s">
        <v>778</v>
      </c>
      <c r="AB382" t="s">
        <v>92</v>
      </c>
      <c r="AC382" t="s">
        <v>747</v>
      </c>
      <c r="AD382" t="s">
        <v>747</v>
      </c>
      <c r="AE382" t="s">
        <v>1746</v>
      </c>
      <c r="AF382" t="s">
        <v>1749</v>
      </c>
      <c r="AG382" t="s">
        <v>1746</v>
      </c>
      <c r="AI382" t="s">
        <v>40</v>
      </c>
      <c r="AJ382" t="s">
        <v>1636</v>
      </c>
      <c r="AK382" t="s">
        <v>1637</v>
      </c>
      <c r="AL382" s="4">
        <v>3.6</v>
      </c>
      <c r="AM382" t="s">
        <v>185</v>
      </c>
      <c r="AN382">
        <v>3.6</v>
      </c>
      <c r="AO382" t="s">
        <v>1665</v>
      </c>
      <c r="AP382" t="s">
        <v>1639</v>
      </c>
      <c r="AQ382" t="s">
        <v>1640</v>
      </c>
      <c r="AR382" t="s">
        <v>1641</v>
      </c>
      <c r="AS382">
        <v>1</v>
      </c>
      <c r="AT382">
        <v>0</v>
      </c>
      <c r="AU382">
        <v>0</v>
      </c>
      <c r="AV382">
        <v>1</v>
      </c>
      <c r="AW382">
        <v>0</v>
      </c>
      <c r="AX382">
        <v>0</v>
      </c>
      <c r="AY382" t="s">
        <v>1642</v>
      </c>
    </row>
    <row r="383" spans="1:51">
      <c r="A383" t="s">
        <v>747</v>
      </c>
      <c r="B383" t="s">
        <v>781</v>
      </c>
      <c r="C383" t="s">
        <v>81</v>
      </c>
      <c r="D383" t="s">
        <v>749</v>
      </c>
      <c r="E383" t="s">
        <v>750</v>
      </c>
      <c r="F383">
        <v>2.4</v>
      </c>
      <c r="G383" t="s">
        <v>185</v>
      </c>
      <c r="H383" t="s">
        <v>84</v>
      </c>
      <c r="I383" t="s">
        <v>85</v>
      </c>
      <c r="J383" t="s">
        <v>751</v>
      </c>
      <c r="K383" t="s">
        <v>452</v>
      </c>
      <c r="L383" t="s">
        <v>40</v>
      </c>
      <c r="M383" t="s">
        <v>482</v>
      </c>
      <c r="N383" s="7">
        <v>35265.383585665782</v>
      </c>
      <c r="O383" s="7">
        <v>886.064914212708</v>
      </c>
      <c r="P383" s="7">
        <v>3</v>
      </c>
      <c r="Q383" s="7">
        <v>18784.57618130941</v>
      </c>
      <c r="R383" s="7">
        <v>886.064914212708</v>
      </c>
      <c r="S383" s="7">
        <v>3</v>
      </c>
      <c r="T383" s="7">
        <v>1534.7094502205689</v>
      </c>
      <c r="U383" s="7">
        <v>1534.7094502205689</v>
      </c>
      <c r="V383" s="7">
        <v>-0.62986573061242535</v>
      </c>
      <c r="W383" s="7">
        <v>2.8562882895005123E-3</v>
      </c>
      <c r="X383" t="s">
        <v>752</v>
      </c>
      <c r="Y383" t="s">
        <v>753</v>
      </c>
      <c r="Z383" t="s">
        <v>515</v>
      </c>
      <c r="AA383" t="s">
        <v>782</v>
      </c>
      <c r="AB383" t="s">
        <v>92</v>
      </c>
      <c r="AC383" t="s">
        <v>747</v>
      </c>
      <c r="AD383" t="s">
        <v>747</v>
      </c>
      <c r="AE383" t="s">
        <v>1746</v>
      </c>
      <c r="AF383" t="s">
        <v>1747</v>
      </c>
      <c r="AG383" t="s">
        <v>1746</v>
      </c>
      <c r="AI383" t="s">
        <v>40</v>
      </c>
      <c r="AJ383" t="s">
        <v>1636</v>
      </c>
      <c r="AK383" t="s">
        <v>1637</v>
      </c>
      <c r="AL383" s="4">
        <v>2.4</v>
      </c>
      <c r="AM383" t="s">
        <v>185</v>
      </c>
      <c r="AN383">
        <v>2.4</v>
      </c>
      <c r="AO383" t="s">
        <v>1665</v>
      </c>
      <c r="AP383" t="s">
        <v>1639</v>
      </c>
      <c r="AQ383" t="s">
        <v>1640</v>
      </c>
      <c r="AR383" t="s">
        <v>1641</v>
      </c>
      <c r="AS383">
        <v>1</v>
      </c>
      <c r="AT383">
        <v>0</v>
      </c>
      <c r="AU383">
        <v>0</v>
      </c>
      <c r="AV383">
        <v>1</v>
      </c>
      <c r="AW383">
        <v>0</v>
      </c>
      <c r="AX383">
        <v>0</v>
      </c>
      <c r="AY383" t="s">
        <v>1642</v>
      </c>
    </row>
    <row r="384" spans="1:51">
      <c r="A384" t="s">
        <v>747</v>
      </c>
      <c r="B384" t="s">
        <v>783</v>
      </c>
      <c r="C384" t="s">
        <v>81</v>
      </c>
      <c r="D384" t="s">
        <v>749</v>
      </c>
      <c r="E384" t="s">
        <v>94</v>
      </c>
      <c r="F384">
        <v>4.5999999999999996</v>
      </c>
      <c r="G384" t="s">
        <v>185</v>
      </c>
      <c r="H384" t="s">
        <v>84</v>
      </c>
      <c r="I384" t="s">
        <v>85</v>
      </c>
      <c r="J384" t="s">
        <v>751</v>
      </c>
      <c r="K384" t="s">
        <v>452</v>
      </c>
      <c r="L384" t="s">
        <v>40</v>
      </c>
      <c r="M384" t="s">
        <v>482</v>
      </c>
      <c r="N384" s="7">
        <v>35265.383585665782</v>
      </c>
      <c r="O384" s="7">
        <v>886.064914212708</v>
      </c>
      <c r="P384" s="7">
        <v>3</v>
      </c>
      <c r="Q384" s="7">
        <v>24809.817597955825</v>
      </c>
      <c r="R384" s="7">
        <v>886.064914212708</v>
      </c>
      <c r="S384" s="7">
        <v>3</v>
      </c>
      <c r="T384" s="7">
        <v>1534.7094502205689</v>
      </c>
      <c r="U384" s="7">
        <v>1534.7094502205689</v>
      </c>
      <c r="V384" s="7">
        <v>-0.35166240211518818</v>
      </c>
      <c r="W384" s="7">
        <v>1.9068073935465447E-3</v>
      </c>
      <c r="X384" t="s">
        <v>752</v>
      </c>
      <c r="Y384" t="s">
        <v>753</v>
      </c>
      <c r="Z384" t="s">
        <v>515</v>
      </c>
      <c r="AA384" t="s">
        <v>782</v>
      </c>
      <c r="AB384" t="s">
        <v>92</v>
      </c>
      <c r="AC384" t="s">
        <v>747</v>
      </c>
      <c r="AD384" t="s">
        <v>747</v>
      </c>
      <c r="AE384" t="s">
        <v>1746</v>
      </c>
      <c r="AF384" t="s">
        <v>1748</v>
      </c>
      <c r="AG384" t="s">
        <v>1746</v>
      </c>
      <c r="AI384" t="s">
        <v>40</v>
      </c>
      <c r="AJ384" t="s">
        <v>1636</v>
      </c>
      <c r="AK384" t="s">
        <v>1637</v>
      </c>
      <c r="AL384" s="4">
        <v>4.5999999999999996</v>
      </c>
      <c r="AM384" t="s">
        <v>185</v>
      </c>
      <c r="AN384">
        <v>4.5999999999999996</v>
      </c>
      <c r="AO384" t="s">
        <v>1665</v>
      </c>
      <c r="AP384" t="s">
        <v>1639</v>
      </c>
      <c r="AQ384" t="s">
        <v>1640</v>
      </c>
      <c r="AR384" t="s">
        <v>1641</v>
      </c>
      <c r="AS384">
        <v>1</v>
      </c>
      <c r="AT384">
        <v>0</v>
      </c>
      <c r="AU384">
        <v>0</v>
      </c>
      <c r="AV384">
        <v>1</v>
      </c>
      <c r="AW384">
        <v>0</v>
      </c>
      <c r="AX384">
        <v>0</v>
      </c>
      <c r="AY384" t="s">
        <v>1642</v>
      </c>
    </row>
    <row r="385" spans="1:51">
      <c r="A385" t="s">
        <v>747</v>
      </c>
      <c r="B385" t="s">
        <v>784</v>
      </c>
      <c r="C385" t="s">
        <v>81</v>
      </c>
      <c r="D385" t="s">
        <v>749</v>
      </c>
      <c r="E385" t="s">
        <v>560</v>
      </c>
      <c r="F385">
        <v>3.6</v>
      </c>
      <c r="G385" t="s">
        <v>185</v>
      </c>
      <c r="H385" t="s">
        <v>84</v>
      </c>
      <c r="I385" t="s">
        <v>85</v>
      </c>
      <c r="J385" t="s">
        <v>751</v>
      </c>
      <c r="K385" t="s">
        <v>452</v>
      </c>
      <c r="L385" t="s">
        <v>40</v>
      </c>
      <c r="M385" t="s">
        <v>482</v>
      </c>
      <c r="N385" s="7">
        <v>35265.383585665782</v>
      </c>
      <c r="O385" s="7">
        <v>886.064914212708</v>
      </c>
      <c r="P385" s="7">
        <v>3</v>
      </c>
      <c r="Q385" s="7">
        <v>15417.52950730112</v>
      </c>
      <c r="R385" s="7">
        <v>886.064914212708</v>
      </c>
      <c r="S385" s="7">
        <v>3</v>
      </c>
      <c r="T385" s="7">
        <v>1534.7094502205689</v>
      </c>
      <c r="U385" s="7">
        <v>1534.7094502205689</v>
      </c>
      <c r="V385" s="7">
        <v>-0.82739670606990867</v>
      </c>
      <c r="W385" s="7">
        <v>3.9342434175003195E-3</v>
      </c>
      <c r="X385" t="s">
        <v>752</v>
      </c>
      <c r="Y385" t="s">
        <v>753</v>
      </c>
      <c r="Z385" t="s">
        <v>515</v>
      </c>
      <c r="AA385" t="s">
        <v>782</v>
      </c>
      <c r="AB385" t="s">
        <v>92</v>
      </c>
      <c r="AC385" t="s">
        <v>747</v>
      </c>
      <c r="AD385" t="s">
        <v>747</v>
      </c>
      <c r="AE385" t="s">
        <v>1746</v>
      </c>
      <c r="AF385" t="s">
        <v>1749</v>
      </c>
      <c r="AG385" t="s">
        <v>1746</v>
      </c>
      <c r="AI385" t="s">
        <v>40</v>
      </c>
      <c r="AJ385" t="s">
        <v>1636</v>
      </c>
      <c r="AK385" t="s">
        <v>1637</v>
      </c>
      <c r="AL385" s="4">
        <v>3.6</v>
      </c>
      <c r="AM385" t="s">
        <v>185</v>
      </c>
      <c r="AN385">
        <v>3.6</v>
      </c>
      <c r="AO385" t="s">
        <v>1665</v>
      </c>
      <c r="AP385" t="s">
        <v>1639</v>
      </c>
      <c r="AQ385" t="s">
        <v>1640</v>
      </c>
      <c r="AR385" t="s">
        <v>1641</v>
      </c>
      <c r="AS385">
        <v>1</v>
      </c>
      <c r="AT385">
        <v>0</v>
      </c>
      <c r="AU385">
        <v>0</v>
      </c>
      <c r="AV385">
        <v>1</v>
      </c>
      <c r="AW385">
        <v>0</v>
      </c>
      <c r="AX385">
        <v>0</v>
      </c>
      <c r="AY385" t="s">
        <v>1642</v>
      </c>
    </row>
    <row r="386" spans="1:51">
      <c r="A386" t="s">
        <v>747</v>
      </c>
      <c r="B386" t="s">
        <v>785</v>
      </c>
      <c r="C386" t="s">
        <v>81</v>
      </c>
      <c r="D386" t="s">
        <v>749</v>
      </c>
      <c r="E386" t="s">
        <v>750</v>
      </c>
      <c r="F386">
        <v>2.4</v>
      </c>
      <c r="G386" t="s">
        <v>185</v>
      </c>
      <c r="H386" t="s">
        <v>84</v>
      </c>
      <c r="I386" t="s">
        <v>85</v>
      </c>
      <c r="J386" t="s">
        <v>751</v>
      </c>
      <c r="K386" t="s">
        <v>29</v>
      </c>
      <c r="L386" t="s">
        <v>40</v>
      </c>
      <c r="M386" t="s">
        <v>482</v>
      </c>
      <c r="N386" s="7">
        <v>28708.503220491741</v>
      </c>
      <c r="O386" s="7">
        <v>886.064914212708</v>
      </c>
      <c r="P386" s="7">
        <v>3</v>
      </c>
      <c r="Q386" s="7">
        <v>18252.937232781784</v>
      </c>
      <c r="R386" s="7">
        <v>886.064914212708</v>
      </c>
      <c r="S386" s="7">
        <v>3</v>
      </c>
      <c r="T386" s="7">
        <v>1534.7094502205689</v>
      </c>
      <c r="U386" s="7">
        <v>1534.7094502205689</v>
      </c>
      <c r="V386" s="7">
        <v>-0.45286734700274839</v>
      </c>
      <c r="W386" s="7">
        <v>3.3090884620585897E-3</v>
      </c>
      <c r="X386" t="s">
        <v>752</v>
      </c>
      <c r="Y386" t="s">
        <v>753</v>
      </c>
      <c r="Z386" t="s">
        <v>515</v>
      </c>
      <c r="AA386" t="s">
        <v>786</v>
      </c>
      <c r="AB386" t="s">
        <v>92</v>
      </c>
      <c r="AC386" t="s">
        <v>747</v>
      </c>
      <c r="AD386" t="s">
        <v>747</v>
      </c>
      <c r="AE386" t="s">
        <v>1746</v>
      </c>
      <c r="AF386" t="s">
        <v>1747</v>
      </c>
      <c r="AG386" t="s">
        <v>1746</v>
      </c>
      <c r="AI386" t="s">
        <v>40</v>
      </c>
      <c r="AJ386" t="s">
        <v>1636</v>
      </c>
      <c r="AK386" t="s">
        <v>1637</v>
      </c>
      <c r="AL386" s="4">
        <v>2.4</v>
      </c>
      <c r="AM386" t="s">
        <v>185</v>
      </c>
      <c r="AN386">
        <v>2.4</v>
      </c>
      <c r="AO386" t="s">
        <v>1665</v>
      </c>
      <c r="AP386" t="s">
        <v>1639</v>
      </c>
      <c r="AQ386" t="s">
        <v>1640</v>
      </c>
      <c r="AR386" t="s">
        <v>1641</v>
      </c>
      <c r="AS386">
        <v>1</v>
      </c>
      <c r="AT386">
        <v>0</v>
      </c>
      <c r="AU386">
        <v>0</v>
      </c>
      <c r="AV386">
        <v>1</v>
      </c>
      <c r="AW386">
        <v>0</v>
      </c>
      <c r="AX386">
        <v>0</v>
      </c>
      <c r="AY386" t="s">
        <v>1642</v>
      </c>
    </row>
    <row r="387" spans="1:51">
      <c r="A387" t="s">
        <v>747</v>
      </c>
      <c r="B387" t="s">
        <v>787</v>
      </c>
      <c r="C387" t="s">
        <v>81</v>
      </c>
      <c r="D387" t="s">
        <v>749</v>
      </c>
      <c r="E387" t="s">
        <v>94</v>
      </c>
      <c r="F387">
        <v>4.5999999999999996</v>
      </c>
      <c r="G387" t="s">
        <v>185</v>
      </c>
      <c r="H387" t="s">
        <v>84</v>
      </c>
      <c r="I387" t="s">
        <v>85</v>
      </c>
      <c r="J387" t="s">
        <v>751</v>
      </c>
      <c r="K387" t="s">
        <v>29</v>
      </c>
      <c r="L387" t="s">
        <v>40</v>
      </c>
      <c r="M387" t="s">
        <v>482</v>
      </c>
      <c r="N387" s="7">
        <v>28708.503220491741</v>
      </c>
      <c r="O387" s="7">
        <v>886.064914212708</v>
      </c>
      <c r="P387" s="7">
        <v>3</v>
      </c>
      <c r="Q387" s="7">
        <v>16480.807404356368</v>
      </c>
      <c r="R387" s="7">
        <v>886.064914212708</v>
      </c>
      <c r="S387" s="7">
        <v>3</v>
      </c>
      <c r="T387" s="7">
        <v>1534.7094502205689</v>
      </c>
      <c r="U387" s="7">
        <v>1534.7094502205689</v>
      </c>
      <c r="V387" s="7">
        <v>-0.55499684207912814</v>
      </c>
      <c r="W387" s="7">
        <v>3.8431062623540454E-3</v>
      </c>
      <c r="X387" t="s">
        <v>752</v>
      </c>
      <c r="Y387" t="s">
        <v>753</v>
      </c>
      <c r="Z387" t="s">
        <v>515</v>
      </c>
      <c r="AA387" t="s">
        <v>786</v>
      </c>
      <c r="AB387" t="s">
        <v>92</v>
      </c>
      <c r="AC387" t="s">
        <v>747</v>
      </c>
      <c r="AD387" t="s">
        <v>747</v>
      </c>
      <c r="AE387" t="s">
        <v>1746</v>
      </c>
      <c r="AF387" t="s">
        <v>1748</v>
      </c>
      <c r="AG387" t="s">
        <v>1746</v>
      </c>
      <c r="AI387" t="s">
        <v>40</v>
      </c>
      <c r="AJ387" t="s">
        <v>1636</v>
      </c>
      <c r="AK387" t="s">
        <v>1637</v>
      </c>
      <c r="AL387" s="4">
        <v>4.5999999999999996</v>
      </c>
      <c r="AM387" t="s">
        <v>185</v>
      </c>
      <c r="AN387">
        <v>4.5999999999999996</v>
      </c>
      <c r="AO387" t="s">
        <v>1665</v>
      </c>
      <c r="AP387" t="s">
        <v>1639</v>
      </c>
      <c r="AQ387" t="s">
        <v>1640</v>
      </c>
      <c r="AR387" t="s">
        <v>1641</v>
      </c>
      <c r="AS387">
        <v>1</v>
      </c>
      <c r="AT387">
        <v>0</v>
      </c>
      <c r="AU387">
        <v>0</v>
      </c>
      <c r="AV387">
        <v>1</v>
      </c>
      <c r="AW387">
        <v>0</v>
      </c>
      <c r="AX387">
        <v>0</v>
      </c>
      <c r="AY387" t="s">
        <v>1642</v>
      </c>
    </row>
    <row r="388" spans="1:51">
      <c r="A388" t="s">
        <v>747</v>
      </c>
      <c r="B388" t="s">
        <v>788</v>
      </c>
      <c r="C388" t="s">
        <v>81</v>
      </c>
      <c r="D388" t="s">
        <v>749</v>
      </c>
      <c r="E388" t="s">
        <v>560</v>
      </c>
      <c r="F388">
        <v>3.6</v>
      </c>
      <c r="G388" t="s">
        <v>185</v>
      </c>
      <c r="H388" t="s">
        <v>84</v>
      </c>
      <c r="I388" t="s">
        <v>85</v>
      </c>
      <c r="J388" t="s">
        <v>751</v>
      </c>
      <c r="K388" t="s">
        <v>29</v>
      </c>
      <c r="L388" t="s">
        <v>40</v>
      </c>
      <c r="M388" t="s">
        <v>482</v>
      </c>
      <c r="N388" s="7">
        <v>28708.503220491741</v>
      </c>
      <c r="O388" s="7">
        <v>886.064914212708</v>
      </c>
      <c r="P388" s="7">
        <v>3</v>
      </c>
      <c r="Q388" s="7">
        <v>17721.298284254161</v>
      </c>
      <c r="R388" s="7">
        <v>886.064914212708</v>
      </c>
      <c r="S388" s="7">
        <v>3</v>
      </c>
      <c r="T388" s="7">
        <v>1534.7094502205689</v>
      </c>
      <c r="U388" s="7">
        <v>1534.7094502205689</v>
      </c>
      <c r="V388" s="7">
        <v>-0.48242614924429278</v>
      </c>
      <c r="W388" s="7">
        <v>3.4525986892242032E-3</v>
      </c>
      <c r="X388" t="s">
        <v>752</v>
      </c>
      <c r="Y388" t="s">
        <v>753</v>
      </c>
      <c r="Z388" t="s">
        <v>515</v>
      </c>
      <c r="AA388" t="s">
        <v>786</v>
      </c>
      <c r="AB388" t="s">
        <v>92</v>
      </c>
      <c r="AC388" t="s">
        <v>747</v>
      </c>
      <c r="AD388" t="s">
        <v>747</v>
      </c>
      <c r="AE388" t="s">
        <v>1746</v>
      </c>
      <c r="AF388" t="s">
        <v>1749</v>
      </c>
      <c r="AG388" t="s">
        <v>1746</v>
      </c>
      <c r="AI388" t="s">
        <v>40</v>
      </c>
      <c r="AJ388" t="s">
        <v>1636</v>
      </c>
      <c r="AK388" t="s">
        <v>1637</v>
      </c>
      <c r="AL388" s="4">
        <v>3.6</v>
      </c>
      <c r="AM388" t="s">
        <v>185</v>
      </c>
      <c r="AN388">
        <v>3.6</v>
      </c>
      <c r="AO388" t="s">
        <v>1665</v>
      </c>
      <c r="AP388" t="s">
        <v>1639</v>
      </c>
      <c r="AQ388" t="s">
        <v>1640</v>
      </c>
      <c r="AR388" t="s">
        <v>1641</v>
      </c>
      <c r="AS388">
        <v>1</v>
      </c>
      <c r="AT388">
        <v>0</v>
      </c>
      <c r="AU388">
        <v>0</v>
      </c>
      <c r="AV388">
        <v>1</v>
      </c>
      <c r="AW388">
        <v>0</v>
      </c>
      <c r="AX388">
        <v>0</v>
      </c>
      <c r="AY388" t="s">
        <v>1642</v>
      </c>
    </row>
    <row r="389" spans="1:51">
      <c r="A389" t="s">
        <v>747</v>
      </c>
      <c r="B389" t="s">
        <v>789</v>
      </c>
      <c r="C389" t="s">
        <v>81</v>
      </c>
      <c r="D389" t="s">
        <v>749</v>
      </c>
      <c r="E389" t="s">
        <v>750</v>
      </c>
      <c r="F389">
        <v>2.4</v>
      </c>
      <c r="G389" t="s">
        <v>185</v>
      </c>
      <c r="H389" t="s">
        <v>84</v>
      </c>
      <c r="I389" t="s">
        <v>85</v>
      </c>
      <c r="J389" t="s">
        <v>751</v>
      </c>
      <c r="K389" t="s">
        <v>149</v>
      </c>
      <c r="L389" t="s">
        <v>53</v>
      </c>
      <c r="M389" t="s">
        <v>482</v>
      </c>
      <c r="N389" s="7">
        <v>1477.3338269921924</v>
      </c>
      <c r="O389" s="7">
        <v>369.33345674804809</v>
      </c>
      <c r="P389" s="7">
        <v>3</v>
      </c>
      <c r="Q389" s="7">
        <v>1015.6670060571323</v>
      </c>
      <c r="R389" s="7">
        <v>369.33345674804809</v>
      </c>
      <c r="S389" s="7">
        <v>3</v>
      </c>
      <c r="T389" s="7">
        <v>639.70431202266172</v>
      </c>
      <c r="U389" s="7">
        <v>639.70431202266172</v>
      </c>
      <c r="V389" s="7">
        <v>-0.3746934494414107</v>
      </c>
      <c r="W389" s="7">
        <v>0.19473140495867769</v>
      </c>
      <c r="X389" t="s">
        <v>752</v>
      </c>
      <c r="Y389" t="s">
        <v>753</v>
      </c>
      <c r="Z389" t="s">
        <v>515</v>
      </c>
      <c r="AA389" t="s">
        <v>790</v>
      </c>
      <c r="AB389" t="s">
        <v>92</v>
      </c>
      <c r="AC389" t="s">
        <v>747</v>
      </c>
      <c r="AD389" t="s">
        <v>747</v>
      </c>
      <c r="AE389" t="s">
        <v>1746</v>
      </c>
      <c r="AF389" t="s">
        <v>1747</v>
      </c>
      <c r="AG389" t="s">
        <v>1746</v>
      </c>
      <c r="AI389" t="s">
        <v>53</v>
      </c>
      <c r="AJ389" t="s">
        <v>1636</v>
      </c>
      <c r="AK389" t="s">
        <v>1637</v>
      </c>
      <c r="AL389" s="4">
        <v>2.4</v>
      </c>
      <c r="AM389" t="s">
        <v>185</v>
      </c>
      <c r="AN389">
        <v>2.4</v>
      </c>
      <c r="AO389" t="s">
        <v>1665</v>
      </c>
      <c r="AP389" t="s">
        <v>1639</v>
      </c>
      <c r="AQ389" t="s">
        <v>1640</v>
      </c>
      <c r="AR389" t="s">
        <v>1641</v>
      </c>
      <c r="AS389">
        <v>1</v>
      </c>
      <c r="AT389">
        <v>0</v>
      </c>
      <c r="AU389">
        <v>0</v>
      </c>
      <c r="AV389">
        <v>1</v>
      </c>
      <c r="AW389">
        <v>0</v>
      </c>
      <c r="AX389">
        <v>0</v>
      </c>
      <c r="AY389" t="s">
        <v>1642</v>
      </c>
    </row>
    <row r="390" spans="1:51">
      <c r="A390" t="s">
        <v>747</v>
      </c>
      <c r="B390" t="s">
        <v>791</v>
      </c>
      <c r="C390" t="s">
        <v>81</v>
      </c>
      <c r="D390" t="s">
        <v>749</v>
      </c>
      <c r="E390" t="s">
        <v>94</v>
      </c>
      <c r="F390">
        <v>4.5999999999999996</v>
      </c>
      <c r="G390" t="s">
        <v>185</v>
      </c>
      <c r="H390" t="s">
        <v>84</v>
      </c>
      <c r="I390" t="s">
        <v>85</v>
      </c>
      <c r="J390" t="s">
        <v>751</v>
      </c>
      <c r="K390" t="s">
        <v>149</v>
      </c>
      <c r="L390" t="s">
        <v>53</v>
      </c>
      <c r="M390" t="s">
        <v>482</v>
      </c>
      <c r="N390" s="7">
        <v>1477.3338269921924</v>
      </c>
      <c r="O390" s="7">
        <v>369.33345674804809</v>
      </c>
      <c r="P390" s="7">
        <v>3</v>
      </c>
      <c r="Q390" s="7">
        <v>1846.6672837402405</v>
      </c>
      <c r="R390" s="7">
        <v>369.33345674804809</v>
      </c>
      <c r="S390" s="7">
        <v>3</v>
      </c>
      <c r="T390" s="7">
        <v>639.70431202266172</v>
      </c>
      <c r="U390" s="7">
        <v>639.70431202266172</v>
      </c>
      <c r="V390" s="7">
        <v>0.22314355131420976</v>
      </c>
      <c r="W390" s="7">
        <v>0.10250000000000001</v>
      </c>
      <c r="X390" t="s">
        <v>752</v>
      </c>
      <c r="Y390" t="s">
        <v>753</v>
      </c>
      <c r="Z390" t="s">
        <v>515</v>
      </c>
      <c r="AA390" t="s">
        <v>790</v>
      </c>
      <c r="AB390" t="s">
        <v>92</v>
      </c>
      <c r="AC390" t="s">
        <v>747</v>
      </c>
      <c r="AD390" t="s">
        <v>747</v>
      </c>
      <c r="AE390" t="s">
        <v>1746</v>
      </c>
      <c r="AF390" t="s">
        <v>1748</v>
      </c>
      <c r="AG390" t="s">
        <v>1746</v>
      </c>
      <c r="AI390" t="s">
        <v>53</v>
      </c>
      <c r="AJ390" t="s">
        <v>1636</v>
      </c>
      <c r="AK390" t="s">
        <v>1637</v>
      </c>
      <c r="AL390" s="4">
        <v>4.5999999999999996</v>
      </c>
      <c r="AM390" t="s">
        <v>185</v>
      </c>
      <c r="AN390">
        <v>4.5999999999999996</v>
      </c>
      <c r="AO390" t="s">
        <v>1665</v>
      </c>
      <c r="AP390" t="s">
        <v>1639</v>
      </c>
      <c r="AQ390" t="s">
        <v>1640</v>
      </c>
      <c r="AR390" t="s">
        <v>1641</v>
      </c>
      <c r="AS390">
        <v>1</v>
      </c>
      <c r="AT390">
        <v>0</v>
      </c>
      <c r="AU390">
        <v>0</v>
      </c>
      <c r="AV390">
        <v>1</v>
      </c>
      <c r="AW390">
        <v>0</v>
      </c>
      <c r="AX390">
        <v>0</v>
      </c>
      <c r="AY390" t="s">
        <v>1642</v>
      </c>
    </row>
    <row r="391" spans="1:51">
      <c r="A391" t="s">
        <v>747</v>
      </c>
      <c r="B391" t="s">
        <v>792</v>
      </c>
      <c r="C391" t="s">
        <v>81</v>
      </c>
      <c r="D391" t="s">
        <v>749</v>
      </c>
      <c r="E391" t="s">
        <v>560</v>
      </c>
      <c r="F391">
        <v>3.6</v>
      </c>
      <c r="G391" t="s">
        <v>185</v>
      </c>
      <c r="H391" t="s">
        <v>84</v>
      </c>
      <c r="I391" t="s">
        <v>85</v>
      </c>
      <c r="J391" t="s">
        <v>751</v>
      </c>
      <c r="K391" t="s">
        <v>149</v>
      </c>
      <c r="L391" t="s">
        <v>53</v>
      </c>
      <c r="M391" t="s">
        <v>482</v>
      </c>
      <c r="N391" s="7">
        <v>1477.3338269921924</v>
      </c>
      <c r="O391" s="7">
        <v>369.33345674804809</v>
      </c>
      <c r="P391" s="7">
        <v>3</v>
      </c>
      <c r="Q391" s="7">
        <v>17543.339195532284</v>
      </c>
      <c r="R391" s="7">
        <v>369.33345674804809</v>
      </c>
      <c r="S391" s="7">
        <v>3</v>
      </c>
      <c r="T391" s="7">
        <v>639.70431202266172</v>
      </c>
      <c r="U391" s="7">
        <v>639.70431202266172</v>
      </c>
      <c r="V391" s="7">
        <v>2.474435349920705</v>
      </c>
      <c r="W391" s="7">
        <v>6.2943213296398889E-2</v>
      </c>
      <c r="X391" t="s">
        <v>752</v>
      </c>
      <c r="Y391" t="s">
        <v>753</v>
      </c>
      <c r="Z391" t="s">
        <v>515</v>
      </c>
      <c r="AA391" t="s">
        <v>790</v>
      </c>
      <c r="AB391" t="s">
        <v>92</v>
      </c>
      <c r="AC391" t="s">
        <v>747</v>
      </c>
      <c r="AD391" t="s">
        <v>747</v>
      </c>
      <c r="AE391" t="s">
        <v>1746</v>
      </c>
      <c r="AF391" t="s">
        <v>1749</v>
      </c>
      <c r="AG391" t="s">
        <v>1746</v>
      </c>
      <c r="AI391" t="s">
        <v>53</v>
      </c>
      <c r="AJ391" t="s">
        <v>1636</v>
      </c>
      <c r="AK391" t="s">
        <v>1637</v>
      </c>
      <c r="AL391" s="4">
        <v>3.6</v>
      </c>
      <c r="AM391" t="s">
        <v>185</v>
      </c>
      <c r="AN391">
        <v>3.6</v>
      </c>
      <c r="AO391" t="s">
        <v>1665</v>
      </c>
      <c r="AP391" t="s">
        <v>1639</v>
      </c>
      <c r="AQ391" t="s">
        <v>1640</v>
      </c>
      <c r="AR391" t="s">
        <v>1641</v>
      </c>
      <c r="AS391">
        <v>1</v>
      </c>
      <c r="AT391">
        <v>0</v>
      </c>
      <c r="AU391">
        <v>0</v>
      </c>
      <c r="AV391">
        <v>1</v>
      </c>
      <c r="AW391">
        <v>0</v>
      </c>
      <c r="AX391">
        <v>1</v>
      </c>
      <c r="AY391" t="s">
        <v>1642</v>
      </c>
    </row>
    <row r="392" spans="1:51">
      <c r="A392" t="s">
        <v>747</v>
      </c>
      <c r="B392" t="s">
        <v>793</v>
      </c>
      <c r="C392" t="s">
        <v>81</v>
      </c>
      <c r="D392" t="s">
        <v>749</v>
      </c>
      <c r="E392" t="s">
        <v>750</v>
      </c>
      <c r="F392">
        <v>2.4</v>
      </c>
      <c r="G392" t="s">
        <v>185</v>
      </c>
      <c r="H392" t="s">
        <v>84</v>
      </c>
      <c r="I392" t="s">
        <v>85</v>
      </c>
      <c r="J392" t="s">
        <v>751</v>
      </c>
      <c r="K392" t="s">
        <v>452</v>
      </c>
      <c r="L392" t="s">
        <v>53</v>
      </c>
      <c r="M392" t="s">
        <v>482</v>
      </c>
      <c r="N392" s="7">
        <v>1754.3339195532285</v>
      </c>
      <c r="O392" s="7">
        <v>369.33345674804809</v>
      </c>
      <c r="P392" s="7">
        <v>3</v>
      </c>
      <c r="Q392" s="7">
        <v>1015.6670060571323</v>
      </c>
      <c r="R392" s="7">
        <v>369.33345674804809</v>
      </c>
      <c r="S392" s="7">
        <v>3</v>
      </c>
      <c r="T392" s="7">
        <v>639.70431202266172</v>
      </c>
      <c r="U392" s="7">
        <v>639.70431202266172</v>
      </c>
      <c r="V392" s="7">
        <v>-0.54654370636806993</v>
      </c>
      <c r="W392" s="7">
        <v>0.17655273459856688</v>
      </c>
      <c r="X392" t="s">
        <v>752</v>
      </c>
      <c r="Y392" t="s">
        <v>753</v>
      </c>
      <c r="Z392" t="s">
        <v>515</v>
      </c>
      <c r="AA392" t="s">
        <v>794</v>
      </c>
      <c r="AB392" t="s">
        <v>92</v>
      </c>
      <c r="AC392" t="s">
        <v>747</v>
      </c>
      <c r="AD392" t="s">
        <v>747</v>
      </c>
      <c r="AE392" t="s">
        <v>1746</v>
      </c>
      <c r="AF392" t="s">
        <v>1747</v>
      </c>
      <c r="AG392" t="s">
        <v>1746</v>
      </c>
      <c r="AI392" t="s">
        <v>53</v>
      </c>
      <c r="AJ392" t="s">
        <v>1636</v>
      </c>
      <c r="AK392" t="s">
        <v>1637</v>
      </c>
      <c r="AL392" s="4">
        <v>2.4</v>
      </c>
      <c r="AM392" t="s">
        <v>185</v>
      </c>
      <c r="AN392">
        <v>2.4</v>
      </c>
      <c r="AO392" t="s">
        <v>1665</v>
      </c>
      <c r="AP392" t="s">
        <v>1639</v>
      </c>
      <c r="AQ392" t="s">
        <v>1640</v>
      </c>
      <c r="AR392" t="s">
        <v>1641</v>
      </c>
      <c r="AS392">
        <v>1</v>
      </c>
      <c r="AT392">
        <v>0</v>
      </c>
      <c r="AU392">
        <v>0</v>
      </c>
      <c r="AV392">
        <v>1</v>
      </c>
      <c r="AW392">
        <v>0</v>
      </c>
      <c r="AX392">
        <v>0</v>
      </c>
      <c r="AY392" t="s">
        <v>1642</v>
      </c>
    </row>
    <row r="393" spans="1:51">
      <c r="A393" t="s">
        <v>747</v>
      </c>
      <c r="B393" t="s">
        <v>795</v>
      </c>
      <c r="C393" t="s">
        <v>81</v>
      </c>
      <c r="D393" t="s">
        <v>749</v>
      </c>
      <c r="E393" t="s">
        <v>94</v>
      </c>
      <c r="F393">
        <v>4.5999999999999996</v>
      </c>
      <c r="G393" t="s">
        <v>185</v>
      </c>
      <c r="H393" t="s">
        <v>84</v>
      </c>
      <c r="I393" t="s">
        <v>85</v>
      </c>
      <c r="J393" t="s">
        <v>751</v>
      </c>
      <c r="K393" t="s">
        <v>452</v>
      </c>
      <c r="L393" t="s">
        <v>53</v>
      </c>
      <c r="M393" t="s">
        <v>482</v>
      </c>
      <c r="N393" s="7">
        <v>1754.3339195532285</v>
      </c>
      <c r="O393" s="7">
        <v>369.33345674804809</v>
      </c>
      <c r="P393" s="7">
        <v>3</v>
      </c>
      <c r="Q393" s="7">
        <v>1108.0003702441443</v>
      </c>
      <c r="R393" s="7">
        <v>369.33345674804809</v>
      </c>
      <c r="S393" s="7">
        <v>3</v>
      </c>
      <c r="T393" s="7">
        <v>639.70431202266172</v>
      </c>
      <c r="U393" s="7">
        <v>639.70431202266172</v>
      </c>
      <c r="V393" s="7">
        <v>-0.45953232937844019</v>
      </c>
      <c r="W393" s="7">
        <v>0.15543244075100032</v>
      </c>
      <c r="X393" t="s">
        <v>752</v>
      </c>
      <c r="Y393" t="s">
        <v>753</v>
      </c>
      <c r="Z393" t="s">
        <v>515</v>
      </c>
      <c r="AA393" t="s">
        <v>794</v>
      </c>
      <c r="AB393" t="s">
        <v>92</v>
      </c>
      <c r="AC393" t="s">
        <v>747</v>
      </c>
      <c r="AD393" t="s">
        <v>747</v>
      </c>
      <c r="AE393" t="s">
        <v>1746</v>
      </c>
      <c r="AF393" t="s">
        <v>1748</v>
      </c>
      <c r="AG393" t="s">
        <v>1746</v>
      </c>
      <c r="AI393" t="s">
        <v>53</v>
      </c>
      <c r="AJ393" t="s">
        <v>1636</v>
      </c>
      <c r="AK393" t="s">
        <v>1637</v>
      </c>
      <c r="AL393" s="4">
        <v>4.5999999999999996</v>
      </c>
      <c r="AM393" t="s">
        <v>185</v>
      </c>
      <c r="AN393">
        <v>4.5999999999999996</v>
      </c>
      <c r="AO393" t="s">
        <v>1665</v>
      </c>
      <c r="AP393" t="s">
        <v>1639</v>
      </c>
      <c r="AQ393" t="s">
        <v>1640</v>
      </c>
      <c r="AR393" t="s">
        <v>1641</v>
      </c>
      <c r="AS393">
        <v>1</v>
      </c>
      <c r="AT393">
        <v>0</v>
      </c>
      <c r="AU393">
        <v>0</v>
      </c>
      <c r="AV393">
        <v>1</v>
      </c>
      <c r="AW393">
        <v>0</v>
      </c>
      <c r="AX393">
        <v>0</v>
      </c>
      <c r="AY393" t="s">
        <v>1642</v>
      </c>
    </row>
    <row r="394" spans="1:51">
      <c r="A394" t="s">
        <v>747</v>
      </c>
      <c r="B394" t="s">
        <v>796</v>
      </c>
      <c r="C394" t="s">
        <v>81</v>
      </c>
      <c r="D394" t="s">
        <v>749</v>
      </c>
      <c r="E394" t="s">
        <v>560</v>
      </c>
      <c r="F394">
        <v>3.6</v>
      </c>
      <c r="G394" t="s">
        <v>185</v>
      </c>
      <c r="H394" t="s">
        <v>84</v>
      </c>
      <c r="I394" t="s">
        <v>85</v>
      </c>
      <c r="J394" t="s">
        <v>751</v>
      </c>
      <c r="K394" t="s">
        <v>452</v>
      </c>
      <c r="L394" t="s">
        <v>53</v>
      </c>
      <c r="M394" t="s">
        <v>482</v>
      </c>
      <c r="N394" s="7">
        <v>1754.3339195532285</v>
      </c>
      <c r="O394" s="7">
        <v>369.33345674804809</v>
      </c>
      <c r="P394" s="7">
        <v>3</v>
      </c>
      <c r="Q394" s="7">
        <v>12003.337344311563</v>
      </c>
      <c r="R394" s="7">
        <v>369.33345674804809</v>
      </c>
      <c r="S394" s="7">
        <v>3</v>
      </c>
      <c r="T394" s="7">
        <v>639.70431202266172</v>
      </c>
      <c r="U394" s="7">
        <v>639.70431202266172</v>
      </c>
      <c r="V394" s="7">
        <v>1.9230954712891419</v>
      </c>
      <c r="W394" s="7">
        <v>4.5268075202019364E-2</v>
      </c>
      <c r="X394" t="s">
        <v>752</v>
      </c>
      <c r="Y394" t="s">
        <v>753</v>
      </c>
      <c r="Z394" t="s">
        <v>515</v>
      </c>
      <c r="AA394" t="s">
        <v>794</v>
      </c>
      <c r="AB394" t="s">
        <v>92</v>
      </c>
      <c r="AC394" t="s">
        <v>747</v>
      </c>
      <c r="AD394" t="s">
        <v>747</v>
      </c>
      <c r="AE394" t="s">
        <v>1746</v>
      </c>
      <c r="AF394" t="s">
        <v>1749</v>
      </c>
      <c r="AG394" t="s">
        <v>1746</v>
      </c>
      <c r="AI394" t="s">
        <v>53</v>
      </c>
      <c r="AJ394" t="s">
        <v>1636</v>
      </c>
      <c r="AK394" t="s">
        <v>1637</v>
      </c>
      <c r="AL394" s="4">
        <v>3.6</v>
      </c>
      <c r="AM394" t="s">
        <v>185</v>
      </c>
      <c r="AN394">
        <v>3.6</v>
      </c>
      <c r="AO394" t="s">
        <v>1665</v>
      </c>
      <c r="AP394" t="s">
        <v>1639</v>
      </c>
      <c r="AQ394" t="s">
        <v>1640</v>
      </c>
      <c r="AR394" t="s">
        <v>1641</v>
      </c>
      <c r="AS394">
        <v>1</v>
      </c>
      <c r="AT394">
        <v>0</v>
      </c>
      <c r="AU394">
        <v>0</v>
      </c>
      <c r="AV394">
        <v>1</v>
      </c>
      <c r="AW394">
        <v>0</v>
      </c>
      <c r="AX394">
        <v>1</v>
      </c>
      <c r="AY394" t="s">
        <v>1642</v>
      </c>
    </row>
    <row r="395" spans="1:51">
      <c r="A395" t="s">
        <v>747</v>
      </c>
      <c r="B395" t="s">
        <v>797</v>
      </c>
      <c r="C395" t="s">
        <v>81</v>
      </c>
      <c r="D395" t="s">
        <v>749</v>
      </c>
      <c r="E395" t="s">
        <v>750</v>
      </c>
      <c r="F395">
        <v>2.4</v>
      </c>
      <c r="G395" t="s">
        <v>185</v>
      </c>
      <c r="H395" t="s">
        <v>84</v>
      </c>
      <c r="I395" t="s">
        <v>85</v>
      </c>
      <c r="J395" t="s">
        <v>751</v>
      </c>
      <c r="K395" t="s">
        <v>29</v>
      </c>
      <c r="L395" t="s">
        <v>53</v>
      </c>
      <c r="M395" t="s">
        <v>482</v>
      </c>
      <c r="N395" s="7">
        <v>1477.3338269921924</v>
      </c>
      <c r="O395" s="7">
        <v>369.33345674804809</v>
      </c>
      <c r="P395" s="7">
        <v>3</v>
      </c>
      <c r="Q395" s="7">
        <v>1292.6670986181684</v>
      </c>
      <c r="R395" s="7">
        <v>369.33345674804809</v>
      </c>
      <c r="S395" s="7">
        <v>3</v>
      </c>
      <c r="T395" s="7">
        <v>639.70431202266172</v>
      </c>
      <c r="U395" s="7">
        <v>639.70431202266172</v>
      </c>
      <c r="V395" s="7">
        <v>-0.13353139262452249</v>
      </c>
      <c r="W395" s="7">
        <v>0.14413265306122447</v>
      </c>
      <c r="X395" t="s">
        <v>752</v>
      </c>
      <c r="Y395" t="s">
        <v>753</v>
      </c>
      <c r="Z395" t="s">
        <v>515</v>
      </c>
      <c r="AA395" t="s">
        <v>798</v>
      </c>
      <c r="AB395" t="s">
        <v>92</v>
      </c>
      <c r="AC395" t="s">
        <v>747</v>
      </c>
      <c r="AD395" t="s">
        <v>747</v>
      </c>
      <c r="AE395" t="s">
        <v>1746</v>
      </c>
      <c r="AF395" t="s">
        <v>1747</v>
      </c>
      <c r="AG395" t="s">
        <v>1746</v>
      </c>
      <c r="AI395" t="s">
        <v>53</v>
      </c>
      <c r="AJ395" t="s">
        <v>1636</v>
      </c>
      <c r="AK395" t="s">
        <v>1637</v>
      </c>
      <c r="AL395" s="4">
        <v>2.4</v>
      </c>
      <c r="AM395" t="s">
        <v>185</v>
      </c>
      <c r="AN395">
        <v>2.4</v>
      </c>
      <c r="AO395" t="s">
        <v>1665</v>
      </c>
      <c r="AP395" t="s">
        <v>1639</v>
      </c>
      <c r="AQ395" t="s">
        <v>1640</v>
      </c>
      <c r="AR395" t="s">
        <v>1641</v>
      </c>
      <c r="AS395">
        <v>1</v>
      </c>
      <c r="AT395">
        <v>0</v>
      </c>
      <c r="AU395">
        <v>0</v>
      </c>
      <c r="AV395">
        <v>1</v>
      </c>
      <c r="AW395">
        <v>0</v>
      </c>
      <c r="AX395">
        <v>0</v>
      </c>
      <c r="AY395" t="s">
        <v>1642</v>
      </c>
    </row>
    <row r="396" spans="1:51">
      <c r="A396" t="s">
        <v>747</v>
      </c>
      <c r="B396" t="s">
        <v>799</v>
      </c>
      <c r="C396" t="s">
        <v>81</v>
      </c>
      <c r="D396" t="s">
        <v>749</v>
      </c>
      <c r="E396" t="s">
        <v>94</v>
      </c>
      <c r="F396">
        <v>4.5999999999999996</v>
      </c>
      <c r="G396" t="s">
        <v>185</v>
      </c>
      <c r="H396" t="s">
        <v>84</v>
      </c>
      <c r="I396" t="s">
        <v>85</v>
      </c>
      <c r="J396" t="s">
        <v>751</v>
      </c>
      <c r="K396" t="s">
        <v>29</v>
      </c>
      <c r="L396" t="s">
        <v>53</v>
      </c>
      <c r="M396" t="s">
        <v>482</v>
      </c>
      <c r="N396" s="7">
        <v>1477.3338269921924</v>
      </c>
      <c r="O396" s="7">
        <v>369.33345674804809</v>
      </c>
      <c r="P396" s="7">
        <v>3</v>
      </c>
      <c r="Q396" s="7">
        <v>1292.6670986181684</v>
      </c>
      <c r="R396" s="7">
        <v>369.33345674804809</v>
      </c>
      <c r="S396" s="7">
        <v>3</v>
      </c>
      <c r="T396" s="7">
        <v>639.70431202266172</v>
      </c>
      <c r="U396" s="7">
        <v>639.70431202266172</v>
      </c>
      <c r="V396" s="7">
        <v>-0.13353139262452249</v>
      </c>
      <c r="W396" s="7">
        <v>0.14413265306122447</v>
      </c>
      <c r="X396" t="s">
        <v>752</v>
      </c>
      <c r="Y396" t="s">
        <v>753</v>
      </c>
      <c r="Z396" t="s">
        <v>515</v>
      </c>
      <c r="AA396" t="s">
        <v>798</v>
      </c>
      <c r="AB396" t="s">
        <v>92</v>
      </c>
      <c r="AC396" t="s">
        <v>747</v>
      </c>
      <c r="AD396" t="s">
        <v>747</v>
      </c>
      <c r="AE396" t="s">
        <v>1746</v>
      </c>
      <c r="AF396" t="s">
        <v>1748</v>
      </c>
      <c r="AG396" t="s">
        <v>1746</v>
      </c>
      <c r="AI396" t="s">
        <v>53</v>
      </c>
      <c r="AJ396" t="s">
        <v>1636</v>
      </c>
      <c r="AK396" t="s">
        <v>1637</v>
      </c>
      <c r="AL396" s="4">
        <v>4.5999999999999996</v>
      </c>
      <c r="AM396" t="s">
        <v>185</v>
      </c>
      <c r="AN396">
        <v>4.5999999999999996</v>
      </c>
      <c r="AO396" t="s">
        <v>1665</v>
      </c>
      <c r="AP396" t="s">
        <v>1639</v>
      </c>
      <c r="AQ396" t="s">
        <v>1640</v>
      </c>
      <c r="AR396" t="s">
        <v>1641</v>
      </c>
      <c r="AS396">
        <v>1</v>
      </c>
      <c r="AT396">
        <v>0</v>
      </c>
      <c r="AU396">
        <v>0</v>
      </c>
      <c r="AV396">
        <v>1</v>
      </c>
      <c r="AW396">
        <v>0</v>
      </c>
      <c r="AX396">
        <v>0</v>
      </c>
      <c r="AY396" t="s">
        <v>1642</v>
      </c>
    </row>
    <row r="397" spans="1:51">
      <c r="A397" t="s">
        <v>747</v>
      </c>
      <c r="B397" t="s">
        <v>800</v>
      </c>
      <c r="C397" t="s">
        <v>81</v>
      </c>
      <c r="D397" t="s">
        <v>749</v>
      </c>
      <c r="E397" t="s">
        <v>560</v>
      </c>
      <c r="F397">
        <v>3.6</v>
      </c>
      <c r="G397" t="s">
        <v>185</v>
      </c>
      <c r="H397" t="s">
        <v>84</v>
      </c>
      <c r="I397" t="s">
        <v>85</v>
      </c>
      <c r="J397" t="s">
        <v>751</v>
      </c>
      <c r="K397" t="s">
        <v>29</v>
      </c>
      <c r="L397" t="s">
        <v>53</v>
      </c>
      <c r="M397" t="s">
        <v>482</v>
      </c>
      <c r="N397" s="7">
        <v>1477.3338269921924</v>
      </c>
      <c r="O397" s="7">
        <v>369.33345674804809</v>
      </c>
      <c r="P397" s="7">
        <v>3</v>
      </c>
      <c r="Q397" s="7">
        <v>16158.338732727105</v>
      </c>
      <c r="R397" s="7">
        <v>369.33345674804809</v>
      </c>
      <c r="S397" s="7">
        <v>3</v>
      </c>
      <c r="T397" s="7">
        <v>639.70431202266172</v>
      </c>
      <c r="U397" s="7">
        <v>639.70431202266172</v>
      </c>
      <c r="V397" s="7">
        <v>2.3921972516837329</v>
      </c>
      <c r="W397" s="7">
        <v>6.3022448979591833E-2</v>
      </c>
      <c r="X397" t="s">
        <v>752</v>
      </c>
      <c r="Y397" t="s">
        <v>753</v>
      </c>
      <c r="Z397" t="s">
        <v>515</v>
      </c>
      <c r="AA397" t="s">
        <v>798</v>
      </c>
      <c r="AB397" t="s">
        <v>92</v>
      </c>
      <c r="AC397" t="s">
        <v>747</v>
      </c>
      <c r="AD397" t="s">
        <v>747</v>
      </c>
      <c r="AE397" t="s">
        <v>1746</v>
      </c>
      <c r="AF397" t="s">
        <v>1749</v>
      </c>
      <c r="AG397" t="s">
        <v>1746</v>
      </c>
      <c r="AI397" t="s">
        <v>53</v>
      </c>
      <c r="AJ397" t="s">
        <v>1636</v>
      </c>
      <c r="AK397" t="s">
        <v>1637</v>
      </c>
      <c r="AL397" s="4">
        <v>3.6</v>
      </c>
      <c r="AM397" t="s">
        <v>185</v>
      </c>
      <c r="AN397">
        <v>3.6</v>
      </c>
      <c r="AO397" t="s">
        <v>1665</v>
      </c>
      <c r="AP397" t="s">
        <v>1639</v>
      </c>
      <c r="AQ397" t="s">
        <v>1640</v>
      </c>
      <c r="AR397" t="s">
        <v>1641</v>
      </c>
      <c r="AS397">
        <v>1</v>
      </c>
      <c r="AT397">
        <v>0</v>
      </c>
      <c r="AU397">
        <v>0</v>
      </c>
      <c r="AV397">
        <v>1</v>
      </c>
      <c r="AW397">
        <v>0</v>
      </c>
      <c r="AX397">
        <v>1</v>
      </c>
      <c r="AY397" t="s">
        <v>1642</v>
      </c>
    </row>
    <row r="398" spans="1:51">
      <c r="A398" t="s">
        <v>747</v>
      </c>
      <c r="B398" t="s">
        <v>801</v>
      </c>
      <c r="C398" t="s">
        <v>81</v>
      </c>
      <c r="D398" t="s">
        <v>749</v>
      </c>
      <c r="E398" t="s">
        <v>750</v>
      </c>
      <c r="F398">
        <v>2.4</v>
      </c>
      <c r="G398" t="s">
        <v>185</v>
      </c>
      <c r="H398" t="s">
        <v>84</v>
      </c>
      <c r="I398" t="s">
        <v>85</v>
      </c>
      <c r="J398" t="s">
        <v>751</v>
      </c>
      <c r="K398" t="s">
        <v>149</v>
      </c>
      <c r="L398" t="s">
        <v>34</v>
      </c>
      <c r="M398" t="s">
        <v>482</v>
      </c>
      <c r="N398" s="7">
        <v>717.83637352601261</v>
      </c>
      <c r="O398" s="7">
        <v>69.022728223655065</v>
      </c>
      <c r="P398" s="7">
        <v>3</v>
      </c>
      <c r="Q398" s="7">
        <v>980.12274077590189</v>
      </c>
      <c r="R398" s="7">
        <v>69.022728223655065</v>
      </c>
      <c r="S398" s="7">
        <v>3</v>
      </c>
      <c r="T398" s="7">
        <v>119.55087216038889</v>
      </c>
      <c r="U398" s="7">
        <v>119.55087216038889</v>
      </c>
      <c r="V398" s="7">
        <v>0.31143615845988809</v>
      </c>
      <c r="W398" s="7">
        <v>1.4204895595759742E-2</v>
      </c>
      <c r="X398" t="s">
        <v>752</v>
      </c>
      <c r="Y398" t="s">
        <v>753</v>
      </c>
      <c r="Z398" t="s">
        <v>515</v>
      </c>
      <c r="AA398" t="s">
        <v>802</v>
      </c>
      <c r="AB398" t="s">
        <v>92</v>
      </c>
      <c r="AC398" t="s">
        <v>747</v>
      </c>
      <c r="AD398" t="s">
        <v>747</v>
      </c>
      <c r="AE398" t="s">
        <v>1746</v>
      </c>
      <c r="AF398" t="s">
        <v>1747</v>
      </c>
      <c r="AG398" t="s">
        <v>1746</v>
      </c>
      <c r="AI398" t="s">
        <v>34</v>
      </c>
      <c r="AJ398" t="s">
        <v>1636</v>
      </c>
      <c r="AK398" t="s">
        <v>1637</v>
      </c>
      <c r="AL398" s="4">
        <v>2.4</v>
      </c>
      <c r="AM398" t="s">
        <v>185</v>
      </c>
      <c r="AN398">
        <v>2.4</v>
      </c>
      <c r="AO398" t="s">
        <v>1665</v>
      </c>
      <c r="AP398" t="s">
        <v>1639</v>
      </c>
      <c r="AQ398" t="s">
        <v>1640</v>
      </c>
      <c r="AR398" t="s">
        <v>1641</v>
      </c>
      <c r="AS398">
        <v>1</v>
      </c>
      <c r="AT398">
        <v>0</v>
      </c>
      <c r="AU398">
        <v>0</v>
      </c>
      <c r="AV398">
        <v>1</v>
      </c>
      <c r="AW398">
        <v>0</v>
      </c>
      <c r="AX398">
        <v>0</v>
      </c>
      <c r="AY398" t="s">
        <v>1642</v>
      </c>
    </row>
    <row r="399" spans="1:51">
      <c r="A399" t="s">
        <v>747</v>
      </c>
      <c r="B399" t="s">
        <v>803</v>
      </c>
      <c r="C399" t="s">
        <v>81</v>
      </c>
      <c r="D399" t="s">
        <v>749</v>
      </c>
      <c r="E399" t="s">
        <v>94</v>
      </c>
      <c r="F399">
        <v>4.5999999999999996</v>
      </c>
      <c r="G399" t="s">
        <v>185</v>
      </c>
      <c r="H399" t="s">
        <v>84</v>
      </c>
      <c r="I399" t="s">
        <v>85</v>
      </c>
      <c r="J399" t="s">
        <v>751</v>
      </c>
      <c r="K399" t="s">
        <v>149</v>
      </c>
      <c r="L399" t="s">
        <v>34</v>
      </c>
      <c r="M399" t="s">
        <v>482</v>
      </c>
      <c r="N399" s="7">
        <v>717.83637352601261</v>
      </c>
      <c r="O399" s="7">
        <v>69.022728223655065</v>
      </c>
      <c r="P399" s="7">
        <v>3</v>
      </c>
      <c r="Q399" s="7">
        <v>1442.5750198743908</v>
      </c>
      <c r="R399" s="7">
        <v>69.022728223655065</v>
      </c>
      <c r="S399" s="7">
        <v>3</v>
      </c>
      <c r="T399" s="7">
        <v>119.55087216038889</v>
      </c>
      <c r="U399" s="7">
        <v>119.55087216038889</v>
      </c>
      <c r="V399" s="7">
        <v>0.69794335282343833</v>
      </c>
      <c r="W399" s="7">
        <v>1.1534887008270964E-2</v>
      </c>
      <c r="X399" t="s">
        <v>752</v>
      </c>
      <c r="Y399" t="s">
        <v>753</v>
      </c>
      <c r="Z399" t="s">
        <v>515</v>
      </c>
      <c r="AA399" t="s">
        <v>802</v>
      </c>
      <c r="AB399" t="s">
        <v>92</v>
      </c>
      <c r="AC399" t="s">
        <v>747</v>
      </c>
      <c r="AD399" t="s">
        <v>747</v>
      </c>
      <c r="AE399" t="s">
        <v>1746</v>
      </c>
      <c r="AF399" t="s">
        <v>1748</v>
      </c>
      <c r="AG399" t="s">
        <v>1746</v>
      </c>
      <c r="AI399" t="s">
        <v>34</v>
      </c>
      <c r="AJ399" t="s">
        <v>1636</v>
      </c>
      <c r="AK399" t="s">
        <v>1637</v>
      </c>
      <c r="AL399" s="4">
        <v>4.5999999999999996</v>
      </c>
      <c r="AM399" t="s">
        <v>185</v>
      </c>
      <c r="AN399">
        <v>4.5999999999999996</v>
      </c>
      <c r="AO399" t="s">
        <v>1665</v>
      </c>
      <c r="AP399" t="s">
        <v>1639</v>
      </c>
      <c r="AQ399" t="s">
        <v>1640</v>
      </c>
      <c r="AR399" t="s">
        <v>1641</v>
      </c>
      <c r="AS399">
        <v>1</v>
      </c>
      <c r="AT399">
        <v>0</v>
      </c>
      <c r="AU399">
        <v>0</v>
      </c>
      <c r="AV399">
        <v>1</v>
      </c>
      <c r="AW399">
        <v>0</v>
      </c>
      <c r="AX399">
        <v>0</v>
      </c>
      <c r="AY399" t="s">
        <v>1642</v>
      </c>
    </row>
    <row r="400" spans="1:51">
      <c r="A400" t="s">
        <v>747</v>
      </c>
      <c r="B400" t="s">
        <v>804</v>
      </c>
      <c r="C400" t="s">
        <v>81</v>
      </c>
      <c r="D400" t="s">
        <v>749</v>
      </c>
      <c r="E400" t="s">
        <v>560</v>
      </c>
      <c r="F400">
        <v>3.6</v>
      </c>
      <c r="G400" t="s">
        <v>185</v>
      </c>
      <c r="H400" t="s">
        <v>84</v>
      </c>
      <c r="I400" t="s">
        <v>85</v>
      </c>
      <c r="J400" t="s">
        <v>751</v>
      </c>
      <c r="K400" t="s">
        <v>149</v>
      </c>
      <c r="L400" t="s">
        <v>34</v>
      </c>
      <c r="M400" t="s">
        <v>482</v>
      </c>
      <c r="N400" s="7">
        <v>717.83637352601261</v>
      </c>
      <c r="O400" s="7">
        <v>69.022728223655065</v>
      </c>
      <c r="P400" s="7">
        <v>3</v>
      </c>
      <c r="Q400" s="7">
        <v>738.54319199310919</v>
      </c>
      <c r="R400" s="7">
        <v>69.022728223655065</v>
      </c>
      <c r="S400" s="7">
        <v>3</v>
      </c>
      <c r="T400" s="7">
        <v>119.55087216038889</v>
      </c>
      <c r="U400" s="7">
        <v>119.55087216038889</v>
      </c>
      <c r="V400" s="7">
        <v>2.8437935320533625E-2</v>
      </c>
      <c r="W400" s="7">
        <v>1.7979949412909632E-2</v>
      </c>
      <c r="X400" t="s">
        <v>752</v>
      </c>
      <c r="Y400" t="s">
        <v>753</v>
      </c>
      <c r="Z400" t="s">
        <v>515</v>
      </c>
      <c r="AA400" t="s">
        <v>802</v>
      </c>
      <c r="AB400" t="s">
        <v>92</v>
      </c>
      <c r="AC400" t="s">
        <v>747</v>
      </c>
      <c r="AD400" t="s">
        <v>747</v>
      </c>
      <c r="AE400" t="s">
        <v>1746</v>
      </c>
      <c r="AF400" t="s">
        <v>1749</v>
      </c>
      <c r="AG400" t="s">
        <v>1746</v>
      </c>
      <c r="AI400" t="s">
        <v>34</v>
      </c>
      <c r="AJ400" t="s">
        <v>1636</v>
      </c>
      <c r="AK400" t="s">
        <v>1637</v>
      </c>
      <c r="AL400" s="4">
        <v>3.6</v>
      </c>
      <c r="AM400" t="s">
        <v>185</v>
      </c>
      <c r="AN400">
        <v>3.6</v>
      </c>
      <c r="AO400" t="s">
        <v>1665</v>
      </c>
      <c r="AP400" t="s">
        <v>1639</v>
      </c>
      <c r="AQ400" t="s">
        <v>1640</v>
      </c>
      <c r="AR400" t="s">
        <v>1641</v>
      </c>
      <c r="AS400">
        <v>1</v>
      </c>
      <c r="AT400">
        <v>0</v>
      </c>
      <c r="AU400">
        <v>0</v>
      </c>
      <c r="AV400">
        <v>1</v>
      </c>
      <c r="AW400">
        <v>0</v>
      </c>
      <c r="AX400">
        <v>0</v>
      </c>
      <c r="AY400" t="s">
        <v>1642</v>
      </c>
    </row>
    <row r="401" spans="1:51">
      <c r="A401" t="s">
        <v>747</v>
      </c>
      <c r="B401" t="s">
        <v>805</v>
      </c>
      <c r="C401" t="s">
        <v>81</v>
      </c>
      <c r="D401" t="s">
        <v>749</v>
      </c>
      <c r="E401" t="s">
        <v>750</v>
      </c>
      <c r="F401">
        <v>2.4</v>
      </c>
      <c r="G401" t="s">
        <v>185</v>
      </c>
      <c r="H401" t="s">
        <v>84</v>
      </c>
      <c r="I401" t="s">
        <v>85</v>
      </c>
      <c r="J401" t="s">
        <v>751</v>
      </c>
      <c r="K401" t="s">
        <v>452</v>
      </c>
      <c r="L401" t="s">
        <v>34</v>
      </c>
      <c r="M401" t="s">
        <v>482</v>
      </c>
      <c r="N401" s="7">
        <v>738.54319199310919</v>
      </c>
      <c r="O401" s="7">
        <v>69.022728223655065</v>
      </c>
      <c r="P401" s="7">
        <v>3</v>
      </c>
      <c r="Q401" s="7">
        <v>524.57273449977845</v>
      </c>
      <c r="R401" s="7">
        <v>69.022728223655065</v>
      </c>
      <c r="S401" s="7">
        <v>3</v>
      </c>
      <c r="T401" s="7">
        <v>119.55087216038889</v>
      </c>
      <c r="U401" s="7">
        <v>119.55087216038889</v>
      </c>
      <c r="V401" s="7">
        <v>-0.34209549417557517</v>
      </c>
      <c r="W401" s="7">
        <v>2.6047406673313837E-2</v>
      </c>
      <c r="X401" t="s">
        <v>752</v>
      </c>
      <c r="Y401" t="s">
        <v>753</v>
      </c>
      <c r="Z401" t="s">
        <v>515</v>
      </c>
      <c r="AA401" t="s">
        <v>806</v>
      </c>
      <c r="AB401" t="s">
        <v>92</v>
      </c>
      <c r="AC401" t="s">
        <v>747</v>
      </c>
      <c r="AD401" t="s">
        <v>747</v>
      </c>
      <c r="AE401" t="s">
        <v>1746</v>
      </c>
      <c r="AF401" t="s">
        <v>1747</v>
      </c>
      <c r="AG401" t="s">
        <v>1746</v>
      </c>
      <c r="AI401" t="s">
        <v>34</v>
      </c>
      <c r="AJ401" t="s">
        <v>1636</v>
      </c>
      <c r="AK401" t="s">
        <v>1637</v>
      </c>
      <c r="AL401" s="4">
        <v>2.4</v>
      </c>
      <c r="AM401" t="s">
        <v>185</v>
      </c>
      <c r="AN401">
        <v>2.4</v>
      </c>
      <c r="AO401" t="s">
        <v>1665</v>
      </c>
      <c r="AP401" t="s">
        <v>1639</v>
      </c>
      <c r="AQ401" t="s">
        <v>1640</v>
      </c>
      <c r="AR401" t="s">
        <v>1641</v>
      </c>
      <c r="AS401">
        <v>1</v>
      </c>
      <c r="AT401">
        <v>0</v>
      </c>
      <c r="AU401">
        <v>0</v>
      </c>
      <c r="AV401">
        <v>1</v>
      </c>
      <c r="AW401">
        <v>0</v>
      </c>
      <c r="AX401">
        <v>0</v>
      </c>
      <c r="AY401" t="s">
        <v>1642</v>
      </c>
    </row>
    <row r="402" spans="1:51">
      <c r="A402" t="s">
        <v>747</v>
      </c>
      <c r="B402" t="s">
        <v>807</v>
      </c>
      <c r="C402" t="s">
        <v>81</v>
      </c>
      <c r="D402" t="s">
        <v>749</v>
      </c>
      <c r="E402" t="s">
        <v>94</v>
      </c>
      <c r="F402">
        <v>4.5999999999999996</v>
      </c>
      <c r="G402" t="s">
        <v>185</v>
      </c>
      <c r="H402" t="s">
        <v>84</v>
      </c>
      <c r="I402" t="s">
        <v>85</v>
      </c>
      <c r="J402" t="s">
        <v>751</v>
      </c>
      <c r="K402" t="s">
        <v>452</v>
      </c>
      <c r="L402" t="s">
        <v>34</v>
      </c>
      <c r="M402" t="s">
        <v>482</v>
      </c>
      <c r="N402" s="7">
        <v>738.54319199310919</v>
      </c>
      <c r="O402" s="7">
        <v>69.022728223655065</v>
      </c>
      <c r="P402" s="7">
        <v>3</v>
      </c>
      <c r="Q402" s="7">
        <v>524.57273449977845</v>
      </c>
      <c r="R402" s="7">
        <v>69.022728223655065</v>
      </c>
      <c r="S402" s="7">
        <v>3</v>
      </c>
      <c r="T402" s="7">
        <v>119.55087216038889</v>
      </c>
      <c r="U402" s="7">
        <v>119.55087216038889</v>
      </c>
      <c r="V402" s="7">
        <v>-0.34209549417557517</v>
      </c>
      <c r="W402" s="7">
        <v>2.6047406673313837E-2</v>
      </c>
      <c r="X402" t="s">
        <v>752</v>
      </c>
      <c r="Y402" t="s">
        <v>753</v>
      </c>
      <c r="Z402" t="s">
        <v>515</v>
      </c>
      <c r="AA402" t="s">
        <v>806</v>
      </c>
      <c r="AB402" t="s">
        <v>92</v>
      </c>
      <c r="AC402" t="s">
        <v>747</v>
      </c>
      <c r="AD402" t="s">
        <v>747</v>
      </c>
      <c r="AE402" t="s">
        <v>1746</v>
      </c>
      <c r="AF402" t="s">
        <v>1748</v>
      </c>
      <c r="AG402" t="s">
        <v>1746</v>
      </c>
      <c r="AI402" t="s">
        <v>34</v>
      </c>
      <c r="AJ402" t="s">
        <v>1636</v>
      </c>
      <c r="AK402" t="s">
        <v>1637</v>
      </c>
      <c r="AL402" s="4">
        <v>4.5999999999999996</v>
      </c>
      <c r="AM402" t="s">
        <v>185</v>
      </c>
      <c r="AN402">
        <v>4.5999999999999996</v>
      </c>
      <c r="AO402" t="s">
        <v>1665</v>
      </c>
      <c r="AP402" t="s">
        <v>1639</v>
      </c>
      <c r="AQ402" t="s">
        <v>1640</v>
      </c>
      <c r="AR402" t="s">
        <v>1641</v>
      </c>
      <c r="AS402">
        <v>1</v>
      </c>
      <c r="AT402">
        <v>0</v>
      </c>
      <c r="AU402">
        <v>0</v>
      </c>
      <c r="AV402">
        <v>1</v>
      </c>
      <c r="AW402">
        <v>0</v>
      </c>
      <c r="AX402">
        <v>0</v>
      </c>
      <c r="AY402" t="s">
        <v>1642</v>
      </c>
    </row>
    <row r="403" spans="1:51">
      <c r="A403" t="s">
        <v>747</v>
      </c>
      <c r="B403" t="s">
        <v>808</v>
      </c>
      <c r="C403" t="s">
        <v>81</v>
      </c>
      <c r="D403" t="s">
        <v>749</v>
      </c>
      <c r="E403" t="s">
        <v>560</v>
      </c>
      <c r="F403">
        <v>3.6</v>
      </c>
      <c r="G403" t="s">
        <v>185</v>
      </c>
      <c r="H403" t="s">
        <v>84</v>
      </c>
      <c r="I403" t="s">
        <v>85</v>
      </c>
      <c r="J403" t="s">
        <v>751</v>
      </c>
      <c r="K403" t="s">
        <v>452</v>
      </c>
      <c r="L403" t="s">
        <v>34</v>
      </c>
      <c r="M403" t="s">
        <v>482</v>
      </c>
      <c r="N403" s="7">
        <v>738.54319199310919</v>
      </c>
      <c r="O403" s="7">
        <v>69.022728223655065</v>
      </c>
      <c r="P403" s="7">
        <v>3</v>
      </c>
      <c r="Q403" s="7">
        <v>524.57273449977845</v>
      </c>
      <c r="R403" s="7">
        <v>69.022728223655065</v>
      </c>
      <c r="S403" s="7">
        <v>3</v>
      </c>
      <c r="T403" s="7">
        <v>119.55087216038889</v>
      </c>
      <c r="U403" s="7">
        <v>119.55087216038889</v>
      </c>
      <c r="V403" s="7">
        <v>-0.34209549417557517</v>
      </c>
      <c r="W403" s="7">
        <v>2.6047406673313837E-2</v>
      </c>
      <c r="X403" t="s">
        <v>752</v>
      </c>
      <c r="Y403" t="s">
        <v>753</v>
      </c>
      <c r="Z403" t="s">
        <v>515</v>
      </c>
      <c r="AA403" t="s">
        <v>806</v>
      </c>
      <c r="AB403" t="s">
        <v>92</v>
      </c>
      <c r="AC403" t="s">
        <v>747</v>
      </c>
      <c r="AD403" t="s">
        <v>747</v>
      </c>
      <c r="AE403" t="s">
        <v>1746</v>
      </c>
      <c r="AF403" t="s">
        <v>1749</v>
      </c>
      <c r="AG403" t="s">
        <v>1746</v>
      </c>
      <c r="AI403" t="s">
        <v>34</v>
      </c>
      <c r="AJ403" t="s">
        <v>1636</v>
      </c>
      <c r="AK403" t="s">
        <v>1637</v>
      </c>
      <c r="AL403" s="4">
        <v>3.6</v>
      </c>
      <c r="AM403" t="s">
        <v>185</v>
      </c>
      <c r="AN403">
        <v>3.6</v>
      </c>
      <c r="AO403" t="s">
        <v>1665</v>
      </c>
      <c r="AP403" t="s">
        <v>1639</v>
      </c>
      <c r="AQ403" t="s">
        <v>1640</v>
      </c>
      <c r="AR403" t="s">
        <v>1641</v>
      </c>
      <c r="AS403">
        <v>1</v>
      </c>
      <c r="AT403">
        <v>0</v>
      </c>
      <c r="AU403">
        <v>0</v>
      </c>
      <c r="AV403">
        <v>1</v>
      </c>
      <c r="AW403">
        <v>0</v>
      </c>
      <c r="AX403">
        <v>0</v>
      </c>
      <c r="AY403" t="s">
        <v>1642</v>
      </c>
    </row>
    <row r="404" spans="1:51">
      <c r="A404" t="s">
        <v>747</v>
      </c>
      <c r="B404" t="s">
        <v>809</v>
      </c>
      <c r="C404" t="s">
        <v>81</v>
      </c>
      <c r="D404" t="s">
        <v>749</v>
      </c>
      <c r="E404" t="s">
        <v>750</v>
      </c>
      <c r="F404">
        <v>2.4</v>
      </c>
      <c r="G404" t="s">
        <v>185</v>
      </c>
      <c r="H404" t="s">
        <v>84</v>
      </c>
      <c r="I404" t="s">
        <v>85</v>
      </c>
      <c r="J404" t="s">
        <v>751</v>
      </c>
      <c r="K404" t="s">
        <v>29</v>
      </c>
      <c r="L404" t="s">
        <v>34</v>
      </c>
      <c r="M404" t="s">
        <v>482</v>
      </c>
      <c r="N404" s="7">
        <v>565.9863714339715</v>
      </c>
      <c r="O404" s="7">
        <v>69.022728223655065</v>
      </c>
      <c r="P404" s="7">
        <v>3</v>
      </c>
      <c r="Q404" s="7">
        <v>448.64773345375789</v>
      </c>
      <c r="R404" s="7">
        <v>69.022728223655065</v>
      </c>
      <c r="S404" s="7">
        <v>3</v>
      </c>
      <c r="T404" s="7">
        <v>119.55087216038889</v>
      </c>
      <c r="U404" s="7">
        <v>119.55087216038889</v>
      </c>
      <c r="V404" s="7">
        <v>-0.23233197736861597</v>
      </c>
      <c r="W404" s="7">
        <v>3.8540738993766033E-2</v>
      </c>
      <c r="X404" t="s">
        <v>752</v>
      </c>
      <c r="Y404" t="s">
        <v>753</v>
      </c>
      <c r="Z404" t="s">
        <v>515</v>
      </c>
      <c r="AA404" t="s">
        <v>810</v>
      </c>
      <c r="AB404" t="s">
        <v>92</v>
      </c>
      <c r="AC404" t="s">
        <v>747</v>
      </c>
      <c r="AD404" t="s">
        <v>747</v>
      </c>
      <c r="AE404" t="s">
        <v>1746</v>
      </c>
      <c r="AF404" t="s">
        <v>1747</v>
      </c>
      <c r="AG404" t="s">
        <v>1746</v>
      </c>
      <c r="AI404" t="s">
        <v>34</v>
      </c>
      <c r="AJ404" t="s">
        <v>1636</v>
      </c>
      <c r="AK404" t="s">
        <v>1637</v>
      </c>
      <c r="AL404" s="4">
        <v>2.4</v>
      </c>
      <c r="AM404" t="s">
        <v>185</v>
      </c>
      <c r="AN404">
        <v>2.4</v>
      </c>
      <c r="AO404" t="s">
        <v>1665</v>
      </c>
      <c r="AP404" t="s">
        <v>1639</v>
      </c>
      <c r="AQ404" t="s">
        <v>1640</v>
      </c>
      <c r="AR404" t="s">
        <v>1641</v>
      </c>
      <c r="AS404">
        <v>1</v>
      </c>
      <c r="AT404">
        <v>0</v>
      </c>
      <c r="AU404">
        <v>0</v>
      </c>
      <c r="AV404">
        <v>1</v>
      </c>
      <c r="AW404">
        <v>0</v>
      </c>
      <c r="AX404">
        <v>0</v>
      </c>
      <c r="AY404" t="s">
        <v>1642</v>
      </c>
    </row>
    <row r="405" spans="1:51">
      <c r="A405" t="s">
        <v>747</v>
      </c>
      <c r="B405" t="s">
        <v>811</v>
      </c>
      <c r="C405" t="s">
        <v>81</v>
      </c>
      <c r="D405" t="s">
        <v>749</v>
      </c>
      <c r="E405" t="s">
        <v>94</v>
      </c>
      <c r="F405">
        <v>4.5999999999999996</v>
      </c>
      <c r="G405" t="s">
        <v>185</v>
      </c>
      <c r="H405" t="s">
        <v>84</v>
      </c>
      <c r="I405" t="s">
        <v>85</v>
      </c>
      <c r="J405" t="s">
        <v>751</v>
      </c>
      <c r="K405" t="s">
        <v>29</v>
      </c>
      <c r="L405" t="s">
        <v>34</v>
      </c>
      <c r="M405" t="s">
        <v>482</v>
      </c>
      <c r="N405" s="7">
        <v>565.9863714339715</v>
      </c>
      <c r="O405" s="7">
        <v>69.022728223655065</v>
      </c>
      <c r="P405" s="7">
        <v>3</v>
      </c>
      <c r="Q405" s="7">
        <v>476.25682474321991</v>
      </c>
      <c r="R405" s="7">
        <v>69.022728223655065</v>
      </c>
      <c r="S405" s="7">
        <v>3</v>
      </c>
      <c r="T405" s="7">
        <v>119.55087216038889</v>
      </c>
      <c r="U405" s="7">
        <v>119.55087216038889</v>
      </c>
      <c r="V405" s="7">
        <v>-0.17261274266699378</v>
      </c>
      <c r="W405" s="7">
        <v>3.5876090698755664E-2</v>
      </c>
      <c r="X405" t="s">
        <v>752</v>
      </c>
      <c r="Y405" t="s">
        <v>753</v>
      </c>
      <c r="Z405" t="s">
        <v>515</v>
      </c>
      <c r="AA405" t="s">
        <v>810</v>
      </c>
      <c r="AB405" t="s">
        <v>92</v>
      </c>
      <c r="AC405" t="s">
        <v>747</v>
      </c>
      <c r="AD405" t="s">
        <v>747</v>
      </c>
      <c r="AE405" t="s">
        <v>1746</v>
      </c>
      <c r="AF405" t="s">
        <v>1748</v>
      </c>
      <c r="AG405" t="s">
        <v>1746</v>
      </c>
      <c r="AI405" t="s">
        <v>34</v>
      </c>
      <c r="AJ405" t="s">
        <v>1636</v>
      </c>
      <c r="AK405" t="s">
        <v>1637</v>
      </c>
      <c r="AL405" s="4">
        <v>4.5999999999999996</v>
      </c>
      <c r="AM405" t="s">
        <v>185</v>
      </c>
      <c r="AN405">
        <v>4.5999999999999996</v>
      </c>
      <c r="AO405" t="s">
        <v>1665</v>
      </c>
      <c r="AP405" t="s">
        <v>1639</v>
      </c>
      <c r="AQ405" t="s">
        <v>1640</v>
      </c>
      <c r="AR405" t="s">
        <v>1641</v>
      </c>
      <c r="AS405">
        <v>1</v>
      </c>
      <c r="AT405">
        <v>0</v>
      </c>
      <c r="AU405">
        <v>0</v>
      </c>
      <c r="AV405">
        <v>1</v>
      </c>
      <c r="AW405">
        <v>0</v>
      </c>
      <c r="AX405">
        <v>0</v>
      </c>
      <c r="AY405" t="s">
        <v>1642</v>
      </c>
    </row>
    <row r="406" spans="1:51">
      <c r="A406" t="s">
        <v>747</v>
      </c>
      <c r="B406" t="s">
        <v>812</v>
      </c>
      <c r="C406" t="s">
        <v>81</v>
      </c>
      <c r="D406" t="s">
        <v>749</v>
      </c>
      <c r="E406" t="s">
        <v>560</v>
      </c>
      <c r="F406">
        <v>3.6</v>
      </c>
      <c r="G406" t="s">
        <v>185</v>
      </c>
      <c r="H406" t="s">
        <v>84</v>
      </c>
      <c r="I406" t="s">
        <v>85</v>
      </c>
      <c r="J406" t="s">
        <v>751</v>
      </c>
      <c r="K406" t="s">
        <v>29</v>
      </c>
      <c r="L406" t="s">
        <v>34</v>
      </c>
      <c r="M406" t="s">
        <v>482</v>
      </c>
      <c r="N406" s="7">
        <v>565.9863714339715</v>
      </c>
      <c r="O406" s="7">
        <v>69.022728223655065</v>
      </c>
      <c r="P406" s="7">
        <v>3</v>
      </c>
      <c r="Q406" s="7">
        <v>448.64773345375789</v>
      </c>
      <c r="R406" s="7">
        <v>69.022728223655065</v>
      </c>
      <c r="S406" s="7">
        <v>3</v>
      </c>
      <c r="T406" s="7">
        <v>119.55087216038889</v>
      </c>
      <c r="U406" s="7">
        <v>119.55087216038889</v>
      </c>
      <c r="V406" s="7">
        <v>-0.23233197736861597</v>
      </c>
      <c r="W406" s="7">
        <v>3.8540738993766033E-2</v>
      </c>
      <c r="X406" t="s">
        <v>752</v>
      </c>
      <c r="Y406" t="s">
        <v>753</v>
      </c>
      <c r="Z406" t="s">
        <v>515</v>
      </c>
      <c r="AA406" t="s">
        <v>810</v>
      </c>
      <c r="AB406" t="s">
        <v>92</v>
      </c>
      <c r="AC406" t="s">
        <v>747</v>
      </c>
      <c r="AD406" t="s">
        <v>747</v>
      </c>
      <c r="AE406" t="s">
        <v>1746</v>
      </c>
      <c r="AF406" t="s">
        <v>1749</v>
      </c>
      <c r="AG406" t="s">
        <v>1746</v>
      </c>
      <c r="AI406" t="s">
        <v>34</v>
      </c>
      <c r="AJ406" t="s">
        <v>1636</v>
      </c>
      <c r="AK406" t="s">
        <v>1637</v>
      </c>
      <c r="AL406" s="4">
        <v>3.6</v>
      </c>
      <c r="AM406" t="s">
        <v>185</v>
      </c>
      <c r="AN406">
        <v>3.6</v>
      </c>
      <c r="AO406" t="s">
        <v>1665</v>
      </c>
      <c r="AP406" t="s">
        <v>1639</v>
      </c>
      <c r="AQ406" t="s">
        <v>1640</v>
      </c>
      <c r="AR406" t="s">
        <v>1641</v>
      </c>
      <c r="AS406">
        <v>1</v>
      </c>
      <c r="AT406">
        <v>0</v>
      </c>
      <c r="AU406">
        <v>0</v>
      </c>
      <c r="AV406">
        <v>1</v>
      </c>
      <c r="AW406">
        <v>0</v>
      </c>
      <c r="AX406">
        <v>0</v>
      </c>
      <c r="AY406" t="s">
        <v>1642</v>
      </c>
    </row>
    <row r="407" spans="1:51">
      <c r="A407" t="s">
        <v>813</v>
      </c>
      <c r="B407" t="s">
        <v>814</v>
      </c>
      <c r="C407" t="s">
        <v>815</v>
      </c>
      <c r="E407" t="s">
        <v>96</v>
      </c>
      <c r="F407">
        <v>10</v>
      </c>
      <c r="G407" t="s">
        <v>185</v>
      </c>
      <c r="H407" t="s">
        <v>816</v>
      </c>
      <c r="I407" t="s">
        <v>377</v>
      </c>
      <c r="J407" t="s">
        <v>817</v>
      </c>
      <c r="K407" t="s">
        <v>29</v>
      </c>
      <c r="L407" t="s">
        <v>489</v>
      </c>
      <c r="M407" t="s">
        <v>818</v>
      </c>
      <c r="N407" s="7">
        <v>1159.58</v>
      </c>
      <c r="O407" s="7"/>
      <c r="P407" s="7">
        <v>3</v>
      </c>
      <c r="Q407" s="7">
        <v>446.78</v>
      </c>
      <c r="R407" s="7"/>
      <c r="S407" s="7">
        <v>3</v>
      </c>
      <c r="T407" s="7">
        <v>4.12</v>
      </c>
      <c r="U407" s="7">
        <v>7.01</v>
      </c>
      <c r="V407" s="7">
        <v>-0.95374684613632155</v>
      </c>
      <c r="W407" s="7">
        <v>8.6267171758536097E-5</v>
      </c>
      <c r="X407" t="s">
        <v>819</v>
      </c>
      <c r="Y407" t="s">
        <v>380</v>
      </c>
      <c r="Z407" t="s">
        <v>381</v>
      </c>
      <c r="AA407" t="s">
        <v>820</v>
      </c>
      <c r="AB407" t="s">
        <v>92</v>
      </c>
      <c r="AC407" t="s">
        <v>813</v>
      </c>
      <c r="AD407" t="s">
        <v>813</v>
      </c>
      <c r="AE407" t="s">
        <v>1750</v>
      </c>
      <c r="AF407" t="s">
        <v>1751</v>
      </c>
      <c r="AG407" t="s">
        <v>1750</v>
      </c>
      <c r="AI407" t="s">
        <v>489</v>
      </c>
      <c r="AJ407" t="s">
        <v>1636</v>
      </c>
      <c r="AK407" t="s">
        <v>1637</v>
      </c>
      <c r="AL407" s="4">
        <v>10</v>
      </c>
      <c r="AM407" t="s">
        <v>185</v>
      </c>
      <c r="AN407">
        <v>10</v>
      </c>
      <c r="AO407" t="s">
        <v>1665</v>
      </c>
      <c r="AP407" t="s">
        <v>1639</v>
      </c>
      <c r="AQ407" t="s">
        <v>1685</v>
      </c>
      <c r="AR407" t="s">
        <v>1686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 t="s">
        <v>1642</v>
      </c>
    </row>
    <row r="408" spans="1:51">
      <c r="A408" t="s">
        <v>813</v>
      </c>
      <c r="B408" t="s">
        <v>821</v>
      </c>
      <c r="C408" t="s">
        <v>815</v>
      </c>
      <c r="E408" t="s">
        <v>96</v>
      </c>
      <c r="F408">
        <v>20</v>
      </c>
      <c r="G408" t="s">
        <v>185</v>
      </c>
      <c r="H408" t="s">
        <v>816</v>
      </c>
      <c r="I408" t="s">
        <v>377</v>
      </c>
      <c r="J408" t="s">
        <v>817</v>
      </c>
      <c r="K408" t="s">
        <v>29</v>
      </c>
      <c r="L408" t="s">
        <v>489</v>
      </c>
      <c r="M408" t="s">
        <v>818</v>
      </c>
      <c r="N408" s="7">
        <v>1159.58</v>
      </c>
      <c r="O408" s="7"/>
      <c r="P408" s="7">
        <v>3</v>
      </c>
      <c r="Q408" s="7">
        <v>807.46</v>
      </c>
      <c r="R408" s="7"/>
      <c r="S408" s="7">
        <v>3</v>
      </c>
      <c r="T408" s="7">
        <v>4.12</v>
      </c>
      <c r="U408" s="7">
        <v>15.24</v>
      </c>
      <c r="V408" s="7">
        <v>-0.36191963130593124</v>
      </c>
      <c r="W408" s="7">
        <v>1.2295058608680681E-4</v>
      </c>
      <c r="X408" t="s">
        <v>819</v>
      </c>
      <c r="Y408" t="s">
        <v>380</v>
      </c>
      <c r="Z408" t="s">
        <v>381</v>
      </c>
      <c r="AA408" t="s">
        <v>820</v>
      </c>
      <c r="AB408" t="s">
        <v>92</v>
      </c>
      <c r="AC408" t="s">
        <v>813</v>
      </c>
      <c r="AD408" t="s">
        <v>813</v>
      </c>
      <c r="AE408" t="s">
        <v>1750</v>
      </c>
      <c r="AF408" t="s">
        <v>1752</v>
      </c>
      <c r="AG408" t="s">
        <v>1750</v>
      </c>
      <c r="AI408" t="s">
        <v>489</v>
      </c>
      <c r="AJ408" t="s">
        <v>1636</v>
      </c>
      <c r="AK408" t="s">
        <v>1637</v>
      </c>
      <c r="AL408" s="4">
        <v>20</v>
      </c>
      <c r="AM408" t="s">
        <v>185</v>
      </c>
      <c r="AN408">
        <v>20</v>
      </c>
      <c r="AO408" t="s">
        <v>1665</v>
      </c>
      <c r="AP408" t="s">
        <v>1639</v>
      </c>
      <c r="AQ408" t="s">
        <v>1685</v>
      </c>
      <c r="AR408" t="s">
        <v>1686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 t="s">
        <v>1642</v>
      </c>
    </row>
    <row r="409" spans="1:51">
      <c r="A409" t="s">
        <v>813</v>
      </c>
      <c r="B409" t="s">
        <v>822</v>
      </c>
      <c r="C409" t="s">
        <v>815</v>
      </c>
      <c r="E409" t="s">
        <v>96</v>
      </c>
      <c r="F409">
        <v>10</v>
      </c>
      <c r="G409" t="s">
        <v>185</v>
      </c>
      <c r="H409" t="s">
        <v>816</v>
      </c>
      <c r="I409" t="s">
        <v>377</v>
      </c>
      <c r="J409" t="s">
        <v>817</v>
      </c>
      <c r="K409" t="s">
        <v>41</v>
      </c>
      <c r="L409" t="s">
        <v>489</v>
      </c>
      <c r="M409" t="s">
        <v>818</v>
      </c>
      <c r="N409" s="7">
        <v>54.58</v>
      </c>
      <c r="O409" s="7"/>
      <c r="P409" s="7">
        <v>3</v>
      </c>
      <c r="Q409" s="7">
        <v>110.82</v>
      </c>
      <c r="R409" s="7"/>
      <c r="S409" s="7">
        <v>3</v>
      </c>
      <c r="T409" s="7">
        <v>0.63</v>
      </c>
      <c r="U409" s="7">
        <v>0.06</v>
      </c>
      <c r="V409" s="7">
        <v>0.70823974815901114</v>
      </c>
      <c r="W409" s="7">
        <v>4.4508939300749656E-5</v>
      </c>
      <c r="X409" t="s">
        <v>819</v>
      </c>
      <c r="Y409" t="s">
        <v>380</v>
      </c>
      <c r="Z409" t="s">
        <v>381</v>
      </c>
      <c r="AA409" t="s">
        <v>823</v>
      </c>
      <c r="AB409" t="s">
        <v>92</v>
      </c>
      <c r="AC409" t="s">
        <v>813</v>
      </c>
      <c r="AD409" t="s">
        <v>813</v>
      </c>
      <c r="AE409" t="s">
        <v>1750</v>
      </c>
      <c r="AF409" t="s">
        <v>1751</v>
      </c>
      <c r="AG409" t="s">
        <v>1750</v>
      </c>
      <c r="AI409" t="s">
        <v>489</v>
      </c>
      <c r="AJ409" t="s">
        <v>1636</v>
      </c>
      <c r="AK409" t="s">
        <v>1637</v>
      </c>
      <c r="AL409" s="4">
        <v>10</v>
      </c>
      <c r="AM409" t="s">
        <v>185</v>
      </c>
      <c r="AN409">
        <v>10</v>
      </c>
      <c r="AO409" t="s">
        <v>1665</v>
      </c>
      <c r="AP409" t="s">
        <v>1639</v>
      </c>
      <c r="AQ409" t="s">
        <v>1685</v>
      </c>
      <c r="AR409" t="s">
        <v>1686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 t="s">
        <v>1642</v>
      </c>
    </row>
    <row r="410" spans="1:51">
      <c r="A410" t="s">
        <v>813</v>
      </c>
      <c r="B410" t="s">
        <v>824</v>
      </c>
      <c r="C410" t="s">
        <v>815</v>
      </c>
      <c r="E410" t="s">
        <v>96</v>
      </c>
      <c r="F410">
        <v>20</v>
      </c>
      <c r="G410" t="s">
        <v>185</v>
      </c>
      <c r="H410" t="s">
        <v>816</v>
      </c>
      <c r="I410" t="s">
        <v>377</v>
      </c>
      <c r="J410" t="s">
        <v>817</v>
      </c>
      <c r="K410" t="s">
        <v>41</v>
      </c>
      <c r="L410" t="s">
        <v>489</v>
      </c>
      <c r="M410" t="s">
        <v>818</v>
      </c>
      <c r="N410" s="7">
        <v>54.58</v>
      </c>
      <c r="O410" s="7"/>
      <c r="P410" s="7">
        <v>3</v>
      </c>
      <c r="Q410" s="7">
        <v>95.86</v>
      </c>
      <c r="R410" s="7"/>
      <c r="S410" s="7">
        <v>3</v>
      </c>
      <c r="T410" s="7">
        <v>0.63</v>
      </c>
      <c r="U410" s="7">
        <v>1.1499999999999999</v>
      </c>
      <c r="V410" s="7">
        <v>0.56322127845129288</v>
      </c>
      <c r="W410" s="7">
        <v>9.2384526066253671E-5</v>
      </c>
      <c r="X410" t="s">
        <v>819</v>
      </c>
      <c r="Y410" t="s">
        <v>380</v>
      </c>
      <c r="Z410" t="s">
        <v>381</v>
      </c>
      <c r="AA410" t="s">
        <v>823</v>
      </c>
      <c r="AB410" t="s">
        <v>92</v>
      </c>
      <c r="AC410" t="s">
        <v>813</v>
      </c>
      <c r="AD410" t="s">
        <v>813</v>
      </c>
      <c r="AE410" t="s">
        <v>1750</v>
      </c>
      <c r="AF410" t="s">
        <v>1752</v>
      </c>
      <c r="AG410" t="s">
        <v>1750</v>
      </c>
      <c r="AI410" t="s">
        <v>489</v>
      </c>
      <c r="AJ410" t="s">
        <v>1636</v>
      </c>
      <c r="AK410" t="s">
        <v>1637</v>
      </c>
      <c r="AL410" s="4">
        <v>20</v>
      </c>
      <c r="AM410" t="s">
        <v>185</v>
      </c>
      <c r="AN410">
        <v>20</v>
      </c>
      <c r="AO410" t="s">
        <v>1665</v>
      </c>
      <c r="AP410" t="s">
        <v>1639</v>
      </c>
      <c r="AQ410" t="s">
        <v>1685</v>
      </c>
      <c r="AR410" t="s">
        <v>1686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 t="s">
        <v>1642</v>
      </c>
    </row>
    <row r="411" spans="1:51">
      <c r="A411" t="s">
        <v>813</v>
      </c>
      <c r="B411" t="s">
        <v>825</v>
      </c>
      <c r="C411" t="s">
        <v>815</v>
      </c>
      <c r="E411" t="s">
        <v>96</v>
      </c>
      <c r="F411">
        <v>10</v>
      </c>
      <c r="G411" t="s">
        <v>185</v>
      </c>
      <c r="H411" t="s">
        <v>816</v>
      </c>
      <c r="I411" t="s">
        <v>377</v>
      </c>
      <c r="J411" t="s">
        <v>817</v>
      </c>
      <c r="K411" t="s">
        <v>29</v>
      </c>
      <c r="L411" t="s">
        <v>503</v>
      </c>
      <c r="M411" t="s">
        <v>818</v>
      </c>
      <c r="N411" s="7">
        <v>135.85</v>
      </c>
      <c r="O411" s="7"/>
      <c r="P411" s="7">
        <v>3</v>
      </c>
      <c r="Q411" s="7">
        <v>87.46</v>
      </c>
      <c r="R411" s="7"/>
      <c r="S411" s="7">
        <v>3</v>
      </c>
      <c r="T411" s="7">
        <v>0.44</v>
      </c>
      <c r="U411" s="7">
        <v>5.12</v>
      </c>
      <c r="V411" s="7">
        <v>-0.44036978988758224</v>
      </c>
      <c r="W411" s="7">
        <v>1.1458481595743601E-3</v>
      </c>
      <c r="X411" t="s">
        <v>819</v>
      </c>
      <c r="Y411" t="s">
        <v>380</v>
      </c>
      <c r="Z411" t="s">
        <v>381</v>
      </c>
      <c r="AA411" t="s">
        <v>826</v>
      </c>
      <c r="AB411" t="s">
        <v>92</v>
      </c>
      <c r="AC411" t="s">
        <v>813</v>
      </c>
      <c r="AD411" t="s">
        <v>813</v>
      </c>
      <c r="AE411" t="s">
        <v>1750</v>
      </c>
      <c r="AF411" t="s">
        <v>1751</v>
      </c>
      <c r="AG411" t="s">
        <v>1750</v>
      </c>
      <c r="AI411" t="s">
        <v>503</v>
      </c>
      <c r="AJ411" t="s">
        <v>1636</v>
      </c>
      <c r="AK411" t="s">
        <v>1637</v>
      </c>
      <c r="AL411" s="4">
        <v>10</v>
      </c>
      <c r="AM411" t="s">
        <v>185</v>
      </c>
      <c r="AN411">
        <v>10</v>
      </c>
      <c r="AO411" t="s">
        <v>1665</v>
      </c>
      <c r="AP411" t="s">
        <v>1639</v>
      </c>
      <c r="AQ411" t="s">
        <v>1685</v>
      </c>
      <c r="AR411" t="s">
        <v>1686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 t="s">
        <v>1642</v>
      </c>
    </row>
    <row r="412" spans="1:51">
      <c r="A412" t="s">
        <v>813</v>
      </c>
      <c r="B412" t="s">
        <v>827</v>
      </c>
      <c r="C412" t="s">
        <v>815</v>
      </c>
      <c r="E412" t="s">
        <v>96</v>
      </c>
      <c r="F412">
        <v>20</v>
      </c>
      <c r="G412" t="s">
        <v>185</v>
      </c>
      <c r="H412" t="s">
        <v>816</v>
      </c>
      <c r="I412" t="s">
        <v>377</v>
      </c>
      <c r="J412" t="s">
        <v>817</v>
      </c>
      <c r="K412" t="s">
        <v>29</v>
      </c>
      <c r="L412" t="s">
        <v>503</v>
      </c>
      <c r="M412" t="s">
        <v>818</v>
      </c>
      <c r="N412" s="7">
        <v>135.85</v>
      </c>
      <c r="O412" s="7"/>
      <c r="P412" s="7">
        <v>3</v>
      </c>
      <c r="Q412" s="7">
        <v>129.35</v>
      </c>
      <c r="R412" s="7"/>
      <c r="S412" s="7">
        <v>3</v>
      </c>
      <c r="T412" s="7">
        <v>0.44</v>
      </c>
      <c r="U412" s="7">
        <v>0.54</v>
      </c>
      <c r="V412" s="7">
        <v>-4.902942724031864E-2</v>
      </c>
      <c r="W412" s="7">
        <v>9.3061801829646251E-6</v>
      </c>
      <c r="X412" t="s">
        <v>819</v>
      </c>
      <c r="Y412" t="s">
        <v>380</v>
      </c>
      <c r="Z412" t="s">
        <v>381</v>
      </c>
      <c r="AA412" t="s">
        <v>826</v>
      </c>
      <c r="AB412" t="s">
        <v>92</v>
      </c>
      <c r="AC412" t="s">
        <v>813</v>
      </c>
      <c r="AD412" t="s">
        <v>813</v>
      </c>
      <c r="AE412" t="s">
        <v>1750</v>
      </c>
      <c r="AF412" t="s">
        <v>1752</v>
      </c>
      <c r="AG412" t="s">
        <v>1750</v>
      </c>
      <c r="AI412" t="s">
        <v>503</v>
      </c>
      <c r="AJ412" t="s">
        <v>1636</v>
      </c>
      <c r="AK412" t="s">
        <v>1637</v>
      </c>
      <c r="AL412" s="4">
        <v>20</v>
      </c>
      <c r="AM412" t="s">
        <v>185</v>
      </c>
      <c r="AN412">
        <v>20</v>
      </c>
      <c r="AO412" t="s">
        <v>1665</v>
      </c>
      <c r="AP412" t="s">
        <v>1639</v>
      </c>
      <c r="AQ412" t="s">
        <v>1685</v>
      </c>
      <c r="AR412" t="s">
        <v>1686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 t="s">
        <v>1642</v>
      </c>
    </row>
    <row r="413" spans="1:51">
      <c r="A413" t="s">
        <v>813</v>
      </c>
      <c r="B413" t="s">
        <v>828</v>
      </c>
      <c r="C413" t="s">
        <v>815</v>
      </c>
      <c r="E413" t="s">
        <v>96</v>
      </c>
      <c r="F413">
        <v>10</v>
      </c>
      <c r="G413" t="s">
        <v>185</v>
      </c>
      <c r="H413" t="s">
        <v>816</v>
      </c>
      <c r="I413" t="s">
        <v>377</v>
      </c>
      <c r="J413" t="s">
        <v>817</v>
      </c>
      <c r="K413" t="s">
        <v>41</v>
      </c>
      <c r="L413" t="s">
        <v>503</v>
      </c>
      <c r="M413" t="s">
        <v>818</v>
      </c>
      <c r="N413" s="7">
        <v>147.91</v>
      </c>
      <c r="O413" s="7"/>
      <c r="P413" s="7">
        <v>3</v>
      </c>
      <c r="Q413" s="7">
        <v>202.33</v>
      </c>
      <c r="R413" s="7"/>
      <c r="S413" s="7">
        <v>3</v>
      </c>
      <c r="T413" s="7">
        <v>0.09</v>
      </c>
      <c r="U413" s="7">
        <v>3.99</v>
      </c>
      <c r="V413" s="7">
        <v>0.31329604710782472</v>
      </c>
      <c r="W413" s="7">
        <v>1.297529533278809E-4</v>
      </c>
      <c r="X413" t="s">
        <v>819</v>
      </c>
      <c r="Y413" t="s">
        <v>380</v>
      </c>
      <c r="Z413" t="s">
        <v>381</v>
      </c>
      <c r="AA413" t="s">
        <v>829</v>
      </c>
      <c r="AB413" t="s">
        <v>92</v>
      </c>
      <c r="AC413" t="s">
        <v>813</v>
      </c>
      <c r="AD413" t="s">
        <v>813</v>
      </c>
      <c r="AE413" t="s">
        <v>1750</v>
      </c>
      <c r="AF413" t="s">
        <v>1751</v>
      </c>
      <c r="AG413" t="s">
        <v>1750</v>
      </c>
      <c r="AI413" t="s">
        <v>503</v>
      </c>
      <c r="AJ413" t="s">
        <v>1636</v>
      </c>
      <c r="AK413" t="s">
        <v>1637</v>
      </c>
      <c r="AL413" s="4">
        <v>10</v>
      </c>
      <c r="AM413" t="s">
        <v>185</v>
      </c>
      <c r="AN413">
        <v>10</v>
      </c>
      <c r="AO413" t="s">
        <v>1665</v>
      </c>
      <c r="AP413" t="s">
        <v>1639</v>
      </c>
      <c r="AQ413" t="s">
        <v>1685</v>
      </c>
      <c r="AR413" t="s">
        <v>1686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 t="s">
        <v>1642</v>
      </c>
    </row>
    <row r="414" spans="1:51">
      <c r="A414" t="s">
        <v>813</v>
      </c>
      <c r="B414" t="s">
        <v>830</v>
      </c>
      <c r="C414" t="s">
        <v>815</v>
      </c>
      <c r="E414" t="s">
        <v>96</v>
      </c>
      <c r="F414">
        <v>20</v>
      </c>
      <c r="G414" t="s">
        <v>185</v>
      </c>
      <c r="H414" t="s">
        <v>816</v>
      </c>
      <c r="I414" t="s">
        <v>377</v>
      </c>
      <c r="J414" t="s">
        <v>817</v>
      </c>
      <c r="K414" t="s">
        <v>41</v>
      </c>
      <c r="L414" t="s">
        <v>503</v>
      </c>
      <c r="M414" t="s">
        <v>818</v>
      </c>
      <c r="N414" s="7">
        <v>147.91</v>
      </c>
      <c r="O414" s="7"/>
      <c r="P414" s="7">
        <v>3</v>
      </c>
      <c r="Q414" s="7">
        <v>202.19</v>
      </c>
      <c r="R414" s="7"/>
      <c r="S414" s="7">
        <v>3</v>
      </c>
      <c r="T414" s="7">
        <v>0.09</v>
      </c>
      <c r="U414" s="7">
        <v>0.23</v>
      </c>
      <c r="V414" s="7">
        <v>0.31260386869593082</v>
      </c>
      <c r="W414" s="7">
        <v>5.5475058152096333E-7</v>
      </c>
      <c r="X414" t="s">
        <v>819</v>
      </c>
      <c r="Y414" t="s">
        <v>380</v>
      </c>
      <c r="Z414" t="s">
        <v>381</v>
      </c>
      <c r="AA414" t="s">
        <v>829</v>
      </c>
      <c r="AB414" t="s">
        <v>92</v>
      </c>
      <c r="AC414" t="s">
        <v>813</v>
      </c>
      <c r="AD414" t="s">
        <v>813</v>
      </c>
      <c r="AE414" t="s">
        <v>1750</v>
      </c>
      <c r="AF414" t="s">
        <v>1752</v>
      </c>
      <c r="AG414" t="s">
        <v>1750</v>
      </c>
      <c r="AI414" t="s">
        <v>503</v>
      </c>
      <c r="AJ414" t="s">
        <v>1636</v>
      </c>
      <c r="AK414" t="s">
        <v>1637</v>
      </c>
      <c r="AL414" s="4">
        <v>20</v>
      </c>
      <c r="AM414" t="s">
        <v>185</v>
      </c>
      <c r="AN414">
        <v>20</v>
      </c>
      <c r="AO414" t="s">
        <v>1665</v>
      </c>
      <c r="AP414" t="s">
        <v>1639</v>
      </c>
      <c r="AQ414" t="s">
        <v>1685</v>
      </c>
      <c r="AR414" t="s">
        <v>1686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 t="s">
        <v>1642</v>
      </c>
    </row>
    <row r="415" spans="1:51">
      <c r="A415" t="s">
        <v>831</v>
      </c>
      <c r="B415" t="s">
        <v>832</v>
      </c>
      <c r="C415" t="s">
        <v>655</v>
      </c>
      <c r="D415" t="s">
        <v>833</v>
      </c>
      <c r="E415" t="s">
        <v>96</v>
      </c>
      <c r="F415">
        <v>80</v>
      </c>
      <c r="G415" t="s">
        <v>185</v>
      </c>
      <c r="H415" t="s">
        <v>84</v>
      </c>
      <c r="I415" t="s">
        <v>377</v>
      </c>
      <c r="J415" t="s">
        <v>834</v>
      </c>
      <c r="K415" t="s">
        <v>41</v>
      </c>
      <c r="L415" t="s">
        <v>30</v>
      </c>
      <c r="M415" t="s">
        <v>188</v>
      </c>
      <c r="N415" s="7">
        <v>3</v>
      </c>
      <c r="O415" s="7"/>
      <c r="P415" s="7">
        <v>4</v>
      </c>
      <c r="Q415" s="7">
        <v>4.7</v>
      </c>
      <c r="R415" s="7"/>
      <c r="S415" s="7">
        <v>4</v>
      </c>
      <c r="T415" s="7">
        <v>8.3677397301471182E-2</v>
      </c>
      <c r="U415" s="7">
        <v>8.3677397301471182E-2</v>
      </c>
      <c r="V415" s="7">
        <v>0.44895022004790319</v>
      </c>
      <c r="W415" s="7">
        <v>2.7374035889457179E-4</v>
      </c>
      <c r="X415" t="s">
        <v>835</v>
      </c>
      <c r="Y415" t="s">
        <v>836</v>
      </c>
      <c r="Z415" t="s">
        <v>837</v>
      </c>
      <c r="AA415" t="s">
        <v>838</v>
      </c>
      <c r="AB415" t="s">
        <v>92</v>
      </c>
      <c r="AC415" t="s">
        <v>831</v>
      </c>
      <c r="AD415" t="s">
        <v>831</v>
      </c>
      <c r="AE415" t="s">
        <v>1753</v>
      </c>
      <c r="AF415" t="s">
        <v>1754</v>
      </c>
      <c r="AG415" t="s">
        <v>1753</v>
      </c>
      <c r="AI415" t="s">
        <v>30</v>
      </c>
      <c r="AJ415" t="s">
        <v>1636</v>
      </c>
      <c r="AK415" t="s">
        <v>1637</v>
      </c>
      <c r="AL415" s="4">
        <v>80</v>
      </c>
      <c r="AM415" t="s">
        <v>185</v>
      </c>
      <c r="AN415">
        <v>80</v>
      </c>
      <c r="AO415" t="s">
        <v>1665</v>
      </c>
      <c r="AP415" t="s">
        <v>1639</v>
      </c>
      <c r="AQ415" t="s">
        <v>1716</v>
      </c>
      <c r="AR415" t="s">
        <v>1755</v>
      </c>
      <c r="AS415">
        <v>1</v>
      </c>
      <c r="AT415">
        <v>0</v>
      </c>
      <c r="AU415">
        <v>1</v>
      </c>
      <c r="AV415">
        <v>0</v>
      </c>
      <c r="AW415">
        <v>0</v>
      </c>
      <c r="AX415">
        <v>0</v>
      </c>
      <c r="AY415" t="s">
        <v>1642</v>
      </c>
    </row>
    <row r="416" spans="1:51">
      <c r="A416" t="s">
        <v>831</v>
      </c>
      <c r="B416" t="s">
        <v>839</v>
      </c>
      <c r="C416" t="s">
        <v>655</v>
      </c>
      <c r="D416" t="s">
        <v>840</v>
      </c>
      <c r="E416" t="s">
        <v>96</v>
      </c>
      <c r="F416">
        <v>80</v>
      </c>
      <c r="G416" t="s">
        <v>185</v>
      </c>
      <c r="H416" t="s">
        <v>84</v>
      </c>
      <c r="I416" t="s">
        <v>377</v>
      </c>
      <c r="J416" t="s">
        <v>834</v>
      </c>
      <c r="K416" t="s">
        <v>41</v>
      </c>
      <c r="L416" t="s">
        <v>30</v>
      </c>
      <c r="M416" t="s">
        <v>188</v>
      </c>
      <c r="N416" s="7">
        <v>2.2999999999999998</v>
      </c>
      <c r="O416" s="7"/>
      <c r="P416" s="7">
        <v>4</v>
      </c>
      <c r="Q416" s="7">
        <v>4</v>
      </c>
      <c r="R416" s="7"/>
      <c r="S416" s="7">
        <v>4</v>
      </c>
      <c r="T416" s="7">
        <v>8.3677397301471182E-2</v>
      </c>
      <c r="U416" s="7">
        <v>8.3677397301471182E-2</v>
      </c>
      <c r="V416" s="7">
        <v>0.55338523818478669</v>
      </c>
      <c r="W416" s="7">
        <v>4.4030776281801277E-4</v>
      </c>
      <c r="X416" t="s">
        <v>835</v>
      </c>
      <c r="Y416" t="s">
        <v>836</v>
      </c>
      <c r="Z416" t="s">
        <v>837</v>
      </c>
      <c r="AA416" t="s">
        <v>841</v>
      </c>
      <c r="AB416" t="s">
        <v>92</v>
      </c>
      <c r="AC416" t="s">
        <v>831</v>
      </c>
      <c r="AD416" t="s">
        <v>831</v>
      </c>
      <c r="AE416" t="s">
        <v>1756</v>
      </c>
      <c r="AF416" t="s">
        <v>1757</v>
      </c>
      <c r="AG416" t="s">
        <v>1756</v>
      </c>
      <c r="AI416" t="s">
        <v>30</v>
      </c>
      <c r="AJ416" t="s">
        <v>1636</v>
      </c>
      <c r="AK416" t="s">
        <v>1637</v>
      </c>
      <c r="AL416" s="4">
        <v>80</v>
      </c>
      <c r="AM416" t="s">
        <v>185</v>
      </c>
      <c r="AN416">
        <v>80</v>
      </c>
      <c r="AO416" t="s">
        <v>1665</v>
      </c>
      <c r="AP416" t="s">
        <v>1639</v>
      </c>
      <c r="AQ416" t="s">
        <v>1716</v>
      </c>
      <c r="AR416" t="s">
        <v>1755</v>
      </c>
      <c r="AS416">
        <v>1</v>
      </c>
      <c r="AT416">
        <v>0</v>
      </c>
      <c r="AU416">
        <v>1</v>
      </c>
      <c r="AV416">
        <v>0</v>
      </c>
      <c r="AW416">
        <v>0</v>
      </c>
      <c r="AX416">
        <v>0</v>
      </c>
      <c r="AY416" t="s">
        <v>1642</v>
      </c>
    </row>
    <row r="417" spans="1:51">
      <c r="A417" t="s">
        <v>831</v>
      </c>
      <c r="B417" t="s">
        <v>842</v>
      </c>
      <c r="C417" t="s">
        <v>655</v>
      </c>
      <c r="D417" t="s">
        <v>843</v>
      </c>
      <c r="E417" t="s">
        <v>96</v>
      </c>
      <c r="F417">
        <v>80</v>
      </c>
      <c r="G417" t="s">
        <v>185</v>
      </c>
      <c r="H417" t="s">
        <v>84</v>
      </c>
      <c r="I417" t="s">
        <v>377</v>
      </c>
      <c r="J417" t="s">
        <v>834</v>
      </c>
      <c r="K417" t="s">
        <v>41</v>
      </c>
      <c r="L417" t="s">
        <v>30</v>
      </c>
      <c r="M417" t="s">
        <v>188</v>
      </c>
      <c r="N417" s="7">
        <v>2.7</v>
      </c>
      <c r="O417" s="7"/>
      <c r="P417" s="7">
        <v>4</v>
      </c>
      <c r="Q417" s="7">
        <v>3.3</v>
      </c>
      <c r="R417" s="7"/>
      <c r="S417" s="7">
        <v>4</v>
      </c>
      <c r="T417" s="7">
        <v>8.3677397301471182E-2</v>
      </c>
      <c r="U417" s="7">
        <v>8.3677397301471182E-2</v>
      </c>
      <c r="V417" s="7">
        <v>0.20067069546215105</v>
      </c>
      <c r="W417" s="7">
        <v>4.0086192380254501E-4</v>
      </c>
      <c r="X417" t="s">
        <v>835</v>
      </c>
      <c r="Y417" t="s">
        <v>836</v>
      </c>
      <c r="Z417" t="s">
        <v>837</v>
      </c>
      <c r="AA417" t="s">
        <v>844</v>
      </c>
      <c r="AB417" t="s">
        <v>92</v>
      </c>
      <c r="AC417" t="s">
        <v>831</v>
      </c>
      <c r="AD417" t="s">
        <v>831</v>
      </c>
      <c r="AE417" t="s">
        <v>1758</v>
      </c>
      <c r="AF417" t="s">
        <v>1759</v>
      </c>
      <c r="AG417" t="s">
        <v>1758</v>
      </c>
      <c r="AI417" t="s">
        <v>30</v>
      </c>
      <c r="AJ417" t="s">
        <v>1636</v>
      </c>
      <c r="AK417" t="s">
        <v>1637</v>
      </c>
      <c r="AL417" s="4">
        <v>80</v>
      </c>
      <c r="AM417" t="s">
        <v>185</v>
      </c>
      <c r="AN417">
        <v>80</v>
      </c>
      <c r="AO417" t="s">
        <v>1665</v>
      </c>
      <c r="AP417" t="s">
        <v>1639</v>
      </c>
      <c r="AQ417" t="s">
        <v>1716</v>
      </c>
      <c r="AR417" t="s">
        <v>1755</v>
      </c>
      <c r="AS417">
        <v>1</v>
      </c>
      <c r="AT417">
        <v>0</v>
      </c>
      <c r="AU417">
        <v>1</v>
      </c>
      <c r="AV417">
        <v>0</v>
      </c>
      <c r="AW417">
        <v>0</v>
      </c>
      <c r="AX417">
        <v>0</v>
      </c>
      <c r="AY417" t="s">
        <v>1642</v>
      </c>
    </row>
    <row r="418" spans="1:51">
      <c r="A418" t="s">
        <v>831</v>
      </c>
      <c r="B418" t="s">
        <v>845</v>
      </c>
      <c r="C418" t="s">
        <v>655</v>
      </c>
      <c r="D418" t="s">
        <v>833</v>
      </c>
      <c r="E418" t="s">
        <v>96</v>
      </c>
      <c r="F418">
        <v>80</v>
      </c>
      <c r="G418" t="s">
        <v>185</v>
      </c>
      <c r="H418" t="s">
        <v>84</v>
      </c>
      <c r="I418" t="s">
        <v>377</v>
      </c>
      <c r="J418" t="s">
        <v>834</v>
      </c>
      <c r="K418" t="s">
        <v>41</v>
      </c>
      <c r="L418" t="s">
        <v>337</v>
      </c>
      <c r="M418" t="s">
        <v>188</v>
      </c>
      <c r="N418" s="7">
        <v>6.7</v>
      </c>
      <c r="O418" s="7"/>
      <c r="P418" s="7">
        <v>4</v>
      </c>
      <c r="Q418" s="7">
        <v>7.2</v>
      </c>
      <c r="R418" s="7"/>
      <c r="S418" s="7">
        <v>4</v>
      </c>
      <c r="T418" s="7">
        <v>0.10459674662683896</v>
      </c>
      <c r="U418" s="7">
        <v>0.10459674662683896</v>
      </c>
      <c r="V418" s="7">
        <v>7.1973499625089241E-2</v>
      </c>
      <c r="W418" s="7">
        <v>1.1369017922130008E-4</v>
      </c>
      <c r="X418" t="s">
        <v>835</v>
      </c>
      <c r="Y418" t="s">
        <v>836</v>
      </c>
      <c r="Z418" t="s">
        <v>837</v>
      </c>
      <c r="AA418" t="s">
        <v>846</v>
      </c>
      <c r="AB418" t="s">
        <v>92</v>
      </c>
      <c r="AC418" t="s">
        <v>831</v>
      </c>
      <c r="AD418" t="s">
        <v>831</v>
      </c>
      <c r="AE418" t="s">
        <v>1753</v>
      </c>
      <c r="AF418" t="s">
        <v>1754</v>
      </c>
      <c r="AG418" t="s">
        <v>1753</v>
      </c>
      <c r="AI418" t="s">
        <v>337</v>
      </c>
      <c r="AJ418" t="s">
        <v>1636</v>
      </c>
      <c r="AK418" t="s">
        <v>1637</v>
      </c>
      <c r="AL418" s="4">
        <v>80</v>
      </c>
      <c r="AM418" t="s">
        <v>185</v>
      </c>
      <c r="AN418">
        <v>80</v>
      </c>
      <c r="AO418" t="s">
        <v>1665</v>
      </c>
      <c r="AP418" t="s">
        <v>1639</v>
      </c>
      <c r="AQ418" t="s">
        <v>1716</v>
      </c>
      <c r="AR418" t="s">
        <v>1755</v>
      </c>
      <c r="AS418">
        <v>1</v>
      </c>
      <c r="AT418">
        <v>0</v>
      </c>
      <c r="AU418">
        <v>1</v>
      </c>
      <c r="AV418">
        <v>0</v>
      </c>
      <c r="AW418">
        <v>0</v>
      </c>
      <c r="AX418">
        <v>0</v>
      </c>
      <c r="AY418" t="s">
        <v>1642</v>
      </c>
    </row>
    <row r="419" spans="1:51">
      <c r="A419" t="s">
        <v>831</v>
      </c>
      <c r="B419" t="s">
        <v>847</v>
      </c>
      <c r="C419" t="s">
        <v>655</v>
      </c>
      <c r="D419" t="s">
        <v>840</v>
      </c>
      <c r="E419" t="s">
        <v>96</v>
      </c>
      <c r="F419">
        <v>80</v>
      </c>
      <c r="G419" t="s">
        <v>185</v>
      </c>
      <c r="H419" t="s">
        <v>84</v>
      </c>
      <c r="I419" t="s">
        <v>377</v>
      </c>
      <c r="J419" t="s">
        <v>834</v>
      </c>
      <c r="K419" t="s">
        <v>41</v>
      </c>
      <c r="L419" t="s">
        <v>337</v>
      </c>
      <c r="M419" t="s">
        <v>188</v>
      </c>
      <c r="N419" s="7">
        <v>6.7</v>
      </c>
      <c r="O419" s="7"/>
      <c r="P419" s="7">
        <v>4</v>
      </c>
      <c r="Q419" s="7">
        <v>6.9</v>
      </c>
      <c r="R419" s="7"/>
      <c r="S419" s="7">
        <v>4</v>
      </c>
      <c r="T419" s="7">
        <v>0.10459674662683896</v>
      </c>
      <c r="U419" s="7">
        <v>0.10459674662683896</v>
      </c>
      <c r="V419" s="7">
        <v>2.9413885206293407E-2</v>
      </c>
      <c r="W419" s="7">
        <v>1.1837781169988039E-4</v>
      </c>
      <c r="X419" t="s">
        <v>835</v>
      </c>
      <c r="Y419" t="s">
        <v>836</v>
      </c>
      <c r="Z419" t="s">
        <v>837</v>
      </c>
      <c r="AA419" t="s">
        <v>848</v>
      </c>
      <c r="AB419" t="s">
        <v>92</v>
      </c>
      <c r="AC419" t="s">
        <v>831</v>
      </c>
      <c r="AD419" t="s">
        <v>831</v>
      </c>
      <c r="AE419" t="s">
        <v>1756</v>
      </c>
      <c r="AF419" t="s">
        <v>1757</v>
      </c>
      <c r="AG419" t="s">
        <v>1756</v>
      </c>
      <c r="AI419" t="s">
        <v>337</v>
      </c>
      <c r="AJ419" t="s">
        <v>1636</v>
      </c>
      <c r="AK419" t="s">
        <v>1637</v>
      </c>
      <c r="AL419" s="4">
        <v>80</v>
      </c>
      <c r="AM419" t="s">
        <v>185</v>
      </c>
      <c r="AN419">
        <v>80</v>
      </c>
      <c r="AO419" t="s">
        <v>1665</v>
      </c>
      <c r="AP419" t="s">
        <v>1639</v>
      </c>
      <c r="AQ419" t="s">
        <v>1716</v>
      </c>
      <c r="AR419" t="s">
        <v>1755</v>
      </c>
      <c r="AS419">
        <v>1</v>
      </c>
      <c r="AT419">
        <v>0</v>
      </c>
      <c r="AU419">
        <v>1</v>
      </c>
      <c r="AV419">
        <v>0</v>
      </c>
      <c r="AW419">
        <v>0</v>
      </c>
      <c r="AX419">
        <v>0</v>
      </c>
      <c r="AY419" t="s">
        <v>1642</v>
      </c>
    </row>
    <row r="420" spans="1:51">
      <c r="A420" t="s">
        <v>831</v>
      </c>
      <c r="B420" t="s">
        <v>849</v>
      </c>
      <c r="C420" t="s">
        <v>655</v>
      </c>
      <c r="D420" t="s">
        <v>843</v>
      </c>
      <c r="E420" t="s">
        <v>96</v>
      </c>
      <c r="F420">
        <v>80</v>
      </c>
      <c r="G420" t="s">
        <v>185</v>
      </c>
      <c r="H420" t="s">
        <v>84</v>
      </c>
      <c r="I420" t="s">
        <v>377</v>
      </c>
      <c r="J420" t="s">
        <v>834</v>
      </c>
      <c r="K420" t="s">
        <v>41</v>
      </c>
      <c r="L420" t="s">
        <v>337</v>
      </c>
      <c r="M420" t="s">
        <v>188</v>
      </c>
      <c r="N420" s="7">
        <v>6.8</v>
      </c>
      <c r="O420" s="7"/>
      <c r="P420" s="7">
        <v>4</v>
      </c>
      <c r="Q420" s="7">
        <v>6.7</v>
      </c>
      <c r="R420" s="7"/>
      <c r="S420" s="7">
        <v>4</v>
      </c>
      <c r="T420" s="7">
        <v>0.10459674662683896</v>
      </c>
      <c r="U420" s="7">
        <v>0.10459674662683896</v>
      </c>
      <c r="V420" s="7">
        <v>-1.4815085785140587E-2</v>
      </c>
      <c r="W420" s="7">
        <v>1.2007989543575304E-4</v>
      </c>
      <c r="X420" t="s">
        <v>835</v>
      </c>
      <c r="Y420" t="s">
        <v>836</v>
      </c>
      <c r="Z420" t="s">
        <v>837</v>
      </c>
      <c r="AA420" t="s">
        <v>850</v>
      </c>
      <c r="AB420" t="s">
        <v>92</v>
      </c>
      <c r="AC420" t="s">
        <v>831</v>
      </c>
      <c r="AD420" t="s">
        <v>831</v>
      </c>
      <c r="AE420" t="s">
        <v>1758</v>
      </c>
      <c r="AF420" t="s">
        <v>1759</v>
      </c>
      <c r="AG420" t="s">
        <v>1758</v>
      </c>
      <c r="AI420" t="s">
        <v>337</v>
      </c>
      <c r="AJ420" t="s">
        <v>1636</v>
      </c>
      <c r="AK420" t="s">
        <v>1637</v>
      </c>
      <c r="AL420" s="4">
        <v>80</v>
      </c>
      <c r="AM420" t="s">
        <v>185</v>
      </c>
      <c r="AN420">
        <v>80</v>
      </c>
      <c r="AO420" t="s">
        <v>1665</v>
      </c>
      <c r="AP420" t="s">
        <v>1639</v>
      </c>
      <c r="AQ420" t="s">
        <v>1716</v>
      </c>
      <c r="AR420" t="s">
        <v>1755</v>
      </c>
      <c r="AS420">
        <v>1</v>
      </c>
      <c r="AT420">
        <v>0</v>
      </c>
      <c r="AU420">
        <v>1</v>
      </c>
      <c r="AV420">
        <v>0</v>
      </c>
      <c r="AW420">
        <v>0</v>
      </c>
      <c r="AX420">
        <v>0</v>
      </c>
      <c r="AY420" t="s">
        <v>1642</v>
      </c>
    </row>
    <row r="421" spans="1:51">
      <c r="A421" t="s">
        <v>831</v>
      </c>
      <c r="B421" t="s">
        <v>851</v>
      </c>
      <c r="C421" t="s">
        <v>655</v>
      </c>
      <c r="D421" t="s">
        <v>833</v>
      </c>
      <c r="E421" t="s">
        <v>96</v>
      </c>
      <c r="F421">
        <v>80</v>
      </c>
      <c r="G421" t="s">
        <v>185</v>
      </c>
      <c r="H421" t="s">
        <v>84</v>
      </c>
      <c r="I421" t="s">
        <v>377</v>
      </c>
      <c r="J421" t="s">
        <v>834</v>
      </c>
      <c r="K421" t="s">
        <v>41</v>
      </c>
      <c r="L421" t="s">
        <v>40</v>
      </c>
      <c r="M421" t="s">
        <v>188</v>
      </c>
      <c r="N421" s="7">
        <v>58</v>
      </c>
      <c r="O421" s="7"/>
      <c r="P421" s="7">
        <v>4</v>
      </c>
      <c r="Q421" s="7">
        <v>61</v>
      </c>
      <c r="R421" s="7"/>
      <c r="S421" s="7">
        <v>4</v>
      </c>
      <c r="T421" s="7">
        <v>9.0650513743260455E-2</v>
      </c>
      <c r="U421" s="7">
        <v>9.0650513743260455E-2</v>
      </c>
      <c r="V421" s="7">
        <v>5.0430853626891904E-2</v>
      </c>
      <c r="W421" s="7">
        <v>1.1627992568407399E-6</v>
      </c>
      <c r="X421" t="s">
        <v>835</v>
      </c>
      <c r="Y421" t="s">
        <v>836</v>
      </c>
      <c r="Z421" t="s">
        <v>837</v>
      </c>
      <c r="AA421" t="s">
        <v>852</v>
      </c>
      <c r="AB421" t="s">
        <v>92</v>
      </c>
      <c r="AC421" t="s">
        <v>831</v>
      </c>
      <c r="AD421" t="s">
        <v>831</v>
      </c>
      <c r="AE421" t="s">
        <v>1753</v>
      </c>
      <c r="AF421" t="s">
        <v>1754</v>
      </c>
      <c r="AG421" t="s">
        <v>1753</v>
      </c>
      <c r="AI421" t="s">
        <v>40</v>
      </c>
      <c r="AJ421" t="s">
        <v>1636</v>
      </c>
      <c r="AK421" t="s">
        <v>1637</v>
      </c>
      <c r="AL421" s="4">
        <v>80</v>
      </c>
      <c r="AM421" t="s">
        <v>185</v>
      </c>
      <c r="AN421">
        <v>80</v>
      </c>
      <c r="AO421" t="s">
        <v>1665</v>
      </c>
      <c r="AP421" t="s">
        <v>1639</v>
      </c>
      <c r="AQ421" t="s">
        <v>1716</v>
      </c>
      <c r="AR421" t="s">
        <v>1755</v>
      </c>
      <c r="AS421">
        <v>1</v>
      </c>
      <c r="AT421">
        <v>0</v>
      </c>
      <c r="AU421">
        <v>1</v>
      </c>
      <c r="AV421">
        <v>0</v>
      </c>
      <c r="AW421">
        <v>0</v>
      </c>
      <c r="AX421">
        <v>0</v>
      </c>
      <c r="AY421" t="s">
        <v>1642</v>
      </c>
    </row>
    <row r="422" spans="1:51">
      <c r="A422" t="s">
        <v>831</v>
      </c>
      <c r="B422" t="s">
        <v>853</v>
      </c>
      <c r="C422" t="s">
        <v>655</v>
      </c>
      <c r="D422" t="s">
        <v>840</v>
      </c>
      <c r="E422" t="s">
        <v>96</v>
      </c>
      <c r="F422">
        <v>80</v>
      </c>
      <c r="G422" t="s">
        <v>185</v>
      </c>
      <c r="H422" t="s">
        <v>84</v>
      </c>
      <c r="I422" t="s">
        <v>377</v>
      </c>
      <c r="J422" t="s">
        <v>834</v>
      </c>
      <c r="K422" t="s">
        <v>41</v>
      </c>
      <c r="L422" t="s">
        <v>40</v>
      </c>
      <c r="M422" t="s">
        <v>188</v>
      </c>
      <c r="N422" s="7">
        <v>48</v>
      </c>
      <c r="O422" s="7"/>
      <c r="P422" s="7">
        <v>4</v>
      </c>
      <c r="Q422" s="7">
        <v>58</v>
      </c>
      <c r="R422" s="7"/>
      <c r="S422" s="7">
        <v>4</v>
      </c>
      <c r="T422" s="7">
        <v>9.0650513743260455E-2</v>
      </c>
      <c r="U422" s="7">
        <v>9.0650513743260455E-2</v>
      </c>
      <c r="V422" s="7">
        <v>0.18924199963852834</v>
      </c>
      <c r="W422" s="7">
        <v>1.5023527898279143E-6</v>
      </c>
      <c r="X422" t="s">
        <v>835</v>
      </c>
      <c r="Y422" t="s">
        <v>836</v>
      </c>
      <c r="Z422" t="s">
        <v>837</v>
      </c>
      <c r="AA422" t="s">
        <v>854</v>
      </c>
      <c r="AB422" t="s">
        <v>92</v>
      </c>
      <c r="AC422" t="s">
        <v>831</v>
      </c>
      <c r="AD422" t="s">
        <v>831</v>
      </c>
      <c r="AE422" t="s">
        <v>1756</v>
      </c>
      <c r="AF422" t="s">
        <v>1757</v>
      </c>
      <c r="AG422" t="s">
        <v>1756</v>
      </c>
      <c r="AI422" t="s">
        <v>40</v>
      </c>
      <c r="AJ422" t="s">
        <v>1636</v>
      </c>
      <c r="AK422" t="s">
        <v>1637</v>
      </c>
      <c r="AL422" s="4">
        <v>80</v>
      </c>
      <c r="AM422" t="s">
        <v>185</v>
      </c>
      <c r="AN422">
        <v>80</v>
      </c>
      <c r="AO422" t="s">
        <v>1665</v>
      </c>
      <c r="AP422" t="s">
        <v>1639</v>
      </c>
      <c r="AQ422" t="s">
        <v>1716</v>
      </c>
      <c r="AR422" t="s">
        <v>1755</v>
      </c>
      <c r="AS422">
        <v>1</v>
      </c>
      <c r="AT422">
        <v>0</v>
      </c>
      <c r="AU422">
        <v>1</v>
      </c>
      <c r="AV422">
        <v>0</v>
      </c>
      <c r="AW422">
        <v>0</v>
      </c>
      <c r="AX422">
        <v>0</v>
      </c>
      <c r="AY422" t="s">
        <v>1642</v>
      </c>
    </row>
    <row r="423" spans="1:51">
      <c r="A423" t="s">
        <v>831</v>
      </c>
      <c r="B423" t="s">
        <v>855</v>
      </c>
      <c r="C423" t="s">
        <v>655</v>
      </c>
      <c r="D423" t="s">
        <v>843</v>
      </c>
      <c r="E423" t="s">
        <v>96</v>
      </c>
      <c r="F423">
        <v>80</v>
      </c>
      <c r="G423" t="s">
        <v>185</v>
      </c>
      <c r="H423" t="s">
        <v>84</v>
      </c>
      <c r="I423" t="s">
        <v>377</v>
      </c>
      <c r="J423" t="s">
        <v>834</v>
      </c>
      <c r="K423" t="s">
        <v>41</v>
      </c>
      <c r="L423" t="s">
        <v>40</v>
      </c>
      <c r="M423" t="s">
        <v>188</v>
      </c>
      <c r="N423" s="7">
        <v>50.7</v>
      </c>
      <c r="O423" s="7"/>
      <c r="P423" s="7">
        <v>4</v>
      </c>
      <c r="Q423" s="7">
        <v>55</v>
      </c>
      <c r="R423" s="7"/>
      <c r="S423" s="7">
        <v>4</v>
      </c>
      <c r="T423" s="7">
        <v>9.0650513743260455E-2</v>
      </c>
      <c r="U423" s="7">
        <v>9.0650513743260455E-2</v>
      </c>
      <c r="V423" s="7">
        <v>8.1407274635333426E-2</v>
      </c>
      <c r="W423" s="7">
        <v>1.4783503701272136E-6</v>
      </c>
      <c r="X423" t="s">
        <v>835</v>
      </c>
      <c r="Y423" t="s">
        <v>836</v>
      </c>
      <c r="Z423" t="s">
        <v>837</v>
      </c>
      <c r="AA423" t="s">
        <v>856</v>
      </c>
      <c r="AB423" t="s">
        <v>92</v>
      </c>
      <c r="AC423" t="s">
        <v>831</v>
      </c>
      <c r="AD423" t="s">
        <v>831</v>
      </c>
      <c r="AE423" t="s">
        <v>1758</v>
      </c>
      <c r="AF423" t="s">
        <v>1759</v>
      </c>
      <c r="AG423" t="s">
        <v>1758</v>
      </c>
      <c r="AI423" t="s">
        <v>40</v>
      </c>
      <c r="AJ423" t="s">
        <v>1636</v>
      </c>
      <c r="AK423" t="s">
        <v>1637</v>
      </c>
      <c r="AL423" s="4">
        <v>80</v>
      </c>
      <c r="AM423" t="s">
        <v>185</v>
      </c>
      <c r="AN423">
        <v>80</v>
      </c>
      <c r="AO423" t="s">
        <v>1665</v>
      </c>
      <c r="AP423" t="s">
        <v>1639</v>
      </c>
      <c r="AQ423" t="s">
        <v>1716</v>
      </c>
      <c r="AR423" t="s">
        <v>1755</v>
      </c>
      <c r="AS423">
        <v>1</v>
      </c>
      <c r="AT423">
        <v>0</v>
      </c>
      <c r="AU423">
        <v>1</v>
      </c>
      <c r="AV423">
        <v>0</v>
      </c>
      <c r="AW423">
        <v>0</v>
      </c>
      <c r="AX423">
        <v>0</v>
      </c>
      <c r="AY423" t="s">
        <v>1642</v>
      </c>
    </row>
    <row r="424" spans="1:51">
      <c r="A424" t="s">
        <v>831</v>
      </c>
      <c r="B424" t="s">
        <v>857</v>
      </c>
      <c r="C424" t="s">
        <v>655</v>
      </c>
      <c r="D424" t="s">
        <v>833</v>
      </c>
      <c r="E424" t="s">
        <v>96</v>
      </c>
      <c r="F424">
        <v>80</v>
      </c>
      <c r="G424" t="s">
        <v>185</v>
      </c>
      <c r="H424" t="s">
        <v>84</v>
      </c>
      <c r="I424" t="s">
        <v>377</v>
      </c>
      <c r="J424" t="s">
        <v>834</v>
      </c>
      <c r="K424" t="s">
        <v>29</v>
      </c>
      <c r="L424" t="s">
        <v>30</v>
      </c>
      <c r="M424" t="s">
        <v>188</v>
      </c>
      <c r="N424" s="7">
        <v>12</v>
      </c>
      <c r="O424" s="7"/>
      <c r="P424" s="7">
        <v>4</v>
      </c>
      <c r="Q424" s="7">
        <v>13</v>
      </c>
      <c r="R424" s="7"/>
      <c r="S424" s="7">
        <v>4</v>
      </c>
      <c r="T424" s="7">
        <v>0.11156986306862825</v>
      </c>
      <c r="U424" s="7">
        <v>0.11156986306862825</v>
      </c>
      <c r="V424" s="7">
        <v>8.0042707673536356E-2</v>
      </c>
      <c r="W424" s="7">
        <v>4.002477964777201E-5</v>
      </c>
      <c r="X424" t="s">
        <v>835</v>
      </c>
      <c r="Y424" t="s">
        <v>836</v>
      </c>
      <c r="Z424" t="s">
        <v>837</v>
      </c>
      <c r="AA424" t="s">
        <v>858</v>
      </c>
      <c r="AB424" t="s">
        <v>92</v>
      </c>
      <c r="AC424" t="s">
        <v>831</v>
      </c>
      <c r="AD424" t="s">
        <v>831</v>
      </c>
      <c r="AE424" t="s">
        <v>1753</v>
      </c>
      <c r="AF424" t="s">
        <v>1754</v>
      </c>
      <c r="AG424" t="s">
        <v>1753</v>
      </c>
      <c r="AI424" t="s">
        <v>30</v>
      </c>
      <c r="AJ424" t="s">
        <v>1636</v>
      </c>
      <c r="AK424" t="s">
        <v>1637</v>
      </c>
      <c r="AL424" s="4">
        <v>80</v>
      </c>
      <c r="AM424" t="s">
        <v>185</v>
      </c>
      <c r="AN424">
        <v>80</v>
      </c>
      <c r="AO424" t="s">
        <v>1665</v>
      </c>
      <c r="AP424" t="s">
        <v>1639</v>
      </c>
      <c r="AQ424" t="s">
        <v>1716</v>
      </c>
      <c r="AR424" t="s">
        <v>1755</v>
      </c>
      <c r="AS424">
        <v>1</v>
      </c>
      <c r="AT424">
        <v>0</v>
      </c>
      <c r="AU424">
        <v>1</v>
      </c>
      <c r="AV424">
        <v>0</v>
      </c>
      <c r="AW424">
        <v>0</v>
      </c>
      <c r="AX424">
        <v>0</v>
      </c>
      <c r="AY424" t="s">
        <v>1642</v>
      </c>
    </row>
    <row r="425" spans="1:51">
      <c r="A425" t="s">
        <v>831</v>
      </c>
      <c r="B425" t="s">
        <v>859</v>
      </c>
      <c r="C425" t="s">
        <v>655</v>
      </c>
      <c r="D425" t="s">
        <v>840</v>
      </c>
      <c r="E425" t="s">
        <v>96</v>
      </c>
      <c r="F425">
        <v>80</v>
      </c>
      <c r="G425" t="s">
        <v>185</v>
      </c>
      <c r="H425" t="s">
        <v>84</v>
      </c>
      <c r="I425" t="s">
        <v>377</v>
      </c>
      <c r="J425" t="s">
        <v>834</v>
      </c>
      <c r="K425" t="s">
        <v>29</v>
      </c>
      <c r="L425" t="s">
        <v>30</v>
      </c>
      <c r="M425" t="s">
        <v>188</v>
      </c>
      <c r="N425" s="7">
        <v>12.3</v>
      </c>
      <c r="O425" s="7"/>
      <c r="P425" s="7">
        <v>4</v>
      </c>
      <c r="Q425" s="7">
        <v>13.3</v>
      </c>
      <c r="R425" s="7"/>
      <c r="S425" s="7">
        <v>4</v>
      </c>
      <c r="T425" s="7">
        <v>0.11156986306862825</v>
      </c>
      <c r="U425" s="7">
        <v>0.11156986306862825</v>
      </c>
      <c r="V425" s="7">
        <v>7.8164772849336261E-2</v>
      </c>
      <c r="W425" s="7">
        <v>3.8162113130973724E-5</v>
      </c>
      <c r="X425" t="s">
        <v>835</v>
      </c>
      <c r="Y425" t="s">
        <v>836</v>
      </c>
      <c r="Z425" t="s">
        <v>837</v>
      </c>
      <c r="AA425" t="s">
        <v>860</v>
      </c>
      <c r="AB425" t="s">
        <v>92</v>
      </c>
      <c r="AC425" t="s">
        <v>831</v>
      </c>
      <c r="AD425" t="s">
        <v>831</v>
      </c>
      <c r="AE425" t="s">
        <v>1756</v>
      </c>
      <c r="AF425" t="s">
        <v>1757</v>
      </c>
      <c r="AG425" t="s">
        <v>1756</v>
      </c>
      <c r="AI425" t="s">
        <v>30</v>
      </c>
      <c r="AJ425" t="s">
        <v>1636</v>
      </c>
      <c r="AK425" t="s">
        <v>1637</v>
      </c>
      <c r="AL425" s="4">
        <v>80</v>
      </c>
      <c r="AM425" t="s">
        <v>185</v>
      </c>
      <c r="AN425">
        <v>80</v>
      </c>
      <c r="AO425" t="s">
        <v>1665</v>
      </c>
      <c r="AP425" t="s">
        <v>1639</v>
      </c>
      <c r="AQ425" t="s">
        <v>1716</v>
      </c>
      <c r="AR425" t="s">
        <v>1755</v>
      </c>
      <c r="AS425">
        <v>1</v>
      </c>
      <c r="AT425">
        <v>0</v>
      </c>
      <c r="AU425">
        <v>1</v>
      </c>
      <c r="AV425">
        <v>0</v>
      </c>
      <c r="AW425">
        <v>0</v>
      </c>
      <c r="AX425">
        <v>0</v>
      </c>
      <c r="AY425" t="s">
        <v>1642</v>
      </c>
    </row>
    <row r="426" spans="1:51">
      <c r="A426" t="s">
        <v>831</v>
      </c>
      <c r="B426" t="s">
        <v>861</v>
      </c>
      <c r="C426" t="s">
        <v>655</v>
      </c>
      <c r="D426" t="s">
        <v>843</v>
      </c>
      <c r="E426" t="s">
        <v>96</v>
      </c>
      <c r="F426">
        <v>80</v>
      </c>
      <c r="G426" t="s">
        <v>185</v>
      </c>
      <c r="H426" t="s">
        <v>84</v>
      </c>
      <c r="I426" t="s">
        <v>377</v>
      </c>
      <c r="J426" t="s">
        <v>834</v>
      </c>
      <c r="K426" t="s">
        <v>29</v>
      </c>
      <c r="L426" t="s">
        <v>30</v>
      </c>
      <c r="M426" t="s">
        <v>188</v>
      </c>
      <c r="N426" s="7">
        <v>12.3</v>
      </c>
      <c r="O426" s="7"/>
      <c r="P426" s="7">
        <v>4</v>
      </c>
      <c r="Q426" s="7">
        <v>14.3</v>
      </c>
      <c r="R426" s="7"/>
      <c r="S426" s="7">
        <v>4</v>
      </c>
      <c r="T426" s="7">
        <v>0.11156986306862825</v>
      </c>
      <c r="U426" s="7">
        <v>0.11156986306862825</v>
      </c>
      <c r="V426" s="7">
        <v>0.15066027488748979</v>
      </c>
      <c r="W426" s="7">
        <v>3.5787638499543569E-5</v>
      </c>
      <c r="X426" t="s">
        <v>835</v>
      </c>
      <c r="Y426" t="s">
        <v>836</v>
      </c>
      <c r="Z426" t="s">
        <v>837</v>
      </c>
      <c r="AA426" t="s">
        <v>862</v>
      </c>
      <c r="AB426" t="s">
        <v>92</v>
      </c>
      <c r="AC426" t="s">
        <v>831</v>
      </c>
      <c r="AD426" t="s">
        <v>831</v>
      </c>
      <c r="AE426" t="s">
        <v>1758</v>
      </c>
      <c r="AF426" t="s">
        <v>1759</v>
      </c>
      <c r="AG426" t="s">
        <v>1758</v>
      </c>
      <c r="AI426" t="s">
        <v>30</v>
      </c>
      <c r="AJ426" t="s">
        <v>1636</v>
      </c>
      <c r="AK426" t="s">
        <v>1637</v>
      </c>
      <c r="AL426" s="4">
        <v>80</v>
      </c>
      <c r="AM426" t="s">
        <v>185</v>
      </c>
      <c r="AN426">
        <v>80</v>
      </c>
      <c r="AO426" t="s">
        <v>1665</v>
      </c>
      <c r="AP426" t="s">
        <v>1639</v>
      </c>
      <c r="AQ426" t="s">
        <v>1716</v>
      </c>
      <c r="AR426" t="s">
        <v>1755</v>
      </c>
      <c r="AS426">
        <v>1</v>
      </c>
      <c r="AT426">
        <v>0</v>
      </c>
      <c r="AU426">
        <v>1</v>
      </c>
      <c r="AV426">
        <v>0</v>
      </c>
      <c r="AW426">
        <v>0</v>
      </c>
      <c r="AX426">
        <v>0</v>
      </c>
      <c r="AY426" t="s">
        <v>1642</v>
      </c>
    </row>
    <row r="427" spans="1:51">
      <c r="A427" t="s">
        <v>831</v>
      </c>
      <c r="B427" t="s">
        <v>863</v>
      </c>
      <c r="C427" t="s">
        <v>655</v>
      </c>
      <c r="D427" t="s">
        <v>833</v>
      </c>
      <c r="E427" t="s">
        <v>96</v>
      </c>
      <c r="F427">
        <v>80</v>
      </c>
      <c r="G427" t="s">
        <v>185</v>
      </c>
      <c r="H427" t="s">
        <v>84</v>
      </c>
      <c r="I427" t="s">
        <v>377</v>
      </c>
      <c r="J427" t="s">
        <v>834</v>
      </c>
      <c r="K427" t="s">
        <v>29</v>
      </c>
      <c r="L427" t="s">
        <v>337</v>
      </c>
      <c r="M427" t="s">
        <v>188</v>
      </c>
      <c r="N427" s="7">
        <v>4.5999999999999996</v>
      </c>
      <c r="O427" s="7"/>
      <c r="P427" s="7">
        <v>4</v>
      </c>
      <c r="Q427" s="7">
        <v>5</v>
      </c>
      <c r="R427" s="7"/>
      <c r="S427" s="7">
        <v>4</v>
      </c>
      <c r="T427" s="7">
        <v>8.3677397301471182E-2</v>
      </c>
      <c r="U427" s="7">
        <v>8.3677397301471182E-2</v>
      </c>
      <c r="V427" s="7">
        <v>8.3381608939051208E-2</v>
      </c>
      <c r="W427" s="7">
        <v>1.5274481038368788E-4</v>
      </c>
      <c r="X427" t="s">
        <v>835</v>
      </c>
      <c r="Y427" t="s">
        <v>836</v>
      </c>
      <c r="Z427" t="s">
        <v>837</v>
      </c>
      <c r="AA427" t="s">
        <v>864</v>
      </c>
      <c r="AB427" t="s">
        <v>92</v>
      </c>
      <c r="AC427" t="s">
        <v>831</v>
      </c>
      <c r="AD427" t="s">
        <v>831</v>
      </c>
      <c r="AE427" t="s">
        <v>1753</v>
      </c>
      <c r="AF427" t="s">
        <v>1754</v>
      </c>
      <c r="AG427" t="s">
        <v>1753</v>
      </c>
      <c r="AI427" t="s">
        <v>337</v>
      </c>
      <c r="AJ427" t="s">
        <v>1636</v>
      </c>
      <c r="AK427" t="s">
        <v>1637</v>
      </c>
      <c r="AL427" s="4">
        <v>80</v>
      </c>
      <c r="AM427" t="s">
        <v>185</v>
      </c>
      <c r="AN427">
        <v>80</v>
      </c>
      <c r="AO427" t="s">
        <v>1665</v>
      </c>
      <c r="AP427" t="s">
        <v>1639</v>
      </c>
      <c r="AQ427" t="s">
        <v>1716</v>
      </c>
      <c r="AR427" t="s">
        <v>1755</v>
      </c>
      <c r="AS427">
        <v>1</v>
      </c>
      <c r="AT427">
        <v>0</v>
      </c>
      <c r="AU427">
        <v>1</v>
      </c>
      <c r="AV427">
        <v>0</v>
      </c>
      <c r="AW427">
        <v>0</v>
      </c>
      <c r="AX427">
        <v>0</v>
      </c>
      <c r="AY427" t="s">
        <v>1642</v>
      </c>
    </row>
    <row r="428" spans="1:51">
      <c r="A428" t="s">
        <v>831</v>
      </c>
      <c r="B428" t="s">
        <v>865</v>
      </c>
      <c r="C428" t="s">
        <v>655</v>
      </c>
      <c r="D428" t="s">
        <v>840</v>
      </c>
      <c r="E428" t="s">
        <v>96</v>
      </c>
      <c r="F428">
        <v>80</v>
      </c>
      <c r="G428" t="s">
        <v>185</v>
      </c>
      <c r="H428" t="s">
        <v>84</v>
      </c>
      <c r="I428" t="s">
        <v>377</v>
      </c>
      <c r="J428" t="s">
        <v>834</v>
      </c>
      <c r="K428" t="s">
        <v>29</v>
      </c>
      <c r="L428" t="s">
        <v>337</v>
      </c>
      <c r="M428" t="s">
        <v>188</v>
      </c>
      <c r="N428" s="7">
        <v>4.8</v>
      </c>
      <c r="O428" s="7"/>
      <c r="P428" s="7">
        <v>4</v>
      </c>
      <c r="Q428" s="7">
        <v>5.9</v>
      </c>
      <c r="R428" s="7"/>
      <c r="S428" s="7">
        <v>4</v>
      </c>
      <c r="T428" s="7">
        <v>8.3677397301471182E-2</v>
      </c>
      <c r="U428" s="7">
        <v>8.3677397301471182E-2</v>
      </c>
      <c r="V428" s="7">
        <v>0.20633643299782858</v>
      </c>
      <c r="W428" s="7">
        <v>1.2626215598458555E-4</v>
      </c>
      <c r="X428" t="s">
        <v>835</v>
      </c>
      <c r="Y428" t="s">
        <v>836</v>
      </c>
      <c r="Z428" t="s">
        <v>837</v>
      </c>
      <c r="AA428" t="s">
        <v>866</v>
      </c>
      <c r="AB428" t="s">
        <v>92</v>
      </c>
      <c r="AC428" t="s">
        <v>831</v>
      </c>
      <c r="AD428" t="s">
        <v>831</v>
      </c>
      <c r="AE428" t="s">
        <v>1756</v>
      </c>
      <c r="AF428" t="s">
        <v>1757</v>
      </c>
      <c r="AG428" t="s">
        <v>1756</v>
      </c>
      <c r="AI428" t="s">
        <v>337</v>
      </c>
      <c r="AJ428" t="s">
        <v>1636</v>
      </c>
      <c r="AK428" t="s">
        <v>1637</v>
      </c>
      <c r="AL428" s="4">
        <v>80</v>
      </c>
      <c r="AM428" t="s">
        <v>185</v>
      </c>
      <c r="AN428">
        <v>80</v>
      </c>
      <c r="AO428" t="s">
        <v>1665</v>
      </c>
      <c r="AP428" t="s">
        <v>1639</v>
      </c>
      <c r="AQ428" t="s">
        <v>1716</v>
      </c>
      <c r="AR428" t="s">
        <v>1755</v>
      </c>
      <c r="AS428">
        <v>1</v>
      </c>
      <c r="AT428">
        <v>0</v>
      </c>
      <c r="AU428">
        <v>1</v>
      </c>
      <c r="AV428">
        <v>0</v>
      </c>
      <c r="AW428">
        <v>0</v>
      </c>
      <c r="AX428">
        <v>0</v>
      </c>
      <c r="AY428" t="s">
        <v>1642</v>
      </c>
    </row>
    <row r="429" spans="1:51">
      <c r="A429" t="s">
        <v>831</v>
      </c>
      <c r="B429" t="s">
        <v>867</v>
      </c>
      <c r="C429" t="s">
        <v>655</v>
      </c>
      <c r="D429" t="s">
        <v>843</v>
      </c>
      <c r="E429" t="s">
        <v>96</v>
      </c>
      <c r="F429">
        <v>80</v>
      </c>
      <c r="G429" t="s">
        <v>185</v>
      </c>
      <c r="H429" t="s">
        <v>84</v>
      </c>
      <c r="I429" t="s">
        <v>377</v>
      </c>
      <c r="J429" t="s">
        <v>834</v>
      </c>
      <c r="K429" t="s">
        <v>29</v>
      </c>
      <c r="L429" t="s">
        <v>337</v>
      </c>
      <c r="M429" t="s">
        <v>188</v>
      </c>
      <c r="N429" s="7">
        <v>5.0999999999999996</v>
      </c>
      <c r="O429" s="7"/>
      <c r="P429" s="7">
        <v>4</v>
      </c>
      <c r="Q429" s="7">
        <v>5.2</v>
      </c>
      <c r="R429" s="7"/>
      <c r="S429" s="7">
        <v>4</v>
      </c>
      <c r="T429" s="7">
        <v>8.3677397301471182E-2</v>
      </c>
      <c r="U429" s="7">
        <v>8.3677397301471182E-2</v>
      </c>
      <c r="V429" s="7">
        <v>1.9418085857101731E-2</v>
      </c>
      <c r="W429" s="7">
        <v>1.3203670696317551E-4</v>
      </c>
      <c r="X429" t="s">
        <v>835</v>
      </c>
      <c r="Y429" t="s">
        <v>836</v>
      </c>
      <c r="Z429" t="s">
        <v>837</v>
      </c>
      <c r="AA429" t="s">
        <v>868</v>
      </c>
      <c r="AB429" t="s">
        <v>92</v>
      </c>
      <c r="AC429" t="s">
        <v>831</v>
      </c>
      <c r="AD429" t="s">
        <v>831</v>
      </c>
      <c r="AE429" t="s">
        <v>1758</v>
      </c>
      <c r="AF429" t="s">
        <v>1759</v>
      </c>
      <c r="AG429" t="s">
        <v>1758</v>
      </c>
      <c r="AI429" t="s">
        <v>337</v>
      </c>
      <c r="AJ429" t="s">
        <v>1636</v>
      </c>
      <c r="AK429" t="s">
        <v>1637</v>
      </c>
      <c r="AL429" s="4">
        <v>80</v>
      </c>
      <c r="AM429" t="s">
        <v>185</v>
      </c>
      <c r="AN429">
        <v>80</v>
      </c>
      <c r="AO429" t="s">
        <v>1665</v>
      </c>
      <c r="AP429" t="s">
        <v>1639</v>
      </c>
      <c r="AQ429" t="s">
        <v>1716</v>
      </c>
      <c r="AR429" t="s">
        <v>1755</v>
      </c>
      <c r="AS429">
        <v>1</v>
      </c>
      <c r="AT429">
        <v>0</v>
      </c>
      <c r="AU429">
        <v>1</v>
      </c>
      <c r="AV429">
        <v>0</v>
      </c>
      <c r="AW429">
        <v>0</v>
      </c>
      <c r="AX429">
        <v>0</v>
      </c>
      <c r="AY429" t="s">
        <v>1642</v>
      </c>
    </row>
    <row r="430" spans="1:51">
      <c r="A430" t="s">
        <v>831</v>
      </c>
      <c r="B430" t="s">
        <v>869</v>
      </c>
      <c r="C430" t="s">
        <v>655</v>
      </c>
      <c r="D430" t="s">
        <v>833</v>
      </c>
      <c r="E430" t="s">
        <v>96</v>
      </c>
      <c r="F430">
        <v>80</v>
      </c>
      <c r="G430" t="s">
        <v>185</v>
      </c>
      <c r="H430" t="s">
        <v>84</v>
      </c>
      <c r="I430" t="s">
        <v>377</v>
      </c>
      <c r="J430" t="s">
        <v>834</v>
      </c>
      <c r="K430" t="s">
        <v>29</v>
      </c>
      <c r="L430" t="s">
        <v>40</v>
      </c>
      <c r="M430" t="s">
        <v>188</v>
      </c>
      <c r="N430" s="7">
        <v>10</v>
      </c>
      <c r="O430" s="7"/>
      <c r="P430" s="7">
        <v>4</v>
      </c>
      <c r="Q430" s="7">
        <v>11</v>
      </c>
      <c r="R430" s="7"/>
      <c r="S430" s="7">
        <v>4</v>
      </c>
      <c r="T430" s="7">
        <v>9.7623630185049715E-2</v>
      </c>
      <c r="U430" s="7">
        <v>9.7623630185049715E-2</v>
      </c>
      <c r="V430" s="7">
        <v>9.5310179804324935E-2</v>
      </c>
      <c r="W430" s="7">
        <v>4.3516786584341411E-5</v>
      </c>
      <c r="X430" t="s">
        <v>835</v>
      </c>
      <c r="Y430" t="s">
        <v>836</v>
      </c>
      <c r="Z430" t="s">
        <v>837</v>
      </c>
      <c r="AA430" t="s">
        <v>870</v>
      </c>
      <c r="AB430" t="s">
        <v>92</v>
      </c>
      <c r="AC430" t="s">
        <v>831</v>
      </c>
      <c r="AD430" t="s">
        <v>831</v>
      </c>
      <c r="AE430" t="s">
        <v>1753</v>
      </c>
      <c r="AF430" t="s">
        <v>1754</v>
      </c>
      <c r="AG430" t="s">
        <v>1753</v>
      </c>
      <c r="AI430" t="s">
        <v>40</v>
      </c>
      <c r="AJ430" t="s">
        <v>1636</v>
      </c>
      <c r="AK430" t="s">
        <v>1637</v>
      </c>
      <c r="AL430" s="4">
        <v>80</v>
      </c>
      <c r="AM430" t="s">
        <v>185</v>
      </c>
      <c r="AN430">
        <v>80</v>
      </c>
      <c r="AO430" t="s">
        <v>1665</v>
      </c>
      <c r="AP430" t="s">
        <v>1639</v>
      </c>
      <c r="AQ430" t="s">
        <v>1716</v>
      </c>
      <c r="AR430" t="s">
        <v>1755</v>
      </c>
      <c r="AS430">
        <v>1</v>
      </c>
      <c r="AT430">
        <v>0</v>
      </c>
      <c r="AU430">
        <v>1</v>
      </c>
      <c r="AV430">
        <v>0</v>
      </c>
      <c r="AW430">
        <v>0</v>
      </c>
      <c r="AX430">
        <v>0</v>
      </c>
      <c r="AY430" t="s">
        <v>1642</v>
      </c>
    </row>
    <row r="431" spans="1:51">
      <c r="A431" t="s">
        <v>831</v>
      </c>
      <c r="B431" t="s">
        <v>871</v>
      </c>
      <c r="C431" t="s">
        <v>655</v>
      </c>
      <c r="D431" t="s">
        <v>840</v>
      </c>
      <c r="E431" t="s">
        <v>96</v>
      </c>
      <c r="F431">
        <v>80</v>
      </c>
      <c r="G431" t="s">
        <v>185</v>
      </c>
      <c r="H431" t="s">
        <v>84</v>
      </c>
      <c r="I431" t="s">
        <v>377</v>
      </c>
      <c r="J431" t="s">
        <v>834</v>
      </c>
      <c r="K431" t="s">
        <v>29</v>
      </c>
      <c r="L431" t="s">
        <v>40</v>
      </c>
      <c r="M431" t="s">
        <v>188</v>
      </c>
      <c r="N431" s="7">
        <v>10</v>
      </c>
      <c r="O431" s="7"/>
      <c r="P431" s="7">
        <v>4</v>
      </c>
      <c r="Q431" s="7">
        <v>11</v>
      </c>
      <c r="R431" s="7"/>
      <c r="S431" s="7">
        <v>4</v>
      </c>
      <c r="T431" s="7">
        <v>9.7623630185049715E-2</v>
      </c>
      <c r="U431" s="7">
        <v>9.7623630185049715E-2</v>
      </c>
      <c r="V431" s="7">
        <v>9.5310179804324935E-2</v>
      </c>
      <c r="W431" s="7">
        <v>4.3516786584341411E-5</v>
      </c>
      <c r="X431" t="s">
        <v>835</v>
      </c>
      <c r="Y431" t="s">
        <v>836</v>
      </c>
      <c r="Z431" t="s">
        <v>837</v>
      </c>
      <c r="AA431" t="s">
        <v>872</v>
      </c>
      <c r="AB431" t="s">
        <v>92</v>
      </c>
      <c r="AC431" t="s">
        <v>831</v>
      </c>
      <c r="AD431" t="s">
        <v>831</v>
      </c>
      <c r="AE431" t="s">
        <v>1756</v>
      </c>
      <c r="AF431" t="s">
        <v>1757</v>
      </c>
      <c r="AG431" t="s">
        <v>1756</v>
      </c>
      <c r="AI431" t="s">
        <v>40</v>
      </c>
      <c r="AJ431" t="s">
        <v>1636</v>
      </c>
      <c r="AK431" t="s">
        <v>1637</v>
      </c>
      <c r="AL431" s="4">
        <v>80</v>
      </c>
      <c r="AM431" t="s">
        <v>185</v>
      </c>
      <c r="AN431">
        <v>80</v>
      </c>
      <c r="AO431" t="s">
        <v>1665</v>
      </c>
      <c r="AP431" t="s">
        <v>1639</v>
      </c>
      <c r="AQ431" t="s">
        <v>1716</v>
      </c>
      <c r="AR431" t="s">
        <v>1755</v>
      </c>
      <c r="AS431">
        <v>1</v>
      </c>
      <c r="AT431">
        <v>0</v>
      </c>
      <c r="AU431">
        <v>1</v>
      </c>
      <c r="AV431">
        <v>0</v>
      </c>
      <c r="AW431">
        <v>0</v>
      </c>
      <c r="AX431">
        <v>0</v>
      </c>
      <c r="AY431" t="s">
        <v>1642</v>
      </c>
    </row>
    <row r="432" spans="1:51">
      <c r="A432" t="s">
        <v>831</v>
      </c>
      <c r="B432" t="s">
        <v>873</v>
      </c>
      <c r="C432" t="s">
        <v>655</v>
      </c>
      <c r="D432" t="s">
        <v>843</v>
      </c>
      <c r="E432" t="s">
        <v>96</v>
      </c>
      <c r="F432">
        <v>80</v>
      </c>
      <c r="G432" t="s">
        <v>185</v>
      </c>
      <c r="H432" t="s">
        <v>84</v>
      </c>
      <c r="I432" t="s">
        <v>377</v>
      </c>
      <c r="J432" t="s">
        <v>834</v>
      </c>
      <c r="K432" t="s">
        <v>29</v>
      </c>
      <c r="L432" t="s">
        <v>40</v>
      </c>
      <c r="M432" t="s">
        <v>188</v>
      </c>
      <c r="N432" s="7">
        <v>10</v>
      </c>
      <c r="O432" s="7"/>
      <c r="P432" s="7">
        <v>4</v>
      </c>
      <c r="Q432" s="7">
        <v>11.3</v>
      </c>
      <c r="R432" s="7"/>
      <c r="S432" s="7">
        <v>4</v>
      </c>
      <c r="T432" s="7">
        <v>9.7623630185049715E-2</v>
      </c>
      <c r="U432" s="7">
        <v>9.7623630185049715E-2</v>
      </c>
      <c r="V432" s="7">
        <v>0.12221763272424931</v>
      </c>
      <c r="W432" s="7">
        <v>4.2485133275761965E-5</v>
      </c>
      <c r="X432" t="s">
        <v>835</v>
      </c>
      <c r="Y432" t="s">
        <v>836</v>
      </c>
      <c r="Z432" t="s">
        <v>837</v>
      </c>
      <c r="AA432" t="s">
        <v>874</v>
      </c>
      <c r="AB432" t="s">
        <v>92</v>
      </c>
      <c r="AC432" t="s">
        <v>831</v>
      </c>
      <c r="AD432" t="s">
        <v>831</v>
      </c>
      <c r="AE432" t="s">
        <v>1758</v>
      </c>
      <c r="AF432" t="s">
        <v>1759</v>
      </c>
      <c r="AG432" t="s">
        <v>1758</v>
      </c>
      <c r="AI432" t="s">
        <v>40</v>
      </c>
      <c r="AJ432" t="s">
        <v>1636</v>
      </c>
      <c r="AK432" t="s">
        <v>1637</v>
      </c>
      <c r="AL432" s="4">
        <v>80</v>
      </c>
      <c r="AM432" t="s">
        <v>185</v>
      </c>
      <c r="AN432">
        <v>80</v>
      </c>
      <c r="AO432" t="s">
        <v>1665</v>
      </c>
      <c r="AP432" t="s">
        <v>1639</v>
      </c>
      <c r="AQ432" t="s">
        <v>1716</v>
      </c>
      <c r="AR432" t="s">
        <v>1755</v>
      </c>
      <c r="AS432">
        <v>1</v>
      </c>
      <c r="AT432">
        <v>0</v>
      </c>
      <c r="AU432">
        <v>1</v>
      </c>
      <c r="AV432">
        <v>0</v>
      </c>
      <c r="AW432">
        <v>0</v>
      </c>
      <c r="AX432">
        <v>0</v>
      </c>
      <c r="AY432" t="s">
        <v>1642</v>
      </c>
    </row>
    <row r="433" spans="1:51">
      <c r="A433" t="s">
        <v>875</v>
      </c>
      <c r="B433" t="s">
        <v>876</v>
      </c>
      <c r="C433" t="s">
        <v>655</v>
      </c>
      <c r="D433" t="s">
        <v>877</v>
      </c>
      <c r="E433" t="s">
        <v>878</v>
      </c>
      <c r="F433">
        <v>5</v>
      </c>
      <c r="G433" t="s">
        <v>185</v>
      </c>
      <c r="H433" t="s">
        <v>879</v>
      </c>
      <c r="I433" t="s">
        <v>85</v>
      </c>
      <c r="J433" t="s">
        <v>880</v>
      </c>
      <c r="K433" t="s">
        <v>41</v>
      </c>
      <c r="L433" t="s">
        <v>30</v>
      </c>
      <c r="M433" t="s">
        <v>881</v>
      </c>
      <c r="N433" s="7">
        <v>1.55</v>
      </c>
      <c r="O433" s="7">
        <v>0.12</v>
      </c>
      <c r="P433" s="7">
        <v>6</v>
      </c>
      <c r="Q433" s="7">
        <v>1.68</v>
      </c>
      <c r="R433" s="7">
        <v>0.12</v>
      </c>
      <c r="S433" s="7">
        <v>6</v>
      </c>
      <c r="T433" s="7">
        <v>0.29393876913398131</v>
      </c>
      <c r="U433" s="7">
        <v>0.29393876913398131</v>
      </c>
      <c r="V433" s="7">
        <v>8.0538862484012194E-2</v>
      </c>
      <c r="W433" s="7">
        <v>1.1095797319968565E-2</v>
      </c>
      <c r="X433" t="s">
        <v>550</v>
      </c>
      <c r="Y433" t="s">
        <v>89</v>
      </c>
      <c r="Z433" t="s">
        <v>515</v>
      </c>
      <c r="AA433" t="s">
        <v>882</v>
      </c>
      <c r="AB433" t="s">
        <v>92</v>
      </c>
      <c r="AC433" t="s">
        <v>875</v>
      </c>
      <c r="AD433" t="s">
        <v>875</v>
      </c>
      <c r="AE433" t="s">
        <v>1760</v>
      </c>
      <c r="AF433" t="s">
        <v>1761</v>
      </c>
      <c r="AG433" t="s">
        <v>1760</v>
      </c>
      <c r="AI433" t="s">
        <v>30</v>
      </c>
      <c r="AJ433" t="s">
        <v>1636</v>
      </c>
      <c r="AK433" t="s">
        <v>1637</v>
      </c>
      <c r="AL433" s="4">
        <v>5</v>
      </c>
      <c r="AM433" t="s">
        <v>185</v>
      </c>
      <c r="AN433">
        <v>5</v>
      </c>
      <c r="AO433" t="s">
        <v>1665</v>
      </c>
      <c r="AP433" t="s">
        <v>1639</v>
      </c>
      <c r="AQ433" t="s">
        <v>1640</v>
      </c>
      <c r="AR433" t="s">
        <v>1641</v>
      </c>
      <c r="AS433">
        <v>1</v>
      </c>
      <c r="AT433">
        <v>0</v>
      </c>
      <c r="AU433">
        <v>0</v>
      </c>
      <c r="AV433">
        <v>1</v>
      </c>
      <c r="AW433">
        <v>0</v>
      </c>
      <c r="AX433">
        <v>0</v>
      </c>
      <c r="AY433" t="s">
        <v>1642</v>
      </c>
    </row>
    <row r="434" spans="1:51">
      <c r="A434" t="s">
        <v>875</v>
      </c>
      <c r="B434" t="s">
        <v>883</v>
      </c>
      <c r="C434" t="s">
        <v>655</v>
      </c>
      <c r="D434" t="s">
        <v>877</v>
      </c>
      <c r="E434" t="s">
        <v>878</v>
      </c>
      <c r="F434">
        <v>5</v>
      </c>
      <c r="G434" t="s">
        <v>185</v>
      </c>
      <c r="H434" t="s">
        <v>879</v>
      </c>
      <c r="I434" t="s">
        <v>85</v>
      </c>
      <c r="J434" t="s">
        <v>880</v>
      </c>
      <c r="K434" t="s">
        <v>41</v>
      </c>
      <c r="L434" t="s">
        <v>40</v>
      </c>
      <c r="M434" t="s">
        <v>881</v>
      </c>
      <c r="N434" s="7">
        <v>32</v>
      </c>
      <c r="O434" s="7">
        <v>1.2</v>
      </c>
      <c r="P434" s="7">
        <v>6</v>
      </c>
      <c r="Q434" s="7">
        <v>32.5</v>
      </c>
      <c r="R434" s="7">
        <v>1.1000000000000001</v>
      </c>
      <c r="S434" s="7">
        <v>6</v>
      </c>
      <c r="T434" s="7">
        <v>2.9393876913398134</v>
      </c>
      <c r="U434" s="7">
        <v>2.6944387170614958</v>
      </c>
      <c r="V434" s="7">
        <v>1.5504186535965254E-2</v>
      </c>
      <c r="W434" s="7">
        <v>2.5518121301775143E-3</v>
      </c>
      <c r="X434" t="s">
        <v>550</v>
      </c>
      <c r="Y434" t="s">
        <v>89</v>
      </c>
      <c r="Z434" t="s">
        <v>515</v>
      </c>
      <c r="AA434" t="s">
        <v>884</v>
      </c>
      <c r="AB434" t="s">
        <v>92</v>
      </c>
      <c r="AC434" t="s">
        <v>875</v>
      </c>
      <c r="AD434" t="s">
        <v>875</v>
      </c>
      <c r="AE434" t="s">
        <v>1760</v>
      </c>
      <c r="AF434" t="s">
        <v>1761</v>
      </c>
      <c r="AG434" t="s">
        <v>1760</v>
      </c>
      <c r="AI434" t="s">
        <v>40</v>
      </c>
      <c r="AJ434" t="s">
        <v>1636</v>
      </c>
      <c r="AK434" t="s">
        <v>1637</v>
      </c>
      <c r="AL434" s="4">
        <v>5</v>
      </c>
      <c r="AM434" t="s">
        <v>185</v>
      </c>
      <c r="AN434">
        <v>5</v>
      </c>
      <c r="AO434" t="s">
        <v>1665</v>
      </c>
      <c r="AP434" t="s">
        <v>1639</v>
      </c>
      <c r="AQ434" t="s">
        <v>1640</v>
      </c>
      <c r="AR434" t="s">
        <v>1641</v>
      </c>
      <c r="AS434">
        <v>1</v>
      </c>
      <c r="AT434">
        <v>0</v>
      </c>
      <c r="AU434">
        <v>0</v>
      </c>
      <c r="AV434">
        <v>1</v>
      </c>
      <c r="AW434">
        <v>0</v>
      </c>
      <c r="AX434">
        <v>0</v>
      </c>
      <c r="AY434" t="s">
        <v>1642</v>
      </c>
    </row>
    <row r="435" spans="1:51">
      <c r="A435" t="s">
        <v>875</v>
      </c>
      <c r="B435" t="s">
        <v>885</v>
      </c>
      <c r="C435" t="s">
        <v>655</v>
      </c>
      <c r="D435" t="s">
        <v>877</v>
      </c>
      <c r="E435" t="s">
        <v>878</v>
      </c>
      <c r="F435">
        <v>5</v>
      </c>
      <c r="G435" t="s">
        <v>185</v>
      </c>
      <c r="H435" t="s">
        <v>879</v>
      </c>
      <c r="I435" t="s">
        <v>85</v>
      </c>
      <c r="J435" t="s">
        <v>513</v>
      </c>
      <c r="K435" t="s">
        <v>41</v>
      </c>
      <c r="L435" t="s">
        <v>30</v>
      </c>
      <c r="M435" t="s">
        <v>881</v>
      </c>
      <c r="N435" s="7">
        <v>1.1599999999999999</v>
      </c>
      <c r="O435" s="7">
        <v>0.1</v>
      </c>
      <c r="P435" s="7">
        <v>6</v>
      </c>
      <c r="Q435" s="7">
        <v>1.3</v>
      </c>
      <c r="R435" s="7">
        <v>0.06</v>
      </c>
      <c r="S435" s="7">
        <v>6</v>
      </c>
      <c r="T435" s="7">
        <v>0.2449489742783178</v>
      </c>
      <c r="U435" s="7">
        <v>0.14696938456699066</v>
      </c>
      <c r="V435" s="7">
        <v>0.1139442593492179</v>
      </c>
      <c r="W435" s="7">
        <v>9.5618065278725659E-3</v>
      </c>
      <c r="X435" t="s">
        <v>550</v>
      </c>
      <c r="Y435" t="s">
        <v>89</v>
      </c>
      <c r="Z435" t="s">
        <v>515</v>
      </c>
      <c r="AA435" t="s">
        <v>886</v>
      </c>
      <c r="AB435" t="s">
        <v>92</v>
      </c>
      <c r="AC435" t="s">
        <v>875</v>
      </c>
      <c r="AD435" t="s">
        <v>875</v>
      </c>
      <c r="AE435" t="s">
        <v>1762</v>
      </c>
      <c r="AF435" t="s">
        <v>1763</v>
      </c>
      <c r="AG435" t="s">
        <v>1762</v>
      </c>
      <c r="AI435" t="s">
        <v>30</v>
      </c>
      <c r="AJ435" t="s">
        <v>1636</v>
      </c>
      <c r="AK435" t="s">
        <v>1637</v>
      </c>
      <c r="AL435" s="4">
        <v>5</v>
      </c>
      <c r="AM435" t="s">
        <v>185</v>
      </c>
      <c r="AN435">
        <v>5</v>
      </c>
      <c r="AO435" t="s">
        <v>1665</v>
      </c>
      <c r="AP435" t="s">
        <v>1639</v>
      </c>
      <c r="AQ435" t="s">
        <v>1640</v>
      </c>
      <c r="AR435" t="s">
        <v>1641</v>
      </c>
      <c r="AS435">
        <v>1</v>
      </c>
      <c r="AT435">
        <v>0</v>
      </c>
      <c r="AU435">
        <v>0</v>
      </c>
      <c r="AV435">
        <v>1</v>
      </c>
      <c r="AW435">
        <v>0</v>
      </c>
      <c r="AX435">
        <v>0</v>
      </c>
      <c r="AY435" t="s">
        <v>1642</v>
      </c>
    </row>
    <row r="436" spans="1:51">
      <c r="A436" t="s">
        <v>875</v>
      </c>
      <c r="B436" t="s">
        <v>887</v>
      </c>
      <c r="C436" t="s">
        <v>655</v>
      </c>
      <c r="D436" t="s">
        <v>877</v>
      </c>
      <c r="E436" t="s">
        <v>878</v>
      </c>
      <c r="F436">
        <v>5</v>
      </c>
      <c r="G436" t="s">
        <v>185</v>
      </c>
      <c r="H436" t="s">
        <v>879</v>
      </c>
      <c r="I436" t="s">
        <v>85</v>
      </c>
      <c r="J436" t="s">
        <v>513</v>
      </c>
      <c r="K436" t="s">
        <v>41</v>
      </c>
      <c r="L436" t="s">
        <v>40</v>
      </c>
      <c r="M436" t="s">
        <v>881</v>
      </c>
      <c r="N436" s="7">
        <v>26</v>
      </c>
      <c r="O436" s="7">
        <v>1.4</v>
      </c>
      <c r="P436" s="7">
        <v>6</v>
      </c>
      <c r="Q436" s="7">
        <v>30.7</v>
      </c>
      <c r="R436" s="7">
        <v>1.2</v>
      </c>
      <c r="S436" s="7">
        <v>6</v>
      </c>
      <c r="T436" s="7">
        <v>3.4292856398964489</v>
      </c>
      <c r="U436" s="7">
        <v>2.9393876913398134</v>
      </c>
      <c r="V436" s="7">
        <v>0.16616611657166944</v>
      </c>
      <c r="W436" s="7">
        <v>4.4272759537071658E-3</v>
      </c>
      <c r="X436" t="s">
        <v>550</v>
      </c>
      <c r="Y436" t="s">
        <v>89</v>
      </c>
      <c r="Z436" t="s">
        <v>515</v>
      </c>
      <c r="AA436" t="s">
        <v>888</v>
      </c>
      <c r="AB436" t="s">
        <v>92</v>
      </c>
      <c r="AC436" t="s">
        <v>875</v>
      </c>
      <c r="AD436" t="s">
        <v>875</v>
      </c>
      <c r="AE436" t="s">
        <v>1762</v>
      </c>
      <c r="AF436" t="s">
        <v>1763</v>
      </c>
      <c r="AG436" t="s">
        <v>1762</v>
      </c>
      <c r="AI436" t="s">
        <v>40</v>
      </c>
      <c r="AJ436" t="s">
        <v>1636</v>
      </c>
      <c r="AK436" t="s">
        <v>1637</v>
      </c>
      <c r="AL436" s="4">
        <v>5</v>
      </c>
      <c r="AM436" t="s">
        <v>185</v>
      </c>
      <c r="AN436">
        <v>5</v>
      </c>
      <c r="AO436" t="s">
        <v>1665</v>
      </c>
      <c r="AP436" t="s">
        <v>1639</v>
      </c>
      <c r="AQ436" t="s">
        <v>1640</v>
      </c>
      <c r="AR436" t="s">
        <v>1641</v>
      </c>
      <c r="AS436">
        <v>1</v>
      </c>
      <c r="AT436">
        <v>0</v>
      </c>
      <c r="AU436">
        <v>0</v>
      </c>
      <c r="AV436">
        <v>1</v>
      </c>
      <c r="AW436">
        <v>0</v>
      </c>
      <c r="AX436">
        <v>0</v>
      </c>
      <c r="AY436" t="s">
        <v>1642</v>
      </c>
    </row>
    <row r="437" spans="1:51">
      <c r="A437" t="s">
        <v>875</v>
      </c>
      <c r="B437" t="s">
        <v>889</v>
      </c>
      <c r="C437" t="s">
        <v>655</v>
      </c>
      <c r="D437" t="s">
        <v>877</v>
      </c>
      <c r="E437" t="s">
        <v>878</v>
      </c>
      <c r="F437">
        <v>5</v>
      </c>
      <c r="G437" t="s">
        <v>185</v>
      </c>
      <c r="H437" t="s">
        <v>879</v>
      </c>
      <c r="I437" t="s">
        <v>85</v>
      </c>
      <c r="J437" t="s">
        <v>890</v>
      </c>
      <c r="K437" t="s">
        <v>41</v>
      </c>
      <c r="L437" t="s">
        <v>30</v>
      </c>
      <c r="M437" t="s">
        <v>881</v>
      </c>
      <c r="N437" s="7">
        <v>0.94</v>
      </c>
      <c r="O437" s="7">
        <v>0.11</v>
      </c>
      <c r="P437" s="7">
        <v>6</v>
      </c>
      <c r="Q437" s="7">
        <v>1.03</v>
      </c>
      <c r="R437" s="7">
        <v>0.08</v>
      </c>
      <c r="S437" s="7">
        <v>6</v>
      </c>
      <c r="T437" s="7">
        <v>0.26944387170614958</v>
      </c>
      <c r="U437" s="7">
        <v>0.19595917942265423</v>
      </c>
      <c r="V437" s="7">
        <v>9.1434205959632045E-2</v>
      </c>
      <c r="W437" s="7">
        <v>1.9726592994553808E-2</v>
      </c>
      <c r="X437" t="s">
        <v>550</v>
      </c>
      <c r="Y437" t="s">
        <v>89</v>
      </c>
      <c r="Z437" t="s">
        <v>515</v>
      </c>
      <c r="AA437" t="s">
        <v>891</v>
      </c>
      <c r="AB437" t="s">
        <v>92</v>
      </c>
      <c r="AC437" t="s">
        <v>875</v>
      </c>
      <c r="AD437" t="s">
        <v>875</v>
      </c>
      <c r="AE437" t="s">
        <v>1764</v>
      </c>
      <c r="AF437" t="s">
        <v>1765</v>
      </c>
      <c r="AG437" t="s">
        <v>1764</v>
      </c>
      <c r="AI437" t="s">
        <v>30</v>
      </c>
      <c r="AJ437" t="s">
        <v>1636</v>
      </c>
      <c r="AK437" t="s">
        <v>1637</v>
      </c>
      <c r="AL437" s="4">
        <v>5</v>
      </c>
      <c r="AM437" t="s">
        <v>185</v>
      </c>
      <c r="AN437">
        <v>5</v>
      </c>
      <c r="AO437" t="s">
        <v>1665</v>
      </c>
      <c r="AP437" t="s">
        <v>1639</v>
      </c>
      <c r="AQ437" t="s">
        <v>1640</v>
      </c>
      <c r="AR437" t="s">
        <v>1641</v>
      </c>
      <c r="AS437">
        <v>1</v>
      </c>
      <c r="AT437">
        <v>0</v>
      </c>
      <c r="AU437">
        <v>0</v>
      </c>
      <c r="AV437">
        <v>1</v>
      </c>
      <c r="AW437">
        <v>0</v>
      </c>
      <c r="AX437">
        <v>0</v>
      </c>
      <c r="AY437" t="s">
        <v>1642</v>
      </c>
    </row>
    <row r="438" spans="1:51">
      <c r="A438" t="s">
        <v>875</v>
      </c>
      <c r="B438" t="s">
        <v>892</v>
      </c>
      <c r="C438" t="s">
        <v>655</v>
      </c>
      <c r="D438" t="s">
        <v>877</v>
      </c>
      <c r="E438" t="s">
        <v>878</v>
      </c>
      <c r="F438">
        <v>5</v>
      </c>
      <c r="G438" t="s">
        <v>185</v>
      </c>
      <c r="H438" t="s">
        <v>879</v>
      </c>
      <c r="I438" t="s">
        <v>85</v>
      </c>
      <c r="J438" t="s">
        <v>890</v>
      </c>
      <c r="K438" t="s">
        <v>41</v>
      </c>
      <c r="L438" t="s">
        <v>40</v>
      </c>
      <c r="M438" t="s">
        <v>881</v>
      </c>
      <c r="N438" s="7">
        <v>20.5</v>
      </c>
      <c r="O438" s="7">
        <v>1.3</v>
      </c>
      <c r="P438" s="7">
        <v>6</v>
      </c>
      <c r="Q438" s="7">
        <v>30</v>
      </c>
      <c r="R438" s="7">
        <v>1.2</v>
      </c>
      <c r="S438" s="7">
        <v>6</v>
      </c>
      <c r="T438" s="7">
        <v>3.1843366656181313</v>
      </c>
      <c r="U438" s="7">
        <v>2.9393876913398134</v>
      </c>
      <c r="V438" s="7">
        <v>0.38077249551779285</v>
      </c>
      <c r="W438" s="7">
        <v>5.6214158239143363E-3</v>
      </c>
      <c r="X438" t="s">
        <v>550</v>
      </c>
      <c r="Y438" t="s">
        <v>89</v>
      </c>
      <c r="Z438" t="s">
        <v>515</v>
      </c>
      <c r="AA438" t="s">
        <v>893</v>
      </c>
      <c r="AB438" t="s">
        <v>92</v>
      </c>
      <c r="AC438" t="s">
        <v>875</v>
      </c>
      <c r="AD438" t="s">
        <v>875</v>
      </c>
      <c r="AE438" t="s">
        <v>1764</v>
      </c>
      <c r="AF438" t="s">
        <v>1765</v>
      </c>
      <c r="AG438" t="s">
        <v>1764</v>
      </c>
      <c r="AI438" t="s">
        <v>40</v>
      </c>
      <c r="AJ438" t="s">
        <v>1636</v>
      </c>
      <c r="AK438" t="s">
        <v>1637</v>
      </c>
      <c r="AL438" s="4">
        <v>5</v>
      </c>
      <c r="AM438" t="s">
        <v>185</v>
      </c>
      <c r="AN438">
        <v>5</v>
      </c>
      <c r="AO438" t="s">
        <v>1665</v>
      </c>
      <c r="AP438" t="s">
        <v>1639</v>
      </c>
      <c r="AQ438" t="s">
        <v>1640</v>
      </c>
      <c r="AR438" t="s">
        <v>1641</v>
      </c>
      <c r="AS438">
        <v>1</v>
      </c>
      <c r="AT438">
        <v>0</v>
      </c>
      <c r="AU438">
        <v>0</v>
      </c>
      <c r="AV438">
        <v>1</v>
      </c>
      <c r="AW438">
        <v>0</v>
      </c>
      <c r="AX438">
        <v>0</v>
      </c>
      <c r="AY438" t="s">
        <v>1642</v>
      </c>
    </row>
    <row r="439" spans="1:51">
      <c r="A439" t="s">
        <v>894</v>
      </c>
      <c r="B439" t="s">
        <v>895</v>
      </c>
      <c r="C439" t="s">
        <v>896</v>
      </c>
      <c r="D439" t="s">
        <v>897</v>
      </c>
      <c r="E439" t="s">
        <v>96</v>
      </c>
      <c r="F439">
        <v>10</v>
      </c>
      <c r="G439" t="s">
        <v>185</v>
      </c>
      <c r="H439" t="s">
        <v>84</v>
      </c>
      <c r="I439" t="s">
        <v>85</v>
      </c>
      <c r="J439" t="s">
        <v>86</v>
      </c>
      <c r="K439" t="s">
        <v>149</v>
      </c>
      <c r="L439" t="s">
        <v>40</v>
      </c>
      <c r="M439" t="s">
        <v>188</v>
      </c>
      <c r="N439" s="7">
        <v>32.5</v>
      </c>
      <c r="O439" s="7">
        <v>1</v>
      </c>
      <c r="P439" s="7">
        <v>4</v>
      </c>
      <c r="Q439" s="7">
        <v>33.5</v>
      </c>
      <c r="R439" s="7">
        <v>0.6</v>
      </c>
      <c r="S439" s="7">
        <v>4</v>
      </c>
      <c r="T439" s="7">
        <v>2</v>
      </c>
      <c r="U439" s="7">
        <v>1.2</v>
      </c>
      <c r="V439" s="7">
        <v>3.0305349495328843E-2</v>
      </c>
      <c r="W439" s="7">
        <v>1.2675297011366378E-3</v>
      </c>
      <c r="X439" t="s">
        <v>898</v>
      </c>
      <c r="Y439" t="s">
        <v>89</v>
      </c>
      <c r="Z439" t="s">
        <v>696</v>
      </c>
      <c r="AA439" t="s">
        <v>899</v>
      </c>
      <c r="AB439" t="s">
        <v>92</v>
      </c>
      <c r="AC439" t="s">
        <v>894</v>
      </c>
      <c r="AD439" t="s">
        <v>894</v>
      </c>
      <c r="AE439" t="s">
        <v>1766</v>
      </c>
      <c r="AF439" t="s">
        <v>1767</v>
      </c>
      <c r="AG439" t="s">
        <v>1766</v>
      </c>
      <c r="AI439" t="s">
        <v>40</v>
      </c>
      <c r="AJ439" t="s">
        <v>1636</v>
      </c>
      <c r="AK439" t="s">
        <v>1637</v>
      </c>
      <c r="AL439" s="4">
        <v>10</v>
      </c>
      <c r="AM439" t="s">
        <v>185</v>
      </c>
      <c r="AN439">
        <v>10</v>
      </c>
      <c r="AO439" t="s">
        <v>1665</v>
      </c>
      <c r="AP439" t="s">
        <v>1639</v>
      </c>
      <c r="AQ439" t="s">
        <v>1640</v>
      </c>
      <c r="AR439" t="s">
        <v>1641</v>
      </c>
      <c r="AS439">
        <v>1</v>
      </c>
      <c r="AT439">
        <v>0</v>
      </c>
      <c r="AU439">
        <v>0</v>
      </c>
      <c r="AV439">
        <v>1</v>
      </c>
      <c r="AW439">
        <v>0</v>
      </c>
      <c r="AX439">
        <v>0</v>
      </c>
      <c r="AY439" t="s">
        <v>1642</v>
      </c>
    </row>
    <row r="440" spans="1:51">
      <c r="A440" t="s">
        <v>900</v>
      </c>
      <c r="B440" t="s">
        <v>901</v>
      </c>
      <c r="C440" t="s">
        <v>655</v>
      </c>
      <c r="D440" t="s">
        <v>902</v>
      </c>
      <c r="E440" t="s">
        <v>96</v>
      </c>
      <c r="F440">
        <v>30</v>
      </c>
      <c r="G440" t="s">
        <v>185</v>
      </c>
      <c r="H440" t="s">
        <v>903</v>
      </c>
      <c r="I440" t="s">
        <v>186</v>
      </c>
      <c r="J440" t="s">
        <v>904</v>
      </c>
      <c r="K440" t="s">
        <v>29</v>
      </c>
      <c r="L440" t="s">
        <v>53</v>
      </c>
      <c r="M440" t="s">
        <v>423</v>
      </c>
      <c r="N440" s="7">
        <v>0.16700000000000001</v>
      </c>
      <c r="O440" s="7">
        <v>8.9999999999999993E-3</v>
      </c>
      <c r="P440" s="7">
        <v>3</v>
      </c>
      <c r="Q440" s="7">
        <v>0.19800000000000001</v>
      </c>
      <c r="R440" s="7">
        <v>0.01</v>
      </c>
      <c r="S440" s="7">
        <v>3</v>
      </c>
      <c r="T440" s="7">
        <v>1.5588457268119894E-2</v>
      </c>
      <c r="U440" s="7">
        <v>1.7320508075688773E-2</v>
      </c>
      <c r="V440" s="7">
        <v>0.17027321827778014</v>
      </c>
      <c r="W440" s="7">
        <v>5.4551310254384224E-3</v>
      </c>
      <c r="X440" t="s">
        <v>905</v>
      </c>
      <c r="Y440" t="s">
        <v>89</v>
      </c>
      <c r="Z440" t="s">
        <v>515</v>
      </c>
      <c r="AA440" t="s">
        <v>906</v>
      </c>
      <c r="AB440" t="s">
        <v>92</v>
      </c>
      <c r="AC440" t="s">
        <v>900</v>
      </c>
      <c r="AD440" t="s">
        <v>900</v>
      </c>
      <c r="AE440" t="s">
        <v>1768</v>
      </c>
      <c r="AF440" t="s">
        <v>1769</v>
      </c>
      <c r="AG440" t="s">
        <v>1768</v>
      </c>
      <c r="AH440" t="s">
        <v>1515</v>
      </c>
      <c r="AI440" t="s">
        <v>53</v>
      </c>
      <c r="AJ440" t="s">
        <v>1636</v>
      </c>
      <c r="AK440" t="s">
        <v>1637</v>
      </c>
      <c r="AL440" s="4">
        <v>30</v>
      </c>
      <c r="AM440" t="s">
        <v>185</v>
      </c>
      <c r="AN440">
        <v>30</v>
      </c>
      <c r="AO440" t="s">
        <v>1665</v>
      </c>
      <c r="AP440" t="s">
        <v>1639</v>
      </c>
      <c r="AQ440" t="s">
        <v>1640</v>
      </c>
      <c r="AR440" t="s">
        <v>1641</v>
      </c>
      <c r="AS440">
        <v>1</v>
      </c>
      <c r="AT440">
        <v>0</v>
      </c>
      <c r="AU440">
        <v>0</v>
      </c>
      <c r="AV440">
        <v>1</v>
      </c>
      <c r="AW440">
        <v>0</v>
      </c>
      <c r="AX440">
        <v>0</v>
      </c>
      <c r="AY440" t="s">
        <v>1642</v>
      </c>
    </row>
    <row r="441" spans="1:51">
      <c r="A441" t="s">
        <v>900</v>
      </c>
      <c r="B441" t="s">
        <v>907</v>
      </c>
      <c r="C441" t="s">
        <v>655</v>
      </c>
      <c r="D441" t="s">
        <v>902</v>
      </c>
      <c r="E441" t="s">
        <v>96</v>
      </c>
      <c r="F441">
        <v>30</v>
      </c>
      <c r="G441" t="s">
        <v>185</v>
      </c>
      <c r="H441" t="s">
        <v>84</v>
      </c>
      <c r="I441" t="s">
        <v>186</v>
      </c>
      <c r="J441" t="s">
        <v>904</v>
      </c>
      <c r="K441" t="s">
        <v>29</v>
      </c>
      <c r="L441" t="s">
        <v>53</v>
      </c>
      <c r="M441" t="s">
        <v>423</v>
      </c>
      <c r="N441" s="7">
        <v>0.16700000000000001</v>
      </c>
      <c r="O441" s="7">
        <v>8.9999999999999993E-3</v>
      </c>
      <c r="P441" s="7">
        <v>3</v>
      </c>
      <c r="Q441" s="7">
        <v>0.217</v>
      </c>
      <c r="R441" s="7">
        <v>8.9999999999999993E-3</v>
      </c>
      <c r="S441" s="7">
        <v>3</v>
      </c>
      <c r="T441" s="7">
        <v>1.5588457268119894E-2</v>
      </c>
      <c r="U441" s="7">
        <v>1.5588457268119894E-2</v>
      </c>
      <c r="V441" s="7">
        <v>0.2619035411237044</v>
      </c>
      <c r="W441" s="7">
        <v>4.6245178546853363E-3</v>
      </c>
      <c r="X441" t="s">
        <v>905</v>
      </c>
      <c r="Y441" t="s">
        <v>89</v>
      </c>
      <c r="Z441" t="s">
        <v>515</v>
      </c>
      <c r="AA441" t="s">
        <v>906</v>
      </c>
      <c r="AB441" t="s">
        <v>92</v>
      </c>
      <c r="AC441" t="s">
        <v>900</v>
      </c>
      <c r="AD441" t="s">
        <v>900</v>
      </c>
      <c r="AE441" t="s">
        <v>1770</v>
      </c>
      <c r="AF441" t="s">
        <v>1771</v>
      </c>
      <c r="AG441" t="s">
        <v>1770</v>
      </c>
      <c r="AH441" t="s">
        <v>1517</v>
      </c>
      <c r="AI441" t="s">
        <v>53</v>
      </c>
      <c r="AJ441" t="s">
        <v>1636</v>
      </c>
      <c r="AK441" t="s">
        <v>1637</v>
      </c>
      <c r="AL441" s="4">
        <v>30</v>
      </c>
      <c r="AM441" t="s">
        <v>185</v>
      </c>
      <c r="AN441">
        <v>30</v>
      </c>
      <c r="AO441" t="s">
        <v>1665</v>
      </c>
      <c r="AP441" t="s">
        <v>1639</v>
      </c>
      <c r="AQ441" t="s">
        <v>1640</v>
      </c>
      <c r="AR441" t="s">
        <v>1641</v>
      </c>
      <c r="AS441">
        <v>1</v>
      </c>
      <c r="AT441">
        <v>0</v>
      </c>
      <c r="AU441">
        <v>0</v>
      </c>
      <c r="AV441">
        <v>1</v>
      </c>
      <c r="AW441">
        <v>0</v>
      </c>
      <c r="AX441">
        <v>0</v>
      </c>
      <c r="AY441" t="s">
        <v>1642</v>
      </c>
    </row>
    <row r="442" spans="1:51">
      <c r="A442" t="s">
        <v>900</v>
      </c>
      <c r="B442" t="s">
        <v>908</v>
      </c>
      <c r="C442" t="s">
        <v>655</v>
      </c>
      <c r="D442" t="s">
        <v>902</v>
      </c>
      <c r="E442" t="s">
        <v>96</v>
      </c>
      <c r="F442">
        <v>30</v>
      </c>
      <c r="G442" t="s">
        <v>185</v>
      </c>
      <c r="H442" t="s">
        <v>84</v>
      </c>
      <c r="I442" t="s">
        <v>186</v>
      </c>
      <c r="J442" t="s">
        <v>904</v>
      </c>
      <c r="K442" t="s">
        <v>29</v>
      </c>
      <c r="L442" t="s">
        <v>53</v>
      </c>
      <c r="M442" t="s">
        <v>423</v>
      </c>
      <c r="N442" s="7">
        <v>0.16700000000000001</v>
      </c>
      <c r="O442" s="7">
        <v>8.9999999999999993E-3</v>
      </c>
      <c r="P442" s="7">
        <v>3</v>
      </c>
      <c r="Q442" s="7">
        <v>0.20499999999999999</v>
      </c>
      <c r="R442" s="7">
        <v>8.9999999999999993E-3</v>
      </c>
      <c r="S442" s="7">
        <v>3</v>
      </c>
      <c r="T442" s="7">
        <v>1.5588457268119894E-2</v>
      </c>
      <c r="U442" s="7">
        <v>1.5588457268119894E-2</v>
      </c>
      <c r="V442" s="7">
        <v>0.2050161667216529</v>
      </c>
      <c r="W442" s="7">
        <v>4.8317950512110231E-3</v>
      </c>
      <c r="X442" t="s">
        <v>905</v>
      </c>
      <c r="Y442" t="s">
        <v>89</v>
      </c>
      <c r="Z442" t="s">
        <v>515</v>
      </c>
      <c r="AA442" t="s">
        <v>906</v>
      </c>
      <c r="AB442" t="s">
        <v>92</v>
      </c>
      <c r="AC442" t="s">
        <v>900</v>
      </c>
      <c r="AD442" t="s">
        <v>900</v>
      </c>
      <c r="AE442" t="s">
        <v>1772</v>
      </c>
      <c r="AF442" t="s">
        <v>1773</v>
      </c>
      <c r="AG442" t="s">
        <v>1772</v>
      </c>
      <c r="AH442" t="s">
        <v>1519</v>
      </c>
      <c r="AI442" t="s">
        <v>53</v>
      </c>
      <c r="AJ442" t="s">
        <v>1636</v>
      </c>
      <c r="AK442" t="s">
        <v>1637</v>
      </c>
      <c r="AL442" s="4">
        <v>30</v>
      </c>
      <c r="AM442" t="s">
        <v>185</v>
      </c>
      <c r="AN442">
        <v>30</v>
      </c>
      <c r="AO442" t="s">
        <v>1665</v>
      </c>
      <c r="AP442" t="s">
        <v>1639</v>
      </c>
      <c r="AQ442" t="s">
        <v>1640</v>
      </c>
      <c r="AR442" t="s">
        <v>1641</v>
      </c>
      <c r="AS442">
        <v>1</v>
      </c>
      <c r="AT442">
        <v>0</v>
      </c>
      <c r="AU442">
        <v>0</v>
      </c>
      <c r="AV442">
        <v>1</v>
      </c>
      <c r="AW442">
        <v>0</v>
      </c>
      <c r="AX442">
        <v>0</v>
      </c>
      <c r="AY442" t="s">
        <v>1642</v>
      </c>
    </row>
    <row r="443" spans="1:51">
      <c r="A443" t="s">
        <v>900</v>
      </c>
      <c r="B443" t="s">
        <v>909</v>
      </c>
      <c r="C443" t="s">
        <v>655</v>
      </c>
      <c r="D443" t="s">
        <v>902</v>
      </c>
      <c r="E443" t="s">
        <v>96</v>
      </c>
      <c r="F443">
        <v>30</v>
      </c>
      <c r="G443" t="s">
        <v>185</v>
      </c>
      <c r="H443" t="s">
        <v>84</v>
      </c>
      <c r="I443" t="s">
        <v>186</v>
      </c>
      <c r="J443" t="s">
        <v>904</v>
      </c>
      <c r="K443" t="s">
        <v>29</v>
      </c>
      <c r="L443" t="s">
        <v>53</v>
      </c>
      <c r="M443" t="s">
        <v>423</v>
      </c>
      <c r="N443" s="7">
        <v>0.16700000000000001</v>
      </c>
      <c r="O443" s="7">
        <v>8.9999999999999993E-3</v>
      </c>
      <c r="P443" s="7">
        <v>3</v>
      </c>
      <c r="Q443" s="7">
        <v>0.23200000000000001</v>
      </c>
      <c r="R443" s="7">
        <v>0.01</v>
      </c>
      <c r="S443" s="7">
        <v>3</v>
      </c>
      <c r="T443" s="7">
        <v>1.5588457268119894E-2</v>
      </c>
      <c r="U443" s="7">
        <v>1.7320508075688773E-2</v>
      </c>
      <c r="V443" s="7">
        <v>0.3287435592495549</v>
      </c>
      <c r="W443" s="7">
        <v>4.7622781521906368E-3</v>
      </c>
      <c r="X443" t="s">
        <v>905</v>
      </c>
      <c r="Y443" t="s">
        <v>89</v>
      </c>
      <c r="Z443" t="s">
        <v>515</v>
      </c>
      <c r="AA443" t="s">
        <v>906</v>
      </c>
      <c r="AB443" t="s">
        <v>92</v>
      </c>
      <c r="AC443" t="s">
        <v>900</v>
      </c>
      <c r="AD443" t="s">
        <v>900</v>
      </c>
      <c r="AE443" t="s">
        <v>1774</v>
      </c>
      <c r="AF443" t="s">
        <v>1775</v>
      </c>
      <c r="AG443" t="s">
        <v>1774</v>
      </c>
      <c r="AH443" t="s">
        <v>1521</v>
      </c>
      <c r="AI443" t="s">
        <v>53</v>
      </c>
      <c r="AJ443" t="s">
        <v>1636</v>
      </c>
      <c r="AK443" t="s">
        <v>1637</v>
      </c>
      <c r="AL443" s="4">
        <v>30</v>
      </c>
      <c r="AM443" t="s">
        <v>185</v>
      </c>
      <c r="AN443">
        <v>30</v>
      </c>
      <c r="AO443" t="s">
        <v>1665</v>
      </c>
      <c r="AP443" t="s">
        <v>1639</v>
      </c>
      <c r="AQ443" t="s">
        <v>1640</v>
      </c>
      <c r="AR443" t="s">
        <v>1641</v>
      </c>
      <c r="AS443">
        <v>1</v>
      </c>
      <c r="AT443">
        <v>0</v>
      </c>
      <c r="AU443">
        <v>0</v>
      </c>
      <c r="AV443">
        <v>1</v>
      </c>
      <c r="AW443">
        <v>0</v>
      </c>
      <c r="AX443">
        <v>0</v>
      </c>
      <c r="AY443" t="s">
        <v>1642</v>
      </c>
    </row>
    <row r="444" spans="1:51">
      <c r="A444" t="s">
        <v>900</v>
      </c>
      <c r="B444" t="s">
        <v>910</v>
      </c>
      <c r="C444" t="s">
        <v>655</v>
      </c>
      <c r="D444" t="s">
        <v>902</v>
      </c>
      <c r="E444" t="s">
        <v>96</v>
      </c>
      <c r="F444">
        <v>30</v>
      </c>
      <c r="G444" t="s">
        <v>185</v>
      </c>
      <c r="H444" t="s">
        <v>903</v>
      </c>
      <c r="I444" t="s">
        <v>186</v>
      </c>
      <c r="J444" t="s">
        <v>904</v>
      </c>
      <c r="K444" t="s">
        <v>41</v>
      </c>
      <c r="L444" t="s">
        <v>53</v>
      </c>
      <c r="M444" t="s">
        <v>423</v>
      </c>
      <c r="N444" s="7">
        <v>0.18</v>
      </c>
      <c r="O444" s="7">
        <v>0.01</v>
      </c>
      <c r="P444" s="7">
        <v>3</v>
      </c>
      <c r="Q444" s="7">
        <v>0.22</v>
      </c>
      <c r="R444" s="7">
        <v>8.0000000000000002E-3</v>
      </c>
      <c r="S444" s="7">
        <v>3</v>
      </c>
      <c r="T444" s="7">
        <v>1.7320508075688773E-2</v>
      </c>
      <c r="U444" s="7">
        <v>1.3856406460551017E-2</v>
      </c>
      <c r="V444" s="7">
        <v>0.20067069546215124</v>
      </c>
      <c r="W444" s="7">
        <v>4.4087338026731968E-3</v>
      </c>
      <c r="X444" t="s">
        <v>905</v>
      </c>
      <c r="Y444" t="s">
        <v>89</v>
      </c>
      <c r="Z444" t="s">
        <v>515</v>
      </c>
      <c r="AA444" t="s">
        <v>911</v>
      </c>
      <c r="AB444" t="s">
        <v>92</v>
      </c>
      <c r="AC444" t="s">
        <v>900</v>
      </c>
      <c r="AD444" t="s">
        <v>900</v>
      </c>
      <c r="AE444" t="s">
        <v>1768</v>
      </c>
      <c r="AF444" t="s">
        <v>1769</v>
      </c>
      <c r="AG444" t="s">
        <v>1768</v>
      </c>
      <c r="AH444" t="s">
        <v>1515</v>
      </c>
      <c r="AI444" t="s">
        <v>53</v>
      </c>
      <c r="AJ444" t="s">
        <v>1636</v>
      </c>
      <c r="AK444" t="s">
        <v>1637</v>
      </c>
      <c r="AL444" s="4">
        <v>30</v>
      </c>
      <c r="AM444" t="s">
        <v>185</v>
      </c>
      <c r="AN444">
        <v>30</v>
      </c>
      <c r="AO444" t="s">
        <v>1665</v>
      </c>
      <c r="AP444" t="s">
        <v>1639</v>
      </c>
      <c r="AQ444" t="s">
        <v>1640</v>
      </c>
      <c r="AR444" t="s">
        <v>1641</v>
      </c>
      <c r="AS444">
        <v>1</v>
      </c>
      <c r="AT444">
        <v>0</v>
      </c>
      <c r="AU444">
        <v>0</v>
      </c>
      <c r="AV444">
        <v>1</v>
      </c>
      <c r="AW444">
        <v>0</v>
      </c>
      <c r="AX444">
        <v>0</v>
      </c>
      <c r="AY444" t="s">
        <v>1642</v>
      </c>
    </row>
    <row r="445" spans="1:51">
      <c r="A445" t="s">
        <v>900</v>
      </c>
      <c r="B445" t="s">
        <v>912</v>
      </c>
      <c r="C445" t="s">
        <v>655</v>
      </c>
      <c r="D445" t="s">
        <v>902</v>
      </c>
      <c r="E445" t="s">
        <v>96</v>
      </c>
      <c r="F445">
        <v>30</v>
      </c>
      <c r="G445" t="s">
        <v>185</v>
      </c>
      <c r="H445" t="s">
        <v>84</v>
      </c>
      <c r="I445" t="s">
        <v>186</v>
      </c>
      <c r="J445" t="s">
        <v>904</v>
      </c>
      <c r="K445" t="s">
        <v>41</v>
      </c>
      <c r="L445" t="s">
        <v>53</v>
      </c>
      <c r="M445" t="s">
        <v>423</v>
      </c>
      <c r="N445" s="7">
        <v>0.18</v>
      </c>
      <c r="O445" s="7">
        <v>0.01</v>
      </c>
      <c r="P445" s="7">
        <v>3</v>
      </c>
      <c r="Q445" s="7">
        <v>0.23499999999999999</v>
      </c>
      <c r="R445" s="7">
        <v>8.0000000000000002E-3</v>
      </c>
      <c r="S445" s="7">
        <v>3</v>
      </c>
      <c r="T445" s="7">
        <v>1.7320508075688773E-2</v>
      </c>
      <c r="U445" s="7">
        <v>1.3856406460551017E-2</v>
      </c>
      <c r="V445" s="7">
        <v>0.26662866325394863</v>
      </c>
      <c r="W445" s="7">
        <v>4.2453151808818021E-3</v>
      </c>
      <c r="X445" t="s">
        <v>905</v>
      </c>
      <c r="Y445" t="s">
        <v>89</v>
      </c>
      <c r="Z445" t="s">
        <v>515</v>
      </c>
      <c r="AA445" t="s">
        <v>911</v>
      </c>
      <c r="AB445" t="s">
        <v>92</v>
      </c>
      <c r="AC445" t="s">
        <v>900</v>
      </c>
      <c r="AD445" t="s">
        <v>900</v>
      </c>
      <c r="AE445" t="s">
        <v>1770</v>
      </c>
      <c r="AF445" t="s">
        <v>1771</v>
      </c>
      <c r="AG445" t="s">
        <v>1770</v>
      </c>
      <c r="AH445" t="s">
        <v>1517</v>
      </c>
      <c r="AI445" t="s">
        <v>53</v>
      </c>
      <c r="AJ445" t="s">
        <v>1636</v>
      </c>
      <c r="AK445" t="s">
        <v>1637</v>
      </c>
      <c r="AL445" s="4">
        <v>30</v>
      </c>
      <c r="AM445" t="s">
        <v>185</v>
      </c>
      <c r="AN445">
        <v>30</v>
      </c>
      <c r="AO445" t="s">
        <v>1665</v>
      </c>
      <c r="AP445" t="s">
        <v>1639</v>
      </c>
      <c r="AQ445" t="s">
        <v>1640</v>
      </c>
      <c r="AR445" t="s">
        <v>1641</v>
      </c>
      <c r="AS445">
        <v>1</v>
      </c>
      <c r="AT445">
        <v>0</v>
      </c>
      <c r="AU445">
        <v>0</v>
      </c>
      <c r="AV445">
        <v>1</v>
      </c>
      <c r="AW445">
        <v>0</v>
      </c>
      <c r="AX445">
        <v>0</v>
      </c>
      <c r="AY445" t="s">
        <v>1642</v>
      </c>
    </row>
    <row r="446" spans="1:51">
      <c r="A446" t="s">
        <v>900</v>
      </c>
      <c r="B446" t="s">
        <v>913</v>
      </c>
      <c r="C446" t="s">
        <v>655</v>
      </c>
      <c r="D446" t="s">
        <v>902</v>
      </c>
      <c r="E446" t="s">
        <v>96</v>
      </c>
      <c r="F446">
        <v>30</v>
      </c>
      <c r="G446" t="s">
        <v>185</v>
      </c>
      <c r="H446" t="s">
        <v>84</v>
      </c>
      <c r="I446" t="s">
        <v>186</v>
      </c>
      <c r="J446" t="s">
        <v>904</v>
      </c>
      <c r="K446" t="s">
        <v>41</v>
      </c>
      <c r="L446" t="s">
        <v>53</v>
      </c>
      <c r="M446" t="s">
        <v>423</v>
      </c>
      <c r="N446" s="7">
        <v>0.18</v>
      </c>
      <c r="O446" s="7">
        <v>0.01</v>
      </c>
      <c r="P446" s="7">
        <v>3</v>
      </c>
      <c r="Q446" s="7">
        <v>0.25</v>
      </c>
      <c r="R446" s="7">
        <v>8.9999999999999993E-3</v>
      </c>
      <c r="S446" s="7">
        <v>3</v>
      </c>
      <c r="T446" s="7">
        <v>1.7320508075688773E-2</v>
      </c>
      <c r="U446" s="7">
        <v>1.5588457268119894E-2</v>
      </c>
      <c r="V446" s="7">
        <v>0.32850406697203605</v>
      </c>
      <c r="W446" s="7">
        <v>4.3824197530864199E-3</v>
      </c>
      <c r="X446" t="s">
        <v>905</v>
      </c>
      <c r="Y446" t="s">
        <v>89</v>
      </c>
      <c r="Z446" t="s">
        <v>515</v>
      </c>
      <c r="AA446" t="s">
        <v>911</v>
      </c>
      <c r="AB446" t="s">
        <v>92</v>
      </c>
      <c r="AC446" t="s">
        <v>900</v>
      </c>
      <c r="AD446" t="s">
        <v>900</v>
      </c>
      <c r="AE446" t="s">
        <v>1772</v>
      </c>
      <c r="AF446" t="s">
        <v>1773</v>
      </c>
      <c r="AG446" t="s">
        <v>1772</v>
      </c>
      <c r="AH446" t="s">
        <v>1519</v>
      </c>
      <c r="AI446" t="s">
        <v>53</v>
      </c>
      <c r="AJ446" t="s">
        <v>1636</v>
      </c>
      <c r="AK446" t="s">
        <v>1637</v>
      </c>
      <c r="AL446" s="4">
        <v>30</v>
      </c>
      <c r="AM446" t="s">
        <v>185</v>
      </c>
      <c r="AN446">
        <v>30</v>
      </c>
      <c r="AO446" t="s">
        <v>1665</v>
      </c>
      <c r="AP446" t="s">
        <v>1639</v>
      </c>
      <c r="AQ446" t="s">
        <v>1640</v>
      </c>
      <c r="AR446" t="s">
        <v>1641</v>
      </c>
      <c r="AS446">
        <v>1</v>
      </c>
      <c r="AT446">
        <v>0</v>
      </c>
      <c r="AU446">
        <v>0</v>
      </c>
      <c r="AV446">
        <v>1</v>
      </c>
      <c r="AW446">
        <v>0</v>
      </c>
      <c r="AX446">
        <v>0</v>
      </c>
      <c r="AY446" t="s">
        <v>1642</v>
      </c>
    </row>
    <row r="447" spans="1:51">
      <c r="A447" t="s">
        <v>900</v>
      </c>
      <c r="B447" t="s">
        <v>914</v>
      </c>
      <c r="C447" t="s">
        <v>655</v>
      </c>
      <c r="D447" t="s">
        <v>902</v>
      </c>
      <c r="E447" t="s">
        <v>96</v>
      </c>
      <c r="F447">
        <v>30</v>
      </c>
      <c r="G447" t="s">
        <v>185</v>
      </c>
      <c r="H447" t="s">
        <v>84</v>
      </c>
      <c r="I447" t="s">
        <v>186</v>
      </c>
      <c r="J447" t="s">
        <v>904</v>
      </c>
      <c r="K447" t="s">
        <v>41</v>
      </c>
      <c r="L447" t="s">
        <v>53</v>
      </c>
      <c r="M447" t="s">
        <v>423</v>
      </c>
      <c r="N447" s="7">
        <v>0.18</v>
      </c>
      <c r="O447" s="7">
        <v>0.01</v>
      </c>
      <c r="P447" s="7">
        <v>3</v>
      </c>
      <c r="Q447" s="7">
        <v>0.28999999999999998</v>
      </c>
      <c r="R447" s="7">
        <v>1.2E-2</v>
      </c>
      <c r="S447" s="7">
        <v>3</v>
      </c>
      <c r="T447" s="7">
        <v>1.7320508075688773E-2</v>
      </c>
      <c r="U447" s="7">
        <v>2.0784609690826527E-2</v>
      </c>
      <c r="V447" s="7">
        <v>0.47692407209030935</v>
      </c>
      <c r="W447" s="7">
        <v>4.7986670776999753E-3</v>
      </c>
      <c r="X447" t="s">
        <v>905</v>
      </c>
      <c r="Y447" t="s">
        <v>89</v>
      </c>
      <c r="Z447" t="s">
        <v>515</v>
      </c>
      <c r="AA447" t="s">
        <v>911</v>
      </c>
      <c r="AB447" t="s">
        <v>92</v>
      </c>
      <c r="AC447" t="s">
        <v>900</v>
      </c>
      <c r="AD447" t="s">
        <v>900</v>
      </c>
      <c r="AE447" t="s">
        <v>1774</v>
      </c>
      <c r="AF447" t="s">
        <v>1775</v>
      </c>
      <c r="AG447" t="s">
        <v>1774</v>
      </c>
      <c r="AH447" t="s">
        <v>1521</v>
      </c>
      <c r="AI447" t="s">
        <v>53</v>
      </c>
      <c r="AJ447" t="s">
        <v>1636</v>
      </c>
      <c r="AK447" t="s">
        <v>1637</v>
      </c>
      <c r="AL447" s="4">
        <v>30</v>
      </c>
      <c r="AM447" t="s">
        <v>185</v>
      </c>
      <c r="AN447">
        <v>30</v>
      </c>
      <c r="AO447" t="s">
        <v>1665</v>
      </c>
      <c r="AP447" t="s">
        <v>1639</v>
      </c>
      <c r="AQ447" t="s">
        <v>1640</v>
      </c>
      <c r="AR447" t="s">
        <v>1641</v>
      </c>
      <c r="AS447">
        <v>1</v>
      </c>
      <c r="AT447">
        <v>0</v>
      </c>
      <c r="AU447">
        <v>0</v>
      </c>
      <c r="AV447">
        <v>1</v>
      </c>
      <c r="AW447">
        <v>0</v>
      </c>
      <c r="AX447">
        <v>0</v>
      </c>
      <c r="AY447" t="s">
        <v>1642</v>
      </c>
    </row>
    <row r="448" spans="1:51">
      <c r="A448" t="s">
        <v>900</v>
      </c>
      <c r="B448" t="s">
        <v>915</v>
      </c>
      <c r="C448" t="s">
        <v>655</v>
      </c>
      <c r="D448" t="s">
        <v>902</v>
      </c>
      <c r="E448" t="s">
        <v>96</v>
      </c>
      <c r="F448">
        <v>30</v>
      </c>
      <c r="G448" t="s">
        <v>185</v>
      </c>
      <c r="H448" t="s">
        <v>903</v>
      </c>
      <c r="I448" t="s">
        <v>186</v>
      </c>
      <c r="J448" t="s">
        <v>904</v>
      </c>
      <c r="K448" t="s">
        <v>41</v>
      </c>
      <c r="L448" t="s">
        <v>42</v>
      </c>
      <c r="M448" t="s">
        <v>423</v>
      </c>
      <c r="N448" s="7">
        <v>1.08</v>
      </c>
      <c r="O448" s="7">
        <v>2.5000000000000001E-2</v>
      </c>
      <c r="P448" s="7">
        <v>3</v>
      </c>
      <c r="Q448" s="7">
        <v>1.31</v>
      </c>
      <c r="R448" s="7">
        <v>2.5000000000000001E-2</v>
      </c>
      <c r="S448" s="7">
        <v>3</v>
      </c>
      <c r="T448" s="7">
        <v>4.3301270189221933E-2</v>
      </c>
      <c r="U448" s="7">
        <v>4.3301270189221933E-2</v>
      </c>
      <c r="V448" s="7">
        <v>0.1930660960769319</v>
      </c>
      <c r="W448" s="7">
        <v>9.000346532544324E-4</v>
      </c>
      <c r="X448" t="s">
        <v>905</v>
      </c>
      <c r="Y448" t="s">
        <v>89</v>
      </c>
      <c r="Z448" t="s">
        <v>515</v>
      </c>
      <c r="AA448" t="s">
        <v>916</v>
      </c>
      <c r="AB448" t="s">
        <v>92</v>
      </c>
      <c r="AC448" t="s">
        <v>900</v>
      </c>
      <c r="AD448" t="s">
        <v>900</v>
      </c>
      <c r="AE448" t="s">
        <v>1768</v>
      </c>
      <c r="AF448" t="s">
        <v>1769</v>
      </c>
      <c r="AG448" t="s">
        <v>1768</v>
      </c>
      <c r="AH448" t="s">
        <v>1515</v>
      </c>
      <c r="AI448" t="s">
        <v>42</v>
      </c>
      <c r="AJ448" t="s">
        <v>1636</v>
      </c>
      <c r="AK448" t="s">
        <v>1637</v>
      </c>
      <c r="AL448" s="4">
        <v>30</v>
      </c>
      <c r="AM448" t="s">
        <v>185</v>
      </c>
      <c r="AN448">
        <v>30</v>
      </c>
      <c r="AO448" t="s">
        <v>1665</v>
      </c>
      <c r="AP448" t="s">
        <v>1639</v>
      </c>
      <c r="AQ448" t="s">
        <v>1640</v>
      </c>
      <c r="AR448" t="s">
        <v>1641</v>
      </c>
      <c r="AS448">
        <v>1</v>
      </c>
      <c r="AT448">
        <v>0</v>
      </c>
      <c r="AU448">
        <v>0</v>
      </c>
      <c r="AV448">
        <v>1</v>
      </c>
      <c r="AW448">
        <v>0</v>
      </c>
      <c r="AX448">
        <v>0</v>
      </c>
      <c r="AY448" t="s">
        <v>1642</v>
      </c>
    </row>
    <row r="449" spans="1:51">
      <c r="A449" t="s">
        <v>900</v>
      </c>
      <c r="B449" t="s">
        <v>917</v>
      </c>
      <c r="C449" t="s">
        <v>655</v>
      </c>
      <c r="D449" t="s">
        <v>902</v>
      </c>
      <c r="E449" t="s">
        <v>96</v>
      </c>
      <c r="F449">
        <v>30</v>
      </c>
      <c r="G449" t="s">
        <v>185</v>
      </c>
      <c r="H449" t="s">
        <v>84</v>
      </c>
      <c r="I449" t="s">
        <v>186</v>
      </c>
      <c r="J449" t="s">
        <v>904</v>
      </c>
      <c r="K449" t="s">
        <v>41</v>
      </c>
      <c r="L449" t="s">
        <v>42</v>
      </c>
      <c r="M449" t="s">
        <v>423</v>
      </c>
      <c r="N449" s="7">
        <v>1.08</v>
      </c>
      <c r="O449" s="7">
        <v>2.5000000000000001E-2</v>
      </c>
      <c r="P449" s="7">
        <v>3</v>
      </c>
      <c r="Q449" s="7">
        <v>1.3149999999999999</v>
      </c>
      <c r="R449" s="7">
        <v>2.1999999999999999E-2</v>
      </c>
      <c r="S449" s="7">
        <v>3</v>
      </c>
      <c r="T449" s="7">
        <v>4.3301270189221933E-2</v>
      </c>
      <c r="U449" s="7">
        <v>3.8105117766515297E-2</v>
      </c>
      <c r="V449" s="7">
        <v>0.19687562449359952</v>
      </c>
      <c r="W449" s="7">
        <v>8.1573093493340627E-4</v>
      </c>
      <c r="X449" t="s">
        <v>905</v>
      </c>
      <c r="Y449" t="s">
        <v>89</v>
      </c>
      <c r="Z449" t="s">
        <v>515</v>
      </c>
      <c r="AA449" t="s">
        <v>916</v>
      </c>
      <c r="AB449" t="s">
        <v>92</v>
      </c>
      <c r="AC449" t="s">
        <v>900</v>
      </c>
      <c r="AD449" t="s">
        <v>900</v>
      </c>
      <c r="AE449" t="s">
        <v>1770</v>
      </c>
      <c r="AF449" t="s">
        <v>1771</v>
      </c>
      <c r="AG449" t="s">
        <v>1770</v>
      </c>
      <c r="AH449" t="s">
        <v>1517</v>
      </c>
      <c r="AI449" t="s">
        <v>42</v>
      </c>
      <c r="AJ449" t="s">
        <v>1636</v>
      </c>
      <c r="AK449" t="s">
        <v>1637</v>
      </c>
      <c r="AL449" s="4">
        <v>30</v>
      </c>
      <c r="AM449" t="s">
        <v>185</v>
      </c>
      <c r="AN449">
        <v>30</v>
      </c>
      <c r="AO449" t="s">
        <v>1665</v>
      </c>
      <c r="AP449" t="s">
        <v>1639</v>
      </c>
      <c r="AQ449" t="s">
        <v>1640</v>
      </c>
      <c r="AR449" t="s">
        <v>1641</v>
      </c>
      <c r="AS449">
        <v>1</v>
      </c>
      <c r="AT449">
        <v>0</v>
      </c>
      <c r="AU449">
        <v>0</v>
      </c>
      <c r="AV449">
        <v>1</v>
      </c>
      <c r="AW449">
        <v>0</v>
      </c>
      <c r="AX449">
        <v>0</v>
      </c>
      <c r="AY449" t="s">
        <v>1642</v>
      </c>
    </row>
    <row r="450" spans="1:51">
      <c r="A450" t="s">
        <v>900</v>
      </c>
      <c r="B450" t="s">
        <v>918</v>
      </c>
      <c r="C450" t="s">
        <v>655</v>
      </c>
      <c r="D450" t="s">
        <v>902</v>
      </c>
      <c r="E450" t="s">
        <v>96</v>
      </c>
      <c r="F450">
        <v>30</v>
      </c>
      <c r="G450" t="s">
        <v>185</v>
      </c>
      <c r="H450" t="s">
        <v>84</v>
      </c>
      <c r="I450" t="s">
        <v>186</v>
      </c>
      <c r="J450" t="s">
        <v>904</v>
      </c>
      <c r="K450" t="s">
        <v>41</v>
      </c>
      <c r="L450" t="s">
        <v>42</v>
      </c>
      <c r="M450" t="s">
        <v>423</v>
      </c>
      <c r="N450" s="7">
        <v>1.08</v>
      </c>
      <c r="O450" s="7">
        <v>2.5000000000000001E-2</v>
      </c>
      <c r="P450" s="7">
        <v>3</v>
      </c>
      <c r="Q450" s="7">
        <v>1.36</v>
      </c>
      <c r="R450" s="7">
        <v>2.4E-2</v>
      </c>
      <c r="S450" s="7">
        <v>3</v>
      </c>
      <c r="T450" s="7">
        <v>4.3301270189221933E-2</v>
      </c>
      <c r="U450" s="7">
        <v>4.1569219381653054E-2</v>
      </c>
      <c r="V450" s="7">
        <v>0.23052365861183235</v>
      </c>
      <c r="W450" s="7">
        <v>8.472554478097217E-4</v>
      </c>
      <c r="X450" t="s">
        <v>905</v>
      </c>
      <c r="Y450" t="s">
        <v>89</v>
      </c>
      <c r="Z450" t="s">
        <v>515</v>
      </c>
      <c r="AA450" t="s">
        <v>916</v>
      </c>
      <c r="AB450" t="s">
        <v>92</v>
      </c>
      <c r="AC450" t="s">
        <v>900</v>
      </c>
      <c r="AD450" t="s">
        <v>900</v>
      </c>
      <c r="AE450" t="s">
        <v>1772</v>
      </c>
      <c r="AF450" t="s">
        <v>1773</v>
      </c>
      <c r="AG450" t="s">
        <v>1772</v>
      </c>
      <c r="AH450" t="s">
        <v>1519</v>
      </c>
      <c r="AI450" t="s">
        <v>42</v>
      </c>
      <c r="AJ450" t="s">
        <v>1636</v>
      </c>
      <c r="AK450" t="s">
        <v>1637</v>
      </c>
      <c r="AL450" s="4">
        <v>30</v>
      </c>
      <c r="AM450" t="s">
        <v>185</v>
      </c>
      <c r="AN450">
        <v>30</v>
      </c>
      <c r="AO450" t="s">
        <v>1665</v>
      </c>
      <c r="AP450" t="s">
        <v>1639</v>
      </c>
      <c r="AQ450" t="s">
        <v>1640</v>
      </c>
      <c r="AR450" t="s">
        <v>1641</v>
      </c>
      <c r="AS450">
        <v>1</v>
      </c>
      <c r="AT450">
        <v>0</v>
      </c>
      <c r="AU450">
        <v>0</v>
      </c>
      <c r="AV450">
        <v>1</v>
      </c>
      <c r="AW450">
        <v>0</v>
      </c>
      <c r="AX450">
        <v>0</v>
      </c>
      <c r="AY450" t="s">
        <v>1642</v>
      </c>
    </row>
    <row r="451" spans="1:51">
      <c r="A451" t="s">
        <v>900</v>
      </c>
      <c r="B451" t="s">
        <v>919</v>
      </c>
      <c r="C451" t="s">
        <v>655</v>
      </c>
      <c r="D451" t="s">
        <v>902</v>
      </c>
      <c r="E451" t="s">
        <v>96</v>
      </c>
      <c r="F451">
        <v>30</v>
      </c>
      <c r="G451" t="s">
        <v>185</v>
      </c>
      <c r="H451" t="s">
        <v>84</v>
      </c>
      <c r="I451" t="s">
        <v>186</v>
      </c>
      <c r="J451" t="s">
        <v>904</v>
      </c>
      <c r="K451" t="s">
        <v>41</v>
      </c>
      <c r="L451" t="s">
        <v>42</v>
      </c>
      <c r="M451" t="s">
        <v>423</v>
      </c>
      <c r="N451" s="7">
        <v>1.08</v>
      </c>
      <c r="O451" s="7">
        <v>2.5000000000000001E-2</v>
      </c>
      <c r="P451" s="7">
        <v>3</v>
      </c>
      <c r="Q451" s="7">
        <v>1.42</v>
      </c>
      <c r="R451" s="7">
        <v>2.5999999999999999E-2</v>
      </c>
      <c r="S451" s="7">
        <v>3</v>
      </c>
      <c r="T451" s="7">
        <v>4.3301270189221933E-2</v>
      </c>
      <c r="U451" s="7">
        <v>4.5033320996790804E-2</v>
      </c>
      <c r="V451" s="7">
        <v>0.27369583047704094</v>
      </c>
      <c r="W451" s="7">
        <v>8.710877049619729E-4</v>
      </c>
      <c r="X451" t="s">
        <v>905</v>
      </c>
      <c r="Y451" t="s">
        <v>89</v>
      </c>
      <c r="Z451" t="s">
        <v>515</v>
      </c>
      <c r="AA451" t="s">
        <v>916</v>
      </c>
      <c r="AB451" t="s">
        <v>92</v>
      </c>
      <c r="AC451" t="s">
        <v>900</v>
      </c>
      <c r="AD451" t="s">
        <v>900</v>
      </c>
      <c r="AE451" t="s">
        <v>1774</v>
      </c>
      <c r="AF451" t="s">
        <v>1775</v>
      </c>
      <c r="AG451" t="s">
        <v>1774</v>
      </c>
      <c r="AH451" t="s">
        <v>1521</v>
      </c>
      <c r="AI451" t="s">
        <v>42</v>
      </c>
      <c r="AJ451" t="s">
        <v>1636</v>
      </c>
      <c r="AK451" t="s">
        <v>1637</v>
      </c>
      <c r="AL451" s="4">
        <v>30</v>
      </c>
      <c r="AM451" t="s">
        <v>185</v>
      </c>
      <c r="AN451">
        <v>30</v>
      </c>
      <c r="AO451" t="s">
        <v>1665</v>
      </c>
      <c r="AP451" t="s">
        <v>1639</v>
      </c>
      <c r="AQ451" t="s">
        <v>1640</v>
      </c>
      <c r="AR451" t="s">
        <v>1641</v>
      </c>
      <c r="AS451">
        <v>1</v>
      </c>
      <c r="AT451">
        <v>0</v>
      </c>
      <c r="AU451">
        <v>0</v>
      </c>
      <c r="AV451">
        <v>1</v>
      </c>
      <c r="AW451">
        <v>0</v>
      </c>
      <c r="AX451">
        <v>0</v>
      </c>
      <c r="AY451" t="s">
        <v>1642</v>
      </c>
    </row>
    <row r="452" spans="1:51">
      <c r="A452" t="s">
        <v>900</v>
      </c>
      <c r="B452" t="s">
        <v>920</v>
      </c>
      <c r="C452" t="s">
        <v>655</v>
      </c>
      <c r="D452" t="s">
        <v>902</v>
      </c>
      <c r="E452" t="s">
        <v>96</v>
      </c>
      <c r="F452">
        <v>30</v>
      </c>
      <c r="G452" t="s">
        <v>185</v>
      </c>
      <c r="H452" t="s">
        <v>903</v>
      </c>
      <c r="I452" t="s">
        <v>186</v>
      </c>
      <c r="J452" t="s">
        <v>904</v>
      </c>
      <c r="K452" t="s">
        <v>29</v>
      </c>
      <c r="L452" t="s">
        <v>42</v>
      </c>
      <c r="M452" t="s">
        <v>423</v>
      </c>
      <c r="N452" s="7">
        <v>1.02</v>
      </c>
      <c r="O452" s="7">
        <v>4.4999999999999998E-2</v>
      </c>
      <c r="P452" s="7">
        <v>3</v>
      </c>
      <c r="Q452" s="7">
        <v>1.23</v>
      </c>
      <c r="R452" s="7">
        <v>0.04</v>
      </c>
      <c r="S452" s="7">
        <v>3</v>
      </c>
      <c r="T452" s="7">
        <v>7.7942286340599465E-2</v>
      </c>
      <c r="U452" s="7">
        <v>6.9282032302755092E-2</v>
      </c>
      <c r="V452" s="7">
        <v>0.18721154208814636</v>
      </c>
      <c r="W452" s="7">
        <v>3.0039383333321894E-3</v>
      </c>
      <c r="X452" t="s">
        <v>905</v>
      </c>
      <c r="Y452" t="s">
        <v>89</v>
      </c>
      <c r="Z452" t="s">
        <v>515</v>
      </c>
      <c r="AA452" t="s">
        <v>921</v>
      </c>
      <c r="AB452" t="s">
        <v>92</v>
      </c>
      <c r="AC452" t="s">
        <v>900</v>
      </c>
      <c r="AD452" t="s">
        <v>900</v>
      </c>
      <c r="AE452" t="s">
        <v>1768</v>
      </c>
      <c r="AF452" t="s">
        <v>1769</v>
      </c>
      <c r="AG452" t="s">
        <v>1768</v>
      </c>
      <c r="AH452" t="s">
        <v>1515</v>
      </c>
      <c r="AI452" t="s">
        <v>42</v>
      </c>
      <c r="AJ452" t="s">
        <v>1636</v>
      </c>
      <c r="AK452" t="s">
        <v>1637</v>
      </c>
      <c r="AL452" s="4">
        <v>30</v>
      </c>
      <c r="AM452" t="s">
        <v>185</v>
      </c>
      <c r="AN452">
        <v>30</v>
      </c>
      <c r="AO452" t="s">
        <v>1665</v>
      </c>
      <c r="AP452" t="s">
        <v>1639</v>
      </c>
      <c r="AQ452" t="s">
        <v>1640</v>
      </c>
      <c r="AR452" t="s">
        <v>1641</v>
      </c>
      <c r="AS452">
        <v>1</v>
      </c>
      <c r="AT452">
        <v>0</v>
      </c>
      <c r="AU452">
        <v>0</v>
      </c>
      <c r="AV452">
        <v>1</v>
      </c>
      <c r="AW452">
        <v>0</v>
      </c>
      <c r="AX452">
        <v>0</v>
      </c>
      <c r="AY452" t="s">
        <v>1642</v>
      </c>
    </row>
    <row r="453" spans="1:51">
      <c r="A453" t="s">
        <v>900</v>
      </c>
      <c r="B453" t="s">
        <v>922</v>
      </c>
      <c r="C453" t="s">
        <v>655</v>
      </c>
      <c r="D453" t="s">
        <v>902</v>
      </c>
      <c r="E453" t="s">
        <v>96</v>
      </c>
      <c r="F453">
        <v>30</v>
      </c>
      <c r="G453" t="s">
        <v>185</v>
      </c>
      <c r="H453" t="s">
        <v>84</v>
      </c>
      <c r="I453" t="s">
        <v>186</v>
      </c>
      <c r="J453" t="s">
        <v>904</v>
      </c>
      <c r="K453" t="s">
        <v>29</v>
      </c>
      <c r="L453" t="s">
        <v>42</v>
      </c>
      <c r="M453" t="s">
        <v>423</v>
      </c>
      <c r="N453" s="7">
        <v>1.02</v>
      </c>
      <c r="O453" s="7">
        <v>4.4999999999999998E-2</v>
      </c>
      <c r="P453" s="7">
        <v>3</v>
      </c>
      <c r="Q453" s="7">
        <v>1.1599999999999999</v>
      </c>
      <c r="R453" s="7">
        <v>3.7999999999999999E-2</v>
      </c>
      <c r="S453" s="7">
        <v>3</v>
      </c>
      <c r="T453" s="7">
        <v>7.7942286340599465E-2</v>
      </c>
      <c r="U453" s="7">
        <v>6.5817930687617335E-2</v>
      </c>
      <c r="V453" s="7">
        <v>0.12861737782209354</v>
      </c>
      <c r="W453" s="7">
        <v>3.0194940114956241E-3</v>
      </c>
      <c r="X453" t="s">
        <v>905</v>
      </c>
      <c r="Y453" t="s">
        <v>89</v>
      </c>
      <c r="Z453" t="s">
        <v>515</v>
      </c>
      <c r="AA453" t="s">
        <v>921</v>
      </c>
      <c r="AB453" t="s">
        <v>92</v>
      </c>
      <c r="AC453" t="s">
        <v>900</v>
      </c>
      <c r="AD453" t="s">
        <v>900</v>
      </c>
      <c r="AE453" t="s">
        <v>1770</v>
      </c>
      <c r="AF453" t="s">
        <v>1771</v>
      </c>
      <c r="AG453" t="s">
        <v>1770</v>
      </c>
      <c r="AH453" t="s">
        <v>1517</v>
      </c>
      <c r="AI453" t="s">
        <v>42</v>
      </c>
      <c r="AJ453" t="s">
        <v>1636</v>
      </c>
      <c r="AK453" t="s">
        <v>1637</v>
      </c>
      <c r="AL453" s="4">
        <v>30</v>
      </c>
      <c r="AM453" t="s">
        <v>185</v>
      </c>
      <c r="AN453">
        <v>30</v>
      </c>
      <c r="AO453" t="s">
        <v>1665</v>
      </c>
      <c r="AP453" t="s">
        <v>1639</v>
      </c>
      <c r="AQ453" t="s">
        <v>1640</v>
      </c>
      <c r="AR453" t="s">
        <v>1641</v>
      </c>
      <c r="AS453">
        <v>1</v>
      </c>
      <c r="AT453">
        <v>0</v>
      </c>
      <c r="AU453">
        <v>0</v>
      </c>
      <c r="AV453">
        <v>1</v>
      </c>
      <c r="AW453">
        <v>0</v>
      </c>
      <c r="AX453">
        <v>0</v>
      </c>
      <c r="AY453" t="s">
        <v>1642</v>
      </c>
    </row>
    <row r="454" spans="1:51">
      <c r="A454" t="s">
        <v>900</v>
      </c>
      <c r="B454" t="s">
        <v>923</v>
      </c>
      <c r="C454" t="s">
        <v>655</v>
      </c>
      <c r="D454" t="s">
        <v>902</v>
      </c>
      <c r="E454" t="s">
        <v>96</v>
      </c>
      <c r="F454">
        <v>30</v>
      </c>
      <c r="G454" t="s">
        <v>185</v>
      </c>
      <c r="H454" t="s">
        <v>84</v>
      </c>
      <c r="I454" t="s">
        <v>186</v>
      </c>
      <c r="J454" t="s">
        <v>904</v>
      </c>
      <c r="K454" t="s">
        <v>29</v>
      </c>
      <c r="L454" t="s">
        <v>42</v>
      </c>
      <c r="M454" t="s">
        <v>423</v>
      </c>
      <c r="N454" s="7">
        <v>1.02</v>
      </c>
      <c r="O454" s="7">
        <v>4.4999999999999998E-2</v>
      </c>
      <c r="P454" s="7">
        <v>3</v>
      </c>
      <c r="Q454" s="7">
        <v>1.28</v>
      </c>
      <c r="R454" s="7">
        <v>0.04</v>
      </c>
      <c r="S454" s="7">
        <v>3</v>
      </c>
      <c r="T454" s="7">
        <v>7.7942286340599465E-2</v>
      </c>
      <c r="U454" s="7">
        <v>6.9282032302755092E-2</v>
      </c>
      <c r="V454" s="7">
        <v>0.22705745063534608</v>
      </c>
      <c r="W454" s="7">
        <v>2.9229292820069199E-3</v>
      </c>
      <c r="X454" t="s">
        <v>905</v>
      </c>
      <c r="Y454" t="s">
        <v>89</v>
      </c>
      <c r="Z454" t="s">
        <v>515</v>
      </c>
      <c r="AA454" t="s">
        <v>921</v>
      </c>
      <c r="AB454" t="s">
        <v>92</v>
      </c>
      <c r="AC454" t="s">
        <v>900</v>
      </c>
      <c r="AD454" t="s">
        <v>900</v>
      </c>
      <c r="AE454" t="s">
        <v>1772</v>
      </c>
      <c r="AF454" t="s">
        <v>1773</v>
      </c>
      <c r="AG454" t="s">
        <v>1772</v>
      </c>
      <c r="AH454" t="s">
        <v>1519</v>
      </c>
      <c r="AI454" t="s">
        <v>42</v>
      </c>
      <c r="AJ454" t="s">
        <v>1636</v>
      </c>
      <c r="AK454" t="s">
        <v>1637</v>
      </c>
      <c r="AL454" s="4">
        <v>30</v>
      </c>
      <c r="AM454" t="s">
        <v>185</v>
      </c>
      <c r="AN454">
        <v>30</v>
      </c>
      <c r="AO454" t="s">
        <v>1665</v>
      </c>
      <c r="AP454" t="s">
        <v>1639</v>
      </c>
      <c r="AQ454" t="s">
        <v>1640</v>
      </c>
      <c r="AR454" t="s">
        <v>1641</v>
      </c>
      <c r="AS454">
        <v>1</v>
      </c>
      <c r="AT454">
        <v>0</v>
      </c>
      <c r="AU454">
        <v>0</v>
      </c>
      <c r="AV454">
        <v>1</v>
      </c>
      <c r="AW454">
        <v>0</v>
      </c>
      <c r="AX454">
        <v>0</v>
      </c>
      <c r="AY454" t="s">
        <v>1642</v>
      </c>
    </row>
    <row r="455" spans="1:51">
      <c r="A455" t="s">
        <v>900</v>
      </c>
      <c r="B455" t="s">
        <v>924</v>
      </c>
      <c r="C455" t="s">
        <v>655</v>
      </c>
      <c r="D455" t="s">
        <v>902</v>
      </c>
      <c r="E455" t="s">
        <v>96</v>
      </c>
      <c r="F455">
        <v>30</v>
      </c>
      <c r="G455" t="s">
        <v>185</v>
      </c>
      <c r="H455" t="s">
        <v>84</v>
      </c>
      <c r="I455" t="s">
        <v>186</v>
      </c>
      <c r="J455" t="s">
        <v>904</v>
      </c>
      <c r="K455" t="s">
        <v>29</v>
      </c>
      <c r="L455" t="s">
        <v>42</v>
      </c>
      <c r="M455" t="s">
        <v>423</v>
      </c>
      <c r="N455" s="7">
        <v>1.02</v>
      </c>
      <c r="O455" s="7">
        <v>4.4999999999999998E-2</v>
      </c>
      <c r="P455" s="7">
        <v>3</v>
      </c>
      <c r="Q455" s="7">
        <v>1.33</v>
      </c>
      <c r="R455" s="7">
        <v>4.4999999999999998E-2</v>
      </c>
      <c r="S455" s="7">
        <v>3</v>
      </c>
      <c r="T455" s="7">
        <v>7.7942286340599465E-2</v>
      </c>
      <c r="U455" s="7">
        <v>7.7942286340599465E-2</v>
      </c>
      <c r="V455" s="7">
        <v>0.2653763149374827</v>
      </c>
      <c r="W455" s="7">
        <v>3.0911460233433432E-3</v>
      </c>
      <c r="X455" t="s">
        <v>905</v>
      </c>
      <c r="Y455" t="s">
        <v>89</v>
      </c>
      <c r="Z455" t="s">
        <v>515</v>
      </c>
      <c r="AA455" t="s">
        <v>921</v>
      </c>
      <c r="AB455" t="s">
        <v>92</v>
      </c>
      <c r="AC455" t="s">
        <v>900</v>
      </c>
      <c r="AD455" t="s">
        <v>900</v>
      </c>
      <c r="AE455" t="s">
        <v>1774</v>
      </c>
      <c r="AF455" t="s">
        <v>1775</v>
      </c>
      <c r="AG455" t="s">
        <v>1774</v>
      </c>
      <c r="AH455" t="s">
        <v>1521</v>
      </c>
      <c r="AI455" t="s">
        <v>42</v>
      </c>
      <c r="AJ455" t="s">
        <v>1636</v>
      </c>
      <c r="AK455" t="s">
        <v>1637</v>
      </c>
      <c r="AL455" s="4">
        <v>30</v>
      </c>
      <c r="AM455" t="s">
        <v>185</v>
      </c>
      <c r="AN455">
        <v>30</v>
      </c>
      <c r="AO455" t="s">
        <v>1665</v>
      </c>
      <c r="AP455" t="s">
        <v>1639</v>
      </c>
      <c r="AQ455" t="s">
        <v>1640</v>
      </c>
      <c r="AR455" t="s">
        <v>1641</v>
      </c>
      <c r="AS455">
        <v>1</v>
      </c>
      <c r="AT455">
        <v>0</v>
      </c>
      <c r="AU455">
        <v>0</v>
      </c>
      <c r="AV455">
        <v>1</v>
      </c>
      <c r="AW455">
        <v>0</v>
      </c>
      <c r="AX455">
        <v>0</v>
      </c>
      <c r="AY455" t="s">
        <v>1642</v>
      </c>
    </row>
    <row r="456" spans="1:51">
      <c r="A456" t="s">
        <v>925</v>
      </c>
      <c r="B456" t="s">
        <v>926</v>
      </c>
      <c r="C456" t="s">
        <v>815</v>
      </c>
      <c r="D456" t="s">
        <v>927</v>
      </c>
      <c r="E456" t="s">
        <v>928</v>
      </c>
      <c r="F456">
        <v>0.5</v>
      </c>
      <c r="G456" t="s">
        <v>929</v>
      </c>
      <c r="H456" t="s">
        <v>84</v>
      </c>
      <c r="I456" t="s">
        <v>85</v>
      </c>
      <c r="J456" t="s">
        <v>547</v>
      </c>
      <c r="K456" t="s">
        <v>149</v>
      </c>
      <c r="L456" t="s">
        <v>40</v>
      </c>
      <c r="M456" t="s">
        <v>930</v>
      </c>
      <c r="N456" s="7">
        <v>2446</v>
      </c>
      <c r="O456" s="7"/>
      <c r="P456" s="7">
        <v>5</v>
      </c>
      <c r="Q456" s="7">
        <v>2684</v>
      </c>
      <c r="R456" s="7"/>
      <c r="S456" s="7">
        <v>5</v>
      </c>
      <c r="T456" s="7">
        <v>115</v>
      </c>
      <c r="U456" s="7">
        <v>120</v>
      </c>
      <c r="V456" s="7">
        <v>9.2854181844454695E-2</v>
      </c>
      <c r="W456" s="7">
        <v>8.4187800939861004E-4</v>
      </c>
      <c r="X456" t="s">
        <v>931</v>
      </c>
      <c r="Y456" t="s">
        <v>932</v>
      </c>
      <c r="Z456" t="s">
        <v>933</v>
      </c>
      <c r="AA456" t="s">
        <v>934</v>
      </c>
      <c r="AB456" t="s">
        <v>92</v>
      </c>
      <c r="AC456" t="s">
        <v>925</v>
      </c>
      <c r="AD456" t="s">
        <v>925</v>
      </c>
      <c r="AE456" t="s">
        <v>1776</v>
      </c>
      <c r="AF456" t="s">
        <v>1777</v>
      </c>
      <c r="AG456" t="s">
        <v>1776</v>
      </c>
      <c r="AI456" t="s">
        <v>40</v>
      </c>
      <c r="AJ456" t="s">
        <v>1636</v>
      </c>
      <c r="AK456" t="s">
        <v>1637</v>
      </c>
      <c r="AL456" s="4">
        <v>0.5</v>
      </c>
      <c r="AM456" t="s">
        <v>929</v>
      </c>
      <c r="AN456">
        <v>3.2226877215597809</v>
      </c>
      <c r="AO456" t="s">
        <v>1778</v>
      </c>
      <c r="AP456" t="s">
        <v>1639</v>
      </c>
      <c r="AQ456" t="s">
        <v>1685</v>
      </c>
      <c r="AR456" t="s">
        <v>1641</v>
      </c>
      <c r="AS456">
        <v>1</v>
      </c>
      <c r="AT456">
        <v>0</v>
      </c>
      <c r="AU456">
        <v>0</v>
      </c>
      <c r="AV456">
        <v>1</v>
      </c>
      <c r="AW456">
        <v>0</v>
      </c>
      <c r="AX456">
        <v>0</v>
      </c>
      <c r="AY456" t="s">
        <v>1642</v>
      </c>
    </row>
    <row r="457" spans="1:51">
      <c r="A457" t="s">
        <v>925</v>
      </c>
      <c r="B457" t="s">
        <v>935</v>
      </c>
      <c r="C457" t="s">
        <v>815</v>
      </c>
      <c r="D457" t="s">
        <v>927</v>
      </c>
      <c r="E457" t="s">
        <v>936</v>
      </c>
      <c r="F457">
        <v>0.5</v>
      </c>
      <c r="G457" t="s">
        <v>929</v>
      </c>
      <c r="H457" t="s">
        <v>84</v>
      </c>
      <c r="I457" t="s">
        <v>85</v>
      </c>
      <c r="J457" t="s">
        <v>547</v>
      </c>
      <c r="K457" t="s">
        <v>149</v>
      </c>
      <c r="L457" t="s">
        <v>40</v>
      </c>
      <c r="M457" t="s">
        <v>930</v>
      </c>
      <c r="N457" s="7">
        <v>2446</v>
      </c>
      <c r="O457" s="7"/>
      <c r="P457" s="7">
        <v>5</v>
      </c>
      <c r="Q457" s="7">
        <v>2725</v>
      </c>
      <c r="R457" s="7"/>
      <c r="S457" s="7">
        <v>5</v>
      </c>
      <c r="T457" s="7">
        <v>115</v>
      </c>
      <c r="U457" s="7">
        <v>125</v>
      </c>
      <c r="V457" s="7">
        <v>0.10801439085022688</v>
      </c>
      <c r="W457" s="7">
        <v>8.6293211358762136E-4</v>
      </c>
      <c r="X457" t="s">
        <v>931</v>
      </c>
      <c r="Y457" t="s">
        <v>932</v>
      </c>
      <c r="Z457" t="s">
        <v>933</v>
      </c>
      <c r="AA457" t="s">
        <v>934</v>
      </c>
      <c r="AB457" t="s">
        <v>92</v>
      </c>
      <c r="AC457" t="s">
        <v>925</v>
      </c>
      <c r="AD457" t="s">
        <v>925</v>
      </c>
      <c r="AE457" t="s">
        <v>1776</v>
      </c>
      <c r="AF457" t="s">
        <v>1779</v>
      </c>
      <c r="AG457" t="s">
        <v>1776</v>
      </c>
      <c r="AI457" t="s">
        <v>40</v>
      </c>
      <c r="AJ457" t="s">
        <v>1636</v>
      </c>
      <c r="AK457" t="s">
        <v>1637</v>
      </c>
      <c r="AL457" s="4">
        <v>0.5</v>
      </c>
      <c r="AM457" t="s">
        <v>929</v>
      </c>
      <c r="AN457">
        <v>3.4202065804774611</v>
      </c>
      <c r="AO457" t="s">
        <v>1778</v>
      </c>
      <c r="AP457" t="s">
        <v>1639</v>
      </c>
      <c r="AQ457" t="s">
        <v>1685</v>
      </c>
      <c r="AR457" t="s">
        <v>1641</v>
      </c>
      <c r="AS457">
        <v>1</v>
      </c>
      <c r="AT457">
        <v>0</v>
      </c>
      <c r="AU457">
        <v>0</v>
      </c>
      <c r="AV457">
        <v>1</v>
      </c>
      <c r="AW457">
        <v>0</v>
      </c>
      <c r="AX457">
        <v>0</v>
      </c>
      <c r="AY457" t="s">
        <v>1642</v>
      </c>
    </row>
    <row r="458" spans="1:51">
      <c r="A458" t="s">
        <v>925</v>
      </c>
      <c r="B458" t="s">
        <v>937</v>
      </c>
      <c r="C458" t="s">
        <v>815</v>
      </c>
      <c r="D458" t="s">
        <v>927</v>
      </c>
      <c r="E458" t="s">
        <v>94</v>
      </c>
      <c r="F458">
        <v>0.5</v>
      </c>
      <c r="G458" t="s">
        <v>929</v>
      </c>
      <c r="H458" t="s">
        <v>84</v>
      </c>
      <c r="I458" t="s">
        <v>85</v>
      </c>
      <c r="J458" t="s">
        <v>547</v>
      </c>
      <c r="K458" t="s">
        <v>149</v>
      </c>
      <c r="L458" t="s">
        <v>40</v>
      </c>
      <c r="M458" t="s">
        <v>930</v>
      </c>
      <c r="N458" s="7">
        <v>2446</v>
      </c>
      <c r="O458" s="7"/>
      <c r="P458" s="7">
        <v>5</v>
      </c>
      <c r="Q458" s="7">
        <v>2835</v>
      </c>
      <c r="R458" s="7"/>
      <c r="S458" s="7">
        <v>5</v>
      </c>
      <c r="T458" s="7">
        <v>115</v>
      </c>
      <c r="U458" s="7">
        <v>115</v>
      </c>
      <c r="V458" s="7">
        <v>0.14758789991473484</v>
      </c>
      <c r="W458" s="7">
        <v>7.7118580289693966E-4</v>
      </c>
      <c r="X458" t="s">
        <v>931</v>
      </c>
      <c r="Y458" t="s">
        <v>932</v>
      </c>
      <c r="Z458" t="s">
        <v>933</v>
      </c>
      <c r="AA458" t="s">
        <v>934</v>
      </c>
      <c r="AB458" t="s">
        <v>92</v>
      </c>
      <c r="AC458" t="s">
        <v>925</v>
      </c>
      <c r="AD458" t="s">
        <v>925</v>
      </c>
      <c r="AE458" t="s">
        <v>1776</v>
      </c>
      <c r="AF458" t="s">
        <v>1780</v>
      </c>
      <c r="AG458" t="s">
        <v>1776</v>
      </c>
      <c r="AI458" t="s">
        <v>40</v>
      </c>
      <c r="AJ458" t="s">
        <v>1636</v>
      </c>
      <c r="AK458" t="s">
        <v>1637</v>
      </c>
      <c r="AL458" s="4">
        <v>0.5</v>
      </c>
      <c r="AM458" t="s">
        <v>929</v>
      </c>
      <c r="AN458">
        <v>3.0268176039711849</v>
      </c>
      <c r="AO458" t="s">
        <v>1778</v>
      </c>
      <c r="AP458" t="s">
        <v>1639</v>
      </c>
      <c r="AQ458" t="s">
        <v>1685</v>
      </c>
      <c r="AR458" t="s">
        <v>1641</v>
      </c>
      <c r="AS458">
        <v>1</v>
      </c>
      <c r="AT458">
        <v>0</v>
      </c>
      <c r="AU458">
        <v>0</v>
      </c>
      <c r="AV458">
        <v>1</v>
      </c>
      <c r="AW458">
        <v>0</v>
      </c>
      <c r="AX458">
        <v>0</v>
      </c>
      <c r="AY458" t="s">
        <v>1642</v>
      </c>
    </row>
    <row r="459" spans="1:51">
      <c r="A459" t="s">
        <v>925</v>
      </c>
      <c r="B459" t="s">
        <v>938</v>
      </c>
      <c r="C459" t="s">
        <v>815</v>
      </c>
      <c r="D459" t="s">
        <v>927</v>
      </c>
      <c r="E459" t="s">
        <v>939</v>
      </c>
      <c r="F459">
        <v>0.5</v>
      </c>
      <c r="G459" t="s">
        <v>929</v>
      </c>
      <c r="H459" t="s">
        <v>84</v>
      </c>
      <c r="I459" t="s">
        <v>85</v>
      </c>
      <c r="J459" t="s">
        <v>547</v>
      </c>
      <c r="K459" t="s">
        <v>149</v>
      </c>
      <c r="L459" t="s">
        <v>40</v>
      </c>
      <c r="M459" t="s">
        <v>930</v>
      </c>
      <c r="N459" s="7">
        <v>2446</v>
      </c>
      <c r="O459" s="7"/>
      <c r="P459" s="7">
        <v>5</v>
      </c>
      <c r="Q459" s="7">
        <v>3022</v>
      </c>
      <c r="R459" s="7"/>
      <c r="S459" s="7">
        <v>5</v>
      </c>
      <c r="T459" s="7">
        <v>115</v>
      </c>
      <c r="U459" s="7">
        <v>125</v>
      </c>
      <c r="V459" s="7">
        <v>0.2114648265855672</v>
      </c>
      <c r="W459" s="7">
        <v>7.8427722234297378E-4</v>
      </c>
      <c r="X459" t="s">
        <v>931</v>
      </c>
      <c r="Y459" t="s">
        <v>932</v>
      </c>
      <c r="Z459" t="s">
        <v>933</v>
      </c>
      <c r="AA459" t="s">
        <v>934</v>
      </c>
      <c r="AB459" t="s">
        <v>92</v>
      </c>
      <c r="AC459" t="s">
        <v>925</v>
      </c>
      <c r="AD459" t="s">
        <v>925</v>
      </c>
      <c r="AE459" t="s">
        <v>1776</v>
      </c>
      <c r="AF459" t="s">
        <v>1781</v>
      </c>
      <c r="AG459" t="s">
        <v>1776</v>
      </c>
      <c r="AI459" t="s">
        <v>40</v>
      </c>
      <c r="AJ459" t="s">
        <v>1636</v>
      </c>
      <c r="AK459" t="s">
        <v>1637</v>
      </c>
      <c r="AL459" s="4">
        <v>0.5</v>
      </c>
      <c r="AM459" t="s">
        <v>929</v>
      </c>
      <c r="AN459">
        <v>4.1974479516453993</v>
      </c>
      <c r="AO459" t="s">
        <v>1778</v>
      </c>
      <c r="AP459" t="s">
        <v>1639</v>
      </c>
      <c r="AQ459" t="s">
        <v>1685</v>
      </c>
      <c r="AR459" t="s">
        <v>1641</v>
      </c>
      <c r="AS459">
        <v>1</v>
      </c>
      <c r="AT459">
        <v>0</v>
      </c>
      <c r="AU459">
        <v>0</v>
      </c>
      <c r="AV459">
        <v>1</v>
      </c>
      <c r="AW459">
        <v>0</v>
      </c>
      <c r="AX459">
        <v>0</v>
      </c>
      <c r="AY459" t="s">
        <v>1642</v>
      </c>
    </row>
    <row r="460" spans="1:51">
      <c r="A460" t="s">
        <v>940</v>
      </c>
      <c r="B460" t="s">
        <v>941</v>
      </c>
      <c r="C460" t="s">
        <v>942</v>
      </c>
      <c r="D460" t="s">
        <v>943</v>
      </c>
      <c r="E460" t="s">
        <v>96</v>
      </c>
      <c r="F460">
        <v>10</v>
      </c>
      <c r="G460" t="s">
        <v>185</v>
      </c>
      <c r="H460" t="s">
        <v>376</v>
      </c>
      <c r="I460" t="s">
        <v>377</v>
      </c>
      <c r="J460" t="s">
        <v>944</v>
      </c>
      <c r="K460" t="s">
        <v>149</v>
      </c>
      <c r="L460" t="s">
        <v>40</v>
      </c>
      <c r="M460" t="s">
        <v>188</v>
      </c>
      <c r="N460" s="7">
        <v>17.39</v>
      </c>
      <c r="O460" s="7"/>
      <c r="P460" s="7">
        <v>5</v>
      </c>
      <c r="Q460" s="7">
        <v>19.96</v>
      </c>
      <c r="R460" s="7"/>
      <c r="S460" s="7">
        <v>5</v>
      </c>
      <c r="T460" s="7">
        <v>1.24</v>
      </c>
      <c r="U460" s="7">
        <v>0.57999999999999996</v>
      </c>
      <c r="V460" s="7">
        <v>0.1378349425171263</v>
      </c>
      <c r="W460" s="7">
        <v>1.185765351655058E-3</v>
      </c>
      <c r="X460" t="s">
        <v>379</v>
      </c>
      <c r="Y460" t="s">
        <v>380</v>
      </c>
      <c r="Z460" t="s">
        <v>381</v>
      </c>
      <c r="AA460" t="s">
        <v>945</v>
      </c>
      <c r="AB460" t="s">
        <v>92</v>
      </c>
      <c r="AC460" t="s">
        <v>940</v>
      </c>
      <c r="AD460" t="s">
        <v>940</v>
      </c>
      <c r="AE460" t="s">
        <v>1782</v>
      </c>
      <c r="AF460" t="s">
        <v>1783</v>
      </c>
      <c r="AG460" t="s">
        <v>1782</v>
      </c>
      <c r="AI460" t="s">
        <v>40</v>
      </c>
      <c r="AJ460" t="s">
        <v>1636</v>
      </c>
      <c r="AK460" t="s">
        <v>1637</v>
      </c>
      <c r="AL460" s="4">
        <v>10</v>
      </c>
      <c r="AM460" t="s">
        <v>185</v>
      </c>
      <c r="AN460">
        <v>10</v>
      </c>
      <c r="AO460" t="s">
        <v>1665</v>
      </c>
      <c r="AP460" t="s">
        <v>1639</v>
      </c>
      <c r="AQ460" t="s">
        <v>1685</v>
      </c>
      <c r="AR460" t="s">
        <v>1686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0</v>
      </c>
      <c r="AY460" t="s">
        <v>1642</v>
      </c>
    </row>
    <row r="461" spans="1:51">
      <c r="A461" t="s">
        <v>940</v>
      </c>
      <c r="B461" t="s">
        <v>946</v>
      </c>
      <c r="C461" t="s">
        <v>942</v>
      </c>
      <c r="D461" t="s">
        <v>943</v>
      </c>
      <c r="E461" t="s">
        <v>96</v>
      </c>
      <c r="F461">
        <v>20</v>
      </c>
      <c r="G461" t="s">
        <v>185</v>
      </c>
      <c r="H461" t="s">
        <v>376</v>
      </c>
      <c r="I461" t="s">
        <v>377</v>
      </c>
      <c r="J461" t="s">
        <v>944</v>
      </c>
      <c r="K461" t="s">
        <v>149</v>
      </c>
      <c r="L461" t="s">
        <v>40</v>
      </c>
      <c r="M461" t="s">
        <v>188</v>
      </c>
      <c r="N461" s="7">
        <v>17.39</v>
      </c>
      <c r="O461" s="7"/>
      <c r="P461" s="7">
        <v>5</v>
      </c>
      <c r="Q461" s="7">
        <v>22.79</v>
      </c>
      <c r="R461" s="7"/>
      <c r="S461" s="7">
        <v>5</v>
      </c>
      <c r="T461" s="7">
        <v>1.24</v>
      </c>
      <c r="U461" s="7">
        <v>0.93</v>
      </c>
      <c r="V461" s="7">
        <v>0.27042651489140113</v>
      </c>
      <c r="W461" s="7">
        <v>1.3499388441245309E-3</v>
      </c>
      <c r="X461" t="s">
        <v>379</v>
      </c>
      <c r="Y461" t="s">
        <v>380</v>
      </c>
      <c r="Z461" t="s">
        <v>381</v>
      </c>
      <c r="AA461" t="s">
        <v>945</v>
      </c>
      <c r="AB461" t="s">
        <v>92</v>
      </c>
      <c r="AC461" t="s">
        <v>940</v>
      </c>
      <c r="AD461" t="s">
        <v>940</v>
      </c>
      <c r="AE461" t="s">
        <v>1782</v>
      </c>
      <c r="AF461" t="s">
        <v>1784</v>
      </c>
      <c r="AG461" t="s">
        <v>1782</v>
      </c>
      <c r="AI461" t="s">
        <v>40</v>
      </c>
      <c r="AJ461" t="s">
        <v>1636</v>
      </c>
      <c r="AK461" t="s">
        <v>1637</v>
      </c>
      <c r="AL461" s="4">
        <v>20</v>
      </c>
      <c r="AM461" t="s">
        <v>185</v>
      </c>
      <c r="AN461">
        <v>20</v>
      </c>
      <c r="AO461" t="s">
        <v>1665</v>
      </c>
      <c r="AP461" t="s">
        <v>1639</v>
      </c>
      <c r="AQ461" t="s">
        <v>1685</v>
      </c>
      <c r="AR461" t="s">
        <v>1686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 t="s">
        <v>1642</v>
      </c>
    </row>
    <row r="462" spans="1:51">
      <c r="A462" t="s">
        <v>940</v>
      </c>
      <c r="B462" t="s">
        <v>947</v>
      </c>
      <c r="C462" t="s">
        <v>942</v>
      </c>
      <c r="D462" t="s">
        <v>943</v>
      </c>
      <c r="E462" t="s">
        <v>96</v>
      </c>
      <c r="F462">
        <v>10</v>
      </c>
      <c r="G462" t="s">
        <v>185</v>
      </c>
      <c r="H462" t="s">
        <v>376</v>
      </c>
      <c r="I462" t="s">
        <v>377</v>
      </c>
      <c r="J462" t="s">
        <v>944</v>
      </c>
      <c r="K462" t="s">
        <v>149</v>
      </c>
      <c r="L462" t="s">
        <v>30</v>
      </c>
      <c r="M462" t="s">
        <v>188</v>
      </c>
      <c r="N462" s="7">
        <v>11.68</v>
      </c>
      <c r="O462" s="7"/>
      <c r="P462" s="7">
        <v>5</v>
      </c>
      <c r="Q462" s="7">
        <v>11.82</v>
      </c>
      <c r="R462" s="7"/>
      <c r="S462" s="7">
        <v>5</v>
      </c>
      <c r="T462" s="7">
        <v>0.49</v>
      </c>
      <c r="U462" s="7">
        <v>1.1499999999999999</v>
      </c>
      <c r="V462" s="7">
        <v>1.1915034577871244E-2</v>
      </c>
      <c r="W462" s="7">
        <v>2.2451698166030746E-3</v>
      </c>
      <c r="X462" t="s">
        <v>379</v>
      </c>
      <c r="Y462" t="s">
        <v>380</v>
      </c>
      <c r="Z462" t="s">
        <v>381</v>
      </c>
      <c r="AA462" t="s">
        <v>948</v>
      </c>
      <c r="AB462" t="s">
        <v>92</v>
      </c>
      <c r="AC462" t="s">
        <v>940</v>
      </c>
      <c r="AD462" t="s">
        <v>940</v>
      </c>
      <c r="AE462" t="s">
        <v>1782</v>
      </c>
      <c r="AF462" t="s">
        <v>1783</v>
      </c>
      <c r="AG462" t="s">
        <v>1782</v>
      </c>
      <c r="AI462" t="s">
        <v>30</v>
      </c>
      <c r="AJ462" t="s">
        <v>1636</v>
      </c>
      <c r="AK462" t="s">
        <v>1637</v>
      </c>
      <c r="AL462" s="4">
        <v>10</v>
      </c>
      <c r="AM462" t="s">
        <v>185</v>
      </c>
      <c r="AN462">
        <v>10</v>
      </c>
      <c r="AO462" t="s">
        <v>1665</v>
      </c>
      <c r="AP462" t="s">
        <v>1639</v>
      </c>
      <c r="AQ462" t="s">
        <v>1685</v>
      </c>
      <c r="AR462" t="s">
        <v>1686</v>
      </c>
      <c r="AS462">
        <v>1</v>
      </c>
      <c r="AT462">
        <v>0</v>
      </c>
      <c r="AU462">
        <v>0</v>
      </c>
      <c r="AV462">
        <v>0</v>
      </c>
      <c r="AW462">
        <v>0</v>
      </c>
      <c r="AX462">
        <v>0</v>
      </c>
      <c r="AY462" t="s">
        <v>1642</v>
      </c>
    </row>
    <row r="463" spans="1:51">
      <c r="A463" t="s">
        <v>940</v>
      </c>
      <c r="B463" t="s">
        <v>949</v>
      </c>
      <c r="C463" t="s">
        <v>942</v>
      </c>
      <c r="D463" t="s">
        <v>943</v>
      </c>
      <c r="E463" t="s">
        <v>96</v>
      </c>
      <c r="F463">
        <v>20</v>
      </c>
      <c r="G463" t="s">
        <v>185</v>
      </c>
      <c r="H463" t="s">
        <v>376</v>
      </c>
      <c r="I463" t="s">
        <v>377</v>
      </c>
      <c r="J463" t="s">
        <v>944</v>
      </c>
      <c r="K463" t="s">
        <v>149</v>
      </c>
      <c r="L463" t="s">
        <v>30</v>
      </c>
      <c r="M463" t="s">
        <v>188</v>
      </c>
      <c r="N463" s="7">
        <v>11.68</v>
      </c>
      <c r="O463" s="7"/>
      <c r="P463" s="7">
        <v>5</v>
      </c>
      <c r="Q463" s="7">
        <v>12.87</v>
      </c>
      <c r="R463" s="7"/>
      <c r="S463" s="7">
        <v>5</v>
      </c>
      <c r="T463" s="7">
        <v>0.49</v>
      </c>
      <c r="U463" s="7">
        <v>1.2</v>
      </c>
      <c r="V463" s="7">
        <v>9.7021044207954293E-2</v>
      </c>
      <c r="W463" s="7">
        <v>2.0907379777807475E-3</v>
      </c>
      <c r="X463" t="s">
        <v>379</v>
      </c>
      <c r="Y463" t="s">
        <v>380</v>
      </c>
      <c r="Z463" t="s">
        <v>381</v>
      </c>
      <c r="AA463" t="s">
        <v>948</v>
      </c>
      <c r="AB463" t="s">
        <v>92</v>
      </c>
      <c r="AC463" t="s">
        <v>940</v>
      </c>
      <c r="AD463" t="s">
        <v>940</v>
      </c>
      <c r="AE463" t="s">
        <v>1782</v>
      </c>
      <c r="AF463" t="s">
        <v>1784</v>
      </c>
      <c r="AG463" t="s">
        <v>1782</v>
      </c>
      <c r="AI463" t="s">
        <v>30</v>
      </c>
      <c r="AJ463" t="s">
        <v>1636</v>
      </c>
      <c r="AK463" t="s">
        <v>1637</v>
      </c>
      <c r="AL463" s="4">
        <v>20</v>
      </c>
      <c r="AM463" t="s">
        <v>185</v>
      </c>
      <c r="AN463">
        <v>20</v>
      </c>
      <c r="AO463" t="s">
        <v>1665</v>
      </c>
      <c r="AP463" t="s">
        <v>1639</v>
      </c>
      <c r="AQ463" t="s">
        <v>1685</v>
      </c>
      <c r="AR463" t="s">
        <v>1686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 t="s">
        <v>1642</v>
      </c>
    </row>
    <row r="464" spans="1:51">
      <c r="A464" t="s">
        <v>940</v>
      </c>
      <c r="B464" t="s">
        <v>950</v>
      </c>
      <c r="C464" t="s">
        <v>942</v>
      </c>
      <c r="D464" t="s">
        <v>943</v>
      </c>
      <c r="E464" t="s">
        <v>96</v>
      </c>
      <c r="F464">
        <v>10</v>
      </c>
      <c r="G464" t="s">
        <v>185</v>
      </c>
      <c r="H464" t="s">
        <v>376</v>
      </c>
      <c r="I464" t="s">
        <v>377</v>
      </c>
      <c r="J464" t="s">
        <v>944</v>
      </c>
      <c r="K464" t="s">
        <v>149</v>
      </c>
      <c r="L464" t="s">
        <v>337</v>
      </c>
      <c r="M464" t="s">
        <v>188</v>
      </c>
      <c r="N464" s="7">
        <v>3.19</v>
      </c>
      <c r="O464" s="7"/>
      <c r="P464" s="7">
        <v>5</v>
      </c>
      <c r="Q464" s="7">
        <v>3.39</v>
      </c>
      <c r="R464" s="7"/>
      <c r="S464" s="7">
        <v>5</v>
      </c>
      <c r="T464" s="7">
        <v>0.16</v>
      </c>
      <c r="U464" s="7">
        <v>0.03</v>
      </c>
      <c r="V464" s="7">
        <v>6.0809004595605787E-2</v>
      </c>
      <c r="W464" s="7">
        <v>5.188026433794482E-4</v>
      </c>
      <c r="X464" t="s">
        <v>379</v>
      </c>
      <c r="Y464" t="s">
        <v>380</v>
      </c>
      <c r="Z464" t="s">
        <v>381</v>
      </c>
      <c r="AA464" t="s">
        <v>951</v>
      </c>
      <c r="AB464" t="s">
        <v>92</v>
      </c>
      <c r="AC464" t="s">
        <v>940</v>
      </c>
      <c r="AD464" t="s">
        <v>940</v>
      </c>
      <c r="AE464" t="s">
        <v>1782</v>
      </c>
      <c r="AF464" t="s">
        <v>1783</v>
      </c>
      <c r="AG464" t="s">
        <v>1782</v>
      </c>
      <c r="AI464" t="s">
        <v>337</v>
      </c>
      <c r="AJ464" t="s">
        <v>1636</v>
      </c>
      <c r="AK464" t="s">
        <v>1637</v>
      </c>
      <c r="AL464" s="4">
        <v>10</v>
      </c>
      <c r="AM464" t="s">
        <v>185</v>
      </c>
      <c r="AN464">
        <v>10</v>
      </c>
      <c r="AO464" t="s">
        <v>1665</v>
      </c>
      <c r="AP464" t="s">
        <v>1639</v>
      </c>
      <c r="AQ464" t="s">
        <v>1685</v>
      </c>
      <c r="AR464" t="s">
        <v>1686</v>
      </c>
      <c r="AS464">
        <v>1</v>
      </c>
      <c r="AT464">
        <v>0</v>
      </c>
      <c r="AU464">
        <v>0</v>
      </c>
      <c r="AV464">
        <v>0</v>
      </c>
      <c r="AW464">
        <v>0</v>
      </c>
      <c r="AX464">
        <v>0</v>
      </c>
      <c r="AY464" t="s">
        <v>1642</v>
      </c>
    </row>
    <row r="465" spans="1:51">
      <c r="A465" t="s">
        <v>940</v>
      </c>
      <c r="B465" t="s">
        <v>952</v>
      </c>
      <c r="C465" t="s">
        <v>942</v>
      </c>
      <c r="D465" t="s">
        <v>943</v>
      </c>
      <c r="E465" t="s">
        <v>96</v>
      </c>
      <c r="F465">
        <v>20</v>
      </c>
      <c r="G465" t="s">
        <v>185</v>
      </c>
      <c r="H465" t="s">
        <v>376</v>
      </c>
      <c r="I465" t="s">
        <v>377</v>
      </c>
      <c r="J465" t="s">
        <v>944</v>
      </c>
      <c r="K465" t="s">
        <v>149</v>
      </c>
      <c r="L465" t="s">
        <v>337</v>
      </c>
      <c r="M465" t="s">
        <v>188</v>
      </c>
      <c r="N465" s="7">
        <v>3.19</v>
      </c>
      <c r="O465" s="7"/>
      <c r="P465" s="7">
        <v>5</v>
      </c>
      <c r="Q465" s="7">
        <v>3.46</v>
      </c>
      <c r="R465" s="7"/>
      <c r="S465" s="7">
        <v>5</v>
      </c>
      <c r="T465" s="7">
        <v>0.16</v>
      </c>
      <c r="U465" s="7">
        <v>7.0000000000000007E-2</v>
      </c>
      <c r="V465" s="7">
        <v>8.1247672272879781E-2</v>
      </c>
      <c r="W465" s="7">
        <v>5.8500011266562923E-4</v>
      </c>
      <c r="X465" t="s">
        <v>379</v>
      </c>
      <c r="Y465" t="s">
        <v>380</v>
      </c>
      <c r="Z465" t="s">
        <v>381</v>
      </c>
      <c r="AA465" t="s">
        <v>951</v>
      </c>
      <c r="AB465" t="s">
        <v>92</v>
      </c>
      <c r="AC465" t="s">
        <v>940</v>
      </c>
      <c r="AD465" t="s">
        <v>940</v>
      </c>
      <c r="AE465" t="s">
        <v>1782</v>
      </c>
      <c r="AF465" t="s">
        <v>1784</v>
      </c>
      <c r="AG465" t="s">
        <v>1782</v>
      </c>
      <c r="AI465" t="s">
        <v>337</v>
      </c>
      <c r="AJ465" t="s">
        <v>1636</v>
      </c>
      <c r="AK465" t="s">
        <v>1637</v>
      </c>
      <c r="AL465" s="4">
        <v>20</v>
      </c>
      <c r="AM465" t="s">
        <v>185</v>
      </c>
      <c r="AN465">
        <v>20</v>
      </c>
      <c r="AO465" t="s">
        <v>1665</v>
      </c>
      <c r="AP465" t="s">
        <v>1639</v>
      </c>
      <c r="AQ465" t="s">
        <v>1685</v>
      </c>
      <c r="AR465" t="s">
        <v>1686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 t="s">
        <v>1642</v>
      </c>
    </row>
    <row r="466" spans="1:51">
      <c r="A466" t="s">
        <v>940</v>
      </c>
      <c r="B466" t="s">
        <v>953</v>
      </c>
      <c r="C466" t="s">
        <v>942</v>
      </c>
      <c r="D466" t="s">
        <v>943</v>
      </c>
      <c r="E466" t="s">
        <v>96</v>
      </c>
      <c r="F466">
        <v>10</v>
      </c>
      <c r="G466" t="s">
        <v>185</v>
      </c>
      <c r="H466" t="s">
        <v>376</v>
      </c>
      <c r="I466" t="s">
        <v>377</v>
      </c>
      <c r="J466" t="s">
        <v>944</v>
      </c>
      <c r="K466" t="s">
        <v>29</v>
      </c>
      <c r="L466" t="s">
        <v>40</v>
      </c>
      <c r="M466" t="s">
        <v>188</v>
      </c>
      <c r="N466" s="7">
        <v>15.48</v>
      </c>
      <c r="O466" s="7"/>
      <c r="P466" s="7">
        <v>5</v>
      </c>
      <c r="Q466" s="7">
        <v>16.96</v>
      </c>
      <c r="R466" s="7"/>
      <c r="S466" s="7">
        <v>5</v>
      </c>
      <c r="T466" s="7">
        <v>0.82</v>
      </c>
      <c r="U466" s="7">
        <v>0.37</v>
      </c>
      <c r="V466" s="7">
        <v>9.1308762202175972E-2</v>
      </c>
      <c r="W466" s="7">
        <v>6.5638547810123959E-4</v>
      </c>
      <c r="X466" t="s">
        <v>379</v>
      </c>
      <c r="Y466" t="s">
        <v>380</v>
      </c>
      <c r="Z466" t="s">
        <v>381</v>
      </c>
      <c r="AA466" t="s">
        <v>954</v>
      </c>
      <c r="AB466" t="s">
        <v>92</v>
      </c>
      <c r="AC466" t="s">
        <v>940</v>
      </c>
      <c r="AD466" t="s">
        <v>940</v>
      </c>
      <c r="AE466" t="s">
        <v>1782</v>
      </c>
      <c r="AF466" t="s">
        <v>1783</v>
      </c>
      <c r="AG466" t="s">
        <v>1782</v>
      </c>
      <c r="AI466" t="s">
        <v>40</v>
      </c>
      <c r="AJ466" t="s">
        <v>1636</v>
      </c>
      <c r="AK466" t="s">
        <v>1637</v>
      </c>
      <c r="AL466" s="4">
        <v>10</v>
      </c>
      <c r="AM466" t="s">
        <v>185</v>
      </c>
      <c r="AN466">
        <v>10</v>
      </c>
      <c r="AO466" t="s">
        <v>1665</v>
      </c>
      <c r="AP466" t="s">
        <v>1639</v>
      </c>
      <c r="AQ466" t="s">
        <v>1685</v>
      </c>
      <c r="AR466" t="s">
        <v>1686</v>
      </c>
      <c r="AS466">
        <v>1</v>
      </c>
      <c r="AT466">
        <v>0</v>
      </c>
      <c r="AU466">
        <v>0</v>
      </c>
      <c r="AV466">
        <v>0</v>
      </c>
      <c r="AW466">
        <v>0</v>
      </c>
      <c r="AX466">
        <v>0</v>
      </c>
      <c r="AY466" t="s">
        <v>1642</v>
      </c>
    </row>
    <row r="467" spans="1:51">
      <c r="A467" t="s">
        <v>940</v>
      </c>
      <c r="B467" t="s">
        <v>955</v>
      </c>
      <c r="C467" t="s">
        <v>942</v>
      </c>
      <c r="D467" t="s">
        <v>943</v>
      </c>
      <c r="E467" t="s">
        <v>96</v>
      </c>
      <c r="F467">
        <v>20</v>
      </c>
      <c r="G467" t="s">
        <v>185</v>
      </c>
      <c r="H467" t="s">
        <v>376</v>
      </c>
      <c r="I467" t="s">
        <v>377</v>
      </c>
      <c r="J467" t="s">
        <v>944</v>
      </c>
      <c r="K467" t="s">
        <v>29</v>
      </c>
      <c r="L467" t="s">
        <v>40</v>
      </c>
      <c r="M467" t="s">
        <v>188</v>
      </c>
      <c r="N467" s="7">
        <v>15.48</v>
      </c>
      <c r="O467" s="7"/>
      <c r="P467" s="7">
        <v>5</v>
      </c>
      <c r="Q467" s="7">
        <v>20.67</v>
      </c>
      <c r="R467" s="7"/>
      <c r="S467" s="7">
        <v>5</v>
      </c>
      <c r="T467" s="7">
        <v>0.82</v>
      </c>
      <c r="U467" s="7">
        <v>1.08</v>
      </c>
      <c r="V467" s="7">
        <v>0.28913450553209596</v>
      </c>
      <c r="W467" s="7">
        <v>1.1072024941748914E-3</v>
      </c>
      <c r="X467" t="s">
        <v>379</v>
      </c>
      <c r="Y467" t="s">
        <v>380</v>
      </c>
      <c r="Z467" t="s">
        <v>381</v>
      </c>
      <c r="AA467" t="s">
        <v>954</v>
      </c>
      <c r="AB467" t="s">
        <v>92</v>
      </c>
      <c r="AC467" t="s">
        <v>940</v>
      </c>
      <c r="AD467" t="s">
        <v>940</v>
      </c>
      <c r="AE467" t="s">
        <v>1782</v>
      </c>
      <c r="AF467" t="s">
        <v>1784</v>
      </c>
      <c r="AG467" t="s">
        <v>1782</v>
      </c>
      <c r="AI467" t="s">
        <v>40</v>
      </c>
      <c r="AJ467" t="s">
        <v>1636</v>
      </c>
      <c r="AK467" t="s">
        <v>1637</v>
      </c>
      <c r="AL467" s="4">
        <v>20</v>
      </c>
      <c r="AM467" t="s">
        <v>185</v>
      </c>
      <c r="AN467">
        <v>20</v>
      </c>
      <c r="AO467" t="s">
        <v>1665</v>
      </c>
      <c r="AP467" t="s">
        <v>1639</v>
      </c>
      <c r="AQ467" t="s">
        <v>1685</v>
      </c>
      <c r="AR467" t="s">
        <v>1686</v>
      </c>
      <c r="AS467">
        <v>1</v>
      </c>
      <c r="AT467">
        <v>0</v>
      </c>
      <c r="AU467">
        <v>0</v>
      </c>
      <c r="AV467">
        <v>0</v>
      </c>
      <c r="AW467">
        <v>0</v>
      </c>
      <c r="AX467">
        <v>0</v>
      </c>
      <c r="AY467" t="s">
        <v>1642</v>
      </c>
    </row>
    <row r="468" spans="1:51">
      <c r="A468" t="s">
        <v>940</v>
      </c>
      <c r="B468" t="s">
        <v>956</v>
      </c>
      <c r="C468" t="s">
        <v>942</v>
      </c>
      <c r="D468" t="s">
        <v>943</v>
      </c>
      <c r="E468" t="s">
        <v>96</v>
      </c>
      <c r="F468">
        <v>10</v>
      </c>
      <c r="G468" t="s">
        <v>185</v>
      </c>
      <c r="H468" t="s">
        <v>376</v>
      </c>
      <c r="I468" t="s">
        <v>377</v>
      </c>
      <c r="J468" t="s">
        <v>944</v>
      </c>
      <c r="K468" t="s">
        <v>29</v>
      </c>
      <c r="L468" t="s">
        <v>30</v>
      </c>
      <c r="M468" t="s">
        <v>188</v>
      </c>
      <c r="N468" s="7">
        <v>14.82</v>
      </c>
      <c r="O468" s="7"/>
      <c r="P468" s="7">
        <v>5</v>
      </c>
      <c r="Q468" s="7">
        <v>15.47</v>
      </c>
      <c r="R468" s="7"/>
      <c r="S468" s="7">
        <v>5</v>
      </c>
      <c r="T468" s="7">
        <v>0.64</v>
      </c>
      <c r="U468" s="7">
        <v>0.68</v>
      </c>
      <c r="V468" s="7">
        <v>4.2925044717033844E-2</v>
      </c>
      <c r="W468" s="7">
        <v>7.5941362355778962E-4</v>
      </c>
      <c r="X468" t="s">
        <v>379</v>
      </c>
      <c r="Y468" t="s">
        <v>380</v>
      </c>
      <c r="Z468" t="s">
        <v>381</v>
      </c>
      <c r="AA468" t="s">
        <v>957</v>
      </c>
      <c r="AB468" t="s">
        <v>92</v>
      </c>
      <c r="AC468" t="s">
        <v>940</v>
      </c>
      <c r="AD468" t="s">
        <v>940</v>
      </c>
      <c r="AE468" t="s">
        <v>1782</v>
      </c>
      <c r="AF468" t="s">
        <v>1783</v>
      </c>
      <c r="AG468" t="s">
        <v>1782</v>
      </c>
      <c r="AI468" t="s">
        <v>30</v>
      </c>
      <c r="AJ468" t="s">
        <v>1636</v>
      </c>
      <c r="AK468" t="s">
        <v>1637</v>
      </c>
      <c r="AL468" s="4">
        <v>10</v>
      </c>
      <c r="AM468" t="s">
        <v>185</v>
      </c>
      <c r="AN468">
        <v>10</v>
      </c>
      <c r="AO468" t="s">
        <v>1665</v>
      </c>
      <c r="AP468" t="s">
        <v>1639</v>
      </c>
      <c r="AQ468" t="s">
        <v>1685</v>
      </c>
      <c r="AR468" t="s">
        <v>1686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 t="s">
        <v>1642</v>
      </c>
    </row>
    <row r="469" spans="1:51">
      <c r="A469" t="s">
        <v>940</v>
      </c>
      <c r="B469" t="s">
        <v>958</v>
      </c>
      <c r="C469" t="s">
        <v>942</v>
      </c>
      <c r="D469" t="s">
        <v>943</v>
      </c>
      <c r="E469" t="s">
        <v>96</v>
      </c>
      <c r="F469">
        <v>20</v>
      </c>
      <c r="G469" t="s">
        <v>185</v>
      </c>
      <c r="H469" t="s">
        <v>376</v>
      </c>
      <c r="I469" t="s">
        <v>377</v>
      </c>
      <c r="J469" t="s">
        <v>944</v>
      </c>
      <c r="K469" t="s">
        <v>29</v>
      </c>
      <c r="L469" t="s">
        <v>30</v>
      </c>
      <c r="M469" t="s">
        <v>188</v>
      </c>
      <c r="N469" s="7">
        <v>14.82</v>
      </c>
      <c r="O469" s="7"/>
      <c r="P469" s="7">
        <v>5</v>
      </c>
      <c r="Q469" s="7">
        <v>16.95</v>
      </c>
      <c r="R469" s="7"/>
      <c r="S469" s="7">
        <v>5</v>
      </c>
      <c r="T469" s="7">
        <v>0.64</v>
      </c>
      <c r="U469" s="7">
        <v>1.03</v>
      </c>
      <c r="V469" s="7">
        <v>0.13429021395851842</v>
      </c>
      <c r="W469" s="7">
        <v>1.111511589185776E-3</v>
      </c>
      <c r="X469" t="s">
        <v>379</v>
      </c>
      <c r="Y469" t="s">
        <v>380</v>
      </c>
      <c r="Z469" t="s">
        <v>381</v>
      </c>
      <c r="AA469" t="s">
        <v>957</v>
      </c>
      <c r="AB469" t="s">
        <v>92</v>
      </c>
      <c r="AC469" t="s">
        <v>940</v>
      </c>
      <c r="AD469" t="s">
        <v>940</v>
      </c>
      <c r="AE469" t="s">
        <v>1782</v>
      </c>
      <c r="AF469" t="s">
        <v>1784</v>
      </c>
      <c r="AG469" t="s">
        <v>1782</v>
      </c>
      <c r="AI469" t="s">
        <v>30</v>
      </c>
      <c r="AJ469" t="s">
        <v>1636</v>
      </c>
      <c r="AK469" t="s">
        <v>1637</v>
      </c>
      <c r="AL469" s="4">
        <v>20</v>
      </c>
      <c r="AM469" t="s">
        <v>185</v>
      </c>
      <c r="AN469">
        <v>20</v>
      </c>
      <c r="AO469" t="s">
        <v>1665</v>
      </c>
      <c r="AP469" t="s">
        <v>1639</v>
      </c>
      <c r="AQ469" t="s">
        <v>1685</v>
      </c>
      <c r="AR469" t="s">
        <v>1686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 t="s">
        <v>1642</v>
      </c>
    </row>
    <row r="470" spans="1:51">
      <c r="A470" t="s">
        <v>940</v>
      </c>
      <c r="B470" t="s">
        <v>959</v>
      </c>
      <c r="C470" t="s">
        <v>942</v>
      </c>
      <c r="D470" t="s">
        <v>943</v>
      </c>
      <c r="E470" t="s">
        <v>96</v>
      </c>
      <c r="F470">
        <v>10</v>
      </c>
      <c r="G470" t="s">
        <v>185</v>
      </c>
      <c r="H470" t="s">
        <v>376</v>
      </c>
      <c r="I470" t="s">
        <v>377</v>
      </c>
      <c r="J470" t="s">
        <v>944</v>
      </c>
      <c r="K470" t="s">
        <v>29</v>
      </c>
      <c r="L470" t="s">
        <v>337</v>
      </c>
      <c r="M470" t="s">
        <v>188</v>
      </c>
      <c r="N470" s="7">
        <v>3.06</v>
      </c>
      <c r="O470" s="7"/>
      <c r="P470" s="7">
        <v>5</v>
      </c>
      <c r="Q470" s="7">
        <v>3.18</v>
      </c>
      <c r="R470" s="7"/>
      <c r="S470" s="7">
        <v>5</v>
      </c>
      <c r="T470" s="7">
        <v>0.1</v>
      </c>
      <c r="U470" s="7">
        <v>0.08</v>
      </c>
      <c r="V470" s="7">
        <v>3.8466280827796143E-2</v>
      </c>
      <c r="W470" s="7">
        <v>3.4017033396602204E-4</v>
      </c>
      <c r="X470" t="s">
        <v>379</v>
      </c>
      <c r="Y470" t="s">
        <v>380</v>
      </c>
      <c r="Z470" t="s">
        <v>381</v>
      </c>
      <c r="AA470" t="s">
        <v>960</v>
      </c>
      <c r="AB470" t="s">
        <v>92</v>
      </c>
      <c r="AC470" t="s">
        <v>940</v>
      </c>
      <c r="AD470" t="s">
        <v>940</v>
      </c>
      <c r="AE470" t="s">
        <v>1782</v>
      </c>
      <c r="AF470" t="s">
        <v>1783</v>
      </c>
      <c r="AG470" t="s">
        <v>1782</v>
      </c>
      <c r="AI470" t="s">
        <v>337</v>
      </c>
      <c r="AJ470" t="s">
        <v>1636</v>
      </c>
      <c r="AK470" t="s">
        <v>1637</v>
      </c>
      <c r="AL470" s="4">
        <v>10</v>
      </c>
      <c r="AM470" t="s">
        <v>185</v>
      </c>
      <c r="AN470">
        <v>10</v>
      </c>
      <c r="AO470" t="s">
        <v>1665</v>
      </c>
      <c r="AP470" t="s">
        <v>1639</v>
      </c>
      <c r="AQ470" t="s">
        <v>1685</v>
      </c>
      <c r="AR470" t="s">
        <v>1686</v>
      </c>
      <c r="AS470">
        <v>1</v>
      </c>
      <c r="AT470">
        <v>0</v>
      </c>
      <c r="AU470">
        <v>0</v>
      </c>
      <c r="AV470">
        <v>0</v>
      </c>
      <c r="AW470">
        <v>0</v>
      </c>
      <c r="AX470">
        <v>0</v>
      </c>
      <c r="AY470" t="s">
        <v>1642</v>
      </c>
    </row>
    <row r="471" spans="1:51">
      <c r="A471" t="s">
        <v>940</v>
      </c>
      <c r="B471" t="s">
        <v>961</v>
      </c>
      <c r="C471" t="s">
        <v>942</v>
      </c>
      <c r="D471" t="s">
        <v>943</v>
      </c>
      <c r="E471" t="s">
        <v>96</v>
      </c>
      <c r="F471">
        <v>20</v>
      </c>
      <c r="G471" t="s">
        <v>185</v>
      </c>
      <c r="H471" t="s">
        <v>376</v>
      </c>
      <c r="I471" t="s">
        <v>377</v>
      </c>
      <c r="J471" t="s">
        <v>944</v>
      </c>
      <c r="K471" t="s">
        <v>29</v>
      </c>
      <c r="L471" t="s">
        <v>337</v>
      </c>
      <c r="M471" t="s">
        <v>188</v>
      </c>
      <c r="N471" s="7">
        <v>3.06</v>
      </c>
      <c r="O471" s="7"/>
      <c r="P471" s="7">
        <v>5</v>
      </c>
      <c r="Q471" s="7">
        <v>3.35</v>
      </c>
      <c r="R471" s="7"/>
      <c r="S471" s="7">
        <v>5</v>
      </c>
      <c r="T471" s="7">
        <v>0.1</v>
      </c>
      <c r="U471" s="7">
        <v>0.12</v>
      </c>
      <c r="V471" s="7">
        <v>9.0545429872685754E-2</v>
      </c>
      <c r="W471" s="7">
        <v>4.7022037370249834E-4</v>
      </c>
      <c r="X471" t="s">
        <v>379</v>
      </c>
      <c r="Y471" t="s">
        <v>380</v>
      </c>
      <c r="Z471" t="s">
        <v>381</v>
      </c>
      <c r="AA471" t="s">
        <v>960</v>
      </c>
      <c r="AB471" t="s">
        <v>92</v>
      </c>
      <c r="AC471" t="s">
        <v>940</v>
      </c>
      <c r="AD471" t="s">
        <v>940</v>
      </c>
      <c r="AE471" t="s">
        <v>1782</v>
      </c>
      <c r="AF471" t="s">
        <v>1784</v>
      </c>
      <c r="AG471" t="s">
        <v>1782</v>
      </c>
      <c r="AI471" t="s">
        <v>337</v>
      </c>
      <c r="AJ471" t="s">
        <v>1636</v>
      </c>
      <c r="AK471" t="s">
        <v>1637</v>
      </c>
      <c r="AL471" s="4">
        <v>20</v>
      </c>
      <c r="AM471" t="s">
        <v>185</v>
      </c>
      <c r="AN471">
        <v>20</v>
      </c>
      <c r="AO471" t="s">
        <v>1665</v>
      </c>
      <c r="AP471" t="s">
        <v>1639</v>
      </c>
      <c r="AQ471" t="s">
        <v>1685</v>
      </c>
      <c r="AR471" t="s">
        <v>1686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 t="s">
        <v>1642</v>
      </c>
    </row>
    <row r="472" spans="1:51">
      <c r="A472" t="s">
        <v>940</v>
      </c>
      <c r="B472" t="s">
        <v>962</v>
      </c>
      <c r="C472" t="s">
        <v>942</v>
      </c>
      <c r="D472" t="s">
        <v>943</v>
      </c>
      <c r="E472" t="s">
        <v>96</v>
      </c>
      <c r="F472">
        <v>10</v>
      </c>
      <c r="G472" t="s">
        <v>185</v>
      </c>
      <c r="H472" t="s">
        <v>376</v>
      </c>
      <c r="I472" t="s">
        <v>377</v>
      </c>
      <c r="J472" t="s">
        <v>963</v>
      </c>
      <c r="K472" t="s">
        <v>149</v>
      </c>
      <c r="L472" t="s">
        <v>40</v>
      </c>
      <c r="M472" t="s">
        <v>188</v>
      </c>
      <c r="N472" s="7">
        <v>17.32</v>
      </c>
      <c r="O472" s="7"/>
      <c r="P472" s="7">
        <v>5</v>
      </c>
      <c r="Q472" s="7">
        <v>18.899999999999999</v>
      </c>
      <c r="R472" s="7"/>
      <c r="S472" s="7">
        <v>5</v>
      </c>
      <c r="T472" s="7">
        <v>1.07</v>
      </c>
      <c r="U472" s="7">
        <v>0.57999999999999996</v>
      </c>
      <c r="V472" s="7">
        <v>8.7300018931307483E-2</v>
      </c>
      <c r="W472" s="7">
        <v>9.5166003806991886E-4</v>
      </c>
      <c r="X472" t="s">
        <v>379</v>
      </c>
      <c r="Y472" t="s">
        <v>380</v>
      </c>
      <c r="Z472" t="s">
        <v>381</v>
      </c>
      <c r="AA472" t="s">
        <v>964</v>
      </c>
      <c r="AB472" t="s">
        <v>92</v>
      </c>
      <c r="AC472" t="s">
        <v>940</v>
      </c>
      <c r="AD472" t="s">
        <v>940</v>
      </c>
      <c r="AE472" t="s">
        <v>1785</v>
      </c>
      <c r="AF472" t="s">
        <v>1786</v>
      </c>
      <c r="AG472" t="s">
        <v>1785</v>
      </c>
      <c r="AI472" t="s">
        <v>40</v>
      </c>
      <c r="AJ472" t="s">
        <v>1636</v>
      </c>
      <c r="AK472" t="s">
        <v>1637</v>
      </c>
      <c r="AL472" s="4">
        <v>10</v>
      </c>
      <c r="AM472" t="s">
        <v>185</v>
      </c>
      <c r="AN472">
        <v>10</v>
      </c>
      <c r="AO472" t="s">
        <v>1665</v>
      </c>
      <c r="AP472" t="s">
        <v>1639</v>
      </c>
      <c r="AQ472" t="s">
        <v>1685</v>
      </c>
      <c r="AR472" t="s">
        <v>1686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 t="s">
        <v>1642</v>
      </c>
    </row>
    <row r="473" spans="1:51">
      <c r="A473" t="s">
        <v>940</v>
      </c>
      <c r="B473" t="s">
        <v>965</v>
      </c>
      <c r="C473" t="s">
        <v>942</v>
      </c>
      <c r="D473" t="s">
        <v>943</v>
      </c>
      <c r="E473" t="s">
        <v>96</v>
      </c>
      <c r="F473">
        <v>20</v>
      </c>
      <c r="G473" t="s">
        <v>185</v>
      </c>
      <c r="H473" t="s">
        <v>376</v>
      </c>
      <c r="I473" t="s">
        <v>377</v>
      </c>
      <c r="J473" t="s">
        <v>963</v>
      </c>
      <c r="K473" t="s">
        <v>149</v>
      </c>
      <c r="L473" t="s">
        <v>40</v>
      </c>
      <c r="M473" t="s">
        <v>188</v>
      </c>
      <c r="N473" s="7">
        <v>17.32</v>
      </c>
      <c r="O473" s="7"/>
      <c r="P473" s="7">
        <v>5</v>
      </c>
      <c r="Q473" s="7">
        <v>20.49</v>
      </c>
      <c r="R473" s="7"/>
      <c r="S473" s="7">
        <v>5</v>
      </c>
      <c r="T473" s="7">
        <v>1.07</v>
      </c>
      <c r="U473" s="7">
        <v>0.89</v>
      </c>
      <c r="V473" s="7">
        <v>0.16807505911651924</v>
      </c>
      <c r="W473" s="7">
        <v>1.1406455802902033E-3</v>
      </c>
      <c r="X473" t="s">
        <v>379</v>
      </c>
      <c r="Y473" t="s">
        <v>380</v>
      </c>
      <c r="Z473" t="s">
        <v>381</v>
      </c>
      <c r="AA473" t="s">
        <v>964</v>
      </c>
      <c r="AB473" t="s">
        <v>92</v>
      </c>
      <c r="AC473" t="s">
        <v>940</v>
      </c>
      <c r="AD473" t="s">
        <v>940</v>
      </c>
      <c r="AE473" t="s">
        <v>1785</v>
      </c>
      <c r="AF473" t="s">
        <v>1787</v>
      </c>
      <c r="AG473" t="s">
        <v>1785</v>
      </c>
      <c r="AI473" t="s">
        <v>40</v>
      </c>
      <c r="AJ473" t="s">
        <v>1636</v>
      </c>
      <c r="AK473" t="s">
        <v>1637</v>
      </c>
      <c r="AL473" s="4">
        <v>20</v>
      </c>
      <c r="AM473" t="s">
        <v>185</v>
      </c>
      <c r="AN473">
        <v>20</v>
      </c>
      <c r="AO473" t="s">
        <v>1665</v>
      </c>
      <c r="AP473" t="s">
        <v>1639</v>
      </c>
      <c r="AQ473" t="s">
        <v>1685</v>
      </c>
      <c r="AR473" t="s">
        <v>1686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 t="s">
        <v>1642</v>
      </c>
    </row>
    <row r="474" spans="1:51">
      <c r="A474" t="s">
        <v>940</v>
      </c>
      <c r="B474" t="s">
        <v>966</v>
      </c>
      <c r="C474" t="s">
        <v>942</v>
      </c>
      <c r="D474" t="s">
        <v>943</v>
      </c>
      <c r="E474" t="s">
        <v>96</v>
      </c>
      <c r="F474">
        <v>10</v>
      </c>
      <c r="G474" t="s">
        <v>185</v>
      </c>
      <c r="H474" t="s">
        <v>376</v>
      </c>
      <c r="I474" t="s">
        <v>377</v>
      </c>
      <c r="J474" t="s">
        <v>963</v>
      </c>
      <c r="K474" t="s">
        <v>149</v>
      </c>
      <c r="L474" t="s">
        <v>30</v>
      </c>
      <c r="M474" t="s">
        <v>188</v>
      </c>
      <c r="N474" s="7">
        <v>9.7200000000000006</v>
      </c>
      <c r="O474" s="7"/>
      <c r="P474" s="7">
        <v>5</v>
      </c>
      <c r="Q474" s="7">
        <v>11.3</v>
      </c>
      <c r="R474" s="7"/>
      <c r="S474" s="7">
        <v>5</v>
      </c>
      <c r="T474" s="7">
        <v>0.98</v>
      </c>
      <c r="U474" s="7">
        <v>1.1100000000000001</v>
      </c>
      <c r="V474" s="7">
        <v>0.15061710724594715</v>
      </c>
      <c r="W474" s="7">
        <v>3.9628873485717635E-3</v>
      </c>
      <c r="X474" t="s">
        <v>379</v>
      </c>
      <c r="Y474" t="s">
        <v>380</v>
      </c>
      <c r="Z474" t="s">
        <v>381</v>
      </c>
      <c r="AA474" t="s">
        <v>967</v>
      </c>
      <c r="AB474" t="s">
        <v>92</v>
      </c>
      <c r="AC474" t="s">
        <v>940</v>
      </c>
      <c r="AD474" t="s">
        <v>940</v>
      </c>
      <c r="AE474" t="s">
        <v>1785</v>
      </c>
      <c r="AF474" t="s">
        <v>1786</v>
      </c>
      <c r="AG474" t="s">
        <v>1785</v>
      </c>
      <c r="AI474" t="s">
        <v>30</v>
      </c>
      <c r="AJ474" t="s">
        <v>1636</v>
      </c>
      <c r="AK474" t="s">
        <v>1637</v>
      </c>
      <c r="AL474" s="4">
        <v>10</v>
      </c>
      <c r="AM474" t="s">
        <v>185</v>
      </c>
      <c r="AN474">
        <v>10</v>
      </c>
      <c r="AO474" t="s">
        <v>1665</v>
      </c>
      <c r="AP474" t="s">
        <v>1639</v>
      </c>
      <c r="AQ474" t="s">
        <v>1685</v>
      </c>
      <c r="AR474" t="s">
        <v>1686</v>
      </c>
      <c r="AS474">
        <v>1</v>
      </c>
      <c r="AT474">
        <v>0</v>
      </c>
      <c r="AU474">
        <v>0</v>
      </c>
      <c r="AV474">
        <v>0</v>
      </c>
      <c r="AW474">
        <v>0</v>
      </c>
      <c r="AX474">
        <v>0</v>
      </c>
      <c r="AY474" t="s">
        <v>1642</v>
      </c>
    </row>
    <row r="475" spans="1:51">
      <c r="A475" t="s">
        <v>940</v>
      </c>
      <c r="B475" t="s">
        <v>968</v>
      </c>
      <c r="C475" t="s">
        <v>942</v>
      </c>
      <c r="D475" t="s">
        <v>943</v>
      </c>
      <c r="E475" t="s">
        <v>96</v>
      </c>
      <c r="F475">
        <v>20</v>
      </c>
      <c r="G475" t="s">
        <v>185</v>
      </c>
      <c r="H475" t="s">
        <v>376</v>
      </c>
      <c r="I475" t="s">
        <v>377</v>
      </c>
      <c r="J475" t="s">
        <v>963</v>
      </c>
      <c r="K475" t="s">
        <v>149</v>
      </c>
      <c r="L475" t="s">
        <v>30</v>
      </c>
      <c r="M475" t="s">
        <v>188</v>
      </c>
      <c r="N475" s="7">
        <v>9.7200000000000006</v>
      </c>
      <c r="O475" s="7"/>
      <c r="P475" s="7">
        <v>5</v>
      </c>
      <c r="Q475" s="7">
        <v>12.59</v>
      </c>
      <c r="R475" s="7"/>
      <c r="S475" s="7">
        <v>5</v>
      </c>
      <c r="T475" s="7">
        <v>0.98</v>
      </c>
      <c r="U475" s="7">
        <v>0.69</v>
      </c>
      <c r="V475" s="7">
        <v>0.25871722958390803</v>
      </c>
      <c r="W475" s="7">
        <v>2.6337836896113583E-3</v>
      </c>
      <c r="X475" t="s">
        <v>379</v>
      </c>
      <c r="Y475" t="s">
        <v>380</v>
      </c>
      <c r="Z475" t="s">
        <v>381</v>
      </c>
      <c r="AA475" t="s">
        <v>967</v>
      </c>
      <c r="AB475" t="s">
        <v>92</v>
      </c>
      <c r="AC475" t="s">
        <v>940</v>
      </c>
      <c r="AD475" t="s">
        <v>940</v>
      </c>
      <c r="AE475" t="s">
        <v>1785</v>
      </c>
      <c r="AF475" t="s">
        <v>1787</v>
      </c>
      <c r="AG475" t="s">
        <v>1785</v>
      </c>
      <c r="AI475" t="s">
        <v>30</v>
      </c>
      <c r="AJ475" t="s">
        <v>1636</v>
      </c>
      <c r="AK475" t="s">
        <v>1637</v>
      </c>
      <c r="AL475" s="4">
        <v>20</v>
      </c>
      <c r="AM475" t="s">
        <v>185</v>
      </c>
      <c r="AN475">
        <v>20</v>
      </c>
      <c r="AO475" t="s">
        <v>1665</v>
      </c>
      <c r="AP475" t="s">
        <v>1639</v>
      </c>
      <c r="AQ475" t="s">
        <v>1685</v>
      </c>
      <c r="AR475" t="s">
        <v>1686</v>
      </c>
      <c r="AS475">
        <v>1</v>
      </c>
      <c r="AT475">
        <v>0</v>
      </c>
      <c r="AU475">
        <v>0</v>
      </c>
      <c r="AV475">
        <v>0</v>
      </c>
      <c r="AW475">
        <v>0</v>
      </c>
      <c r="AX475">
        <v>0</v>
      </c>
      <c r="AY475" t="s">
        <v>1642</v>
      </c>
    </row>
    <row r="476" spans="1:51">
      <c r="A476" t="s">
        <v>940</v>
      </c>
      <c r="B476" t="s">
        <v>969</v>
      </c>
      <c r="C476" t="s">
        <v>942</v>
      </c>
      <c r="D476" t="s">
        <v>943</v>
      </c>
      <c r="E476" t="s">
        <v>96</v>
      </c>
      <c r="F476">
        <v>10</v>
      </c>
      <c r="G476" t="s">
        <v>185</v>
      </c>
      <c r="H476" t="s">
        <v>376</v>
      </c>
      <c r="I476" t="s">
        <v>377</v>
      </c>
      <c r="J476" t="s">
        <v>963</v>
      </c>
      <c r="K476" t="s">
        <v>149</v>
      </c>
      <c r="L476" t="s">
        <v>337</v>
      </c>
      <c r="M476" t="s">
        <v>188</v>
      </c>
      <c r="N476" s="7">
        <v>2.7</v>
      </c>
      <c r="O476" s="7"/>
      <c r="P476" s="7">
        <v>5</v>
      </c>
      <c r="Q476" s="7">
        <v>2.9</v>
      </c>
      <c r="R476" s="7"/>
      <c r="S476" s="7">
        <v>5</v>
      </c>
      <c r="T476" s="7">
        <v>0.15</v>
      </c>
      <c r="U476" s="7">
        <v>0.15</v>
      </c>
      <c r="V476" s="7">
        <v>7.1458963982144852E-2</v>
      </c>
      <c r="W476" s="7">
        <v>1.1523612395590199E-3</v>
      </c>
      <c r="X476" t="s">
        <v>379</v>
      </c>
      <c r="Y476" t="s">
        <v>380</v>
      </c>
      <c r="Z476" t="s">
        <v>381</v>
      </c>
      <c r="AA476" t="s">
        <v>970</v>
      </c>
      <c r="AB476" t="s">
        <v>92</v>
      </c>
      <c r="AC476" t="s">
        <v>940</v>
      </c>
      <c r="AD476" t="s">
        <v>940</v>
      </c>
      <c r="AE476" t="s">
        <v>1785</v>
      </c>
      <c r="AF476" t="s">
        <v>1786</v>
      </c>
      <c r="AG476" t="s">
        <v>1785</v>
      </c>
      <c r="AI476" t="s">
        <v>337</v>
      </c>
      <c r="AJ476" t="s">
        <v>1636</v>
      </c>
      <c r="AK476" t="s">
        <v>1637</v>
      </c>
      <c r="AL476" s="4">
        <v>10</v>
      </c>
      <c r="AM476" t="s">
        <v>185</v>
      </c>
      <c r="AN476">
        <v>10</v>
      </c>
      <c r="AO476" t="s">
        <v>1665</v>
      </c>
      <c r="AP476" t="s">
        <v>1639</v>
      </c>
      <c r="AQ476" t="s">
        <v>1685</v>
      </c>
      <c r="AR476" t="s">
        <v>1686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 t="s">
        <v>1642</v>
      </c>
    </row>
    <row r="477" spans="1:51">
      <c r="A477" t="s">
        <v>940</v>
      </c>
      <c r="B477" t="s">
        <v>971</v>
      </c>
      <c r="C477" t="s">
        <v>942</v>
      </c>
      <c r="D477" t="s">
        <v>943</v>
      </c>
      <c r="E477" t="s">
        <v>96</v>
      </c>
      <c r="F477">
        <v>20</v>
      </c>
      <c r="G477" t="s">
        <v>185</v>
      </c>
      <c r="H477" t="s">
        <v>376</v>
      </c>
      <c r="I477" t="s">
        <v>377</v>
      </c>
      <c r="J477" t="s">
        <v>963</v>
      </c>
      <c r="K477" t="s">
        <v>149</v>
      </c>
      <c r="L477" t="s">
        <v>337</v>
      </c>
      <c r="M477" t="s">
        <v>188</v>
      </c>
      <c r="N477" s="7">
        <v>2.7</v>
      </c>
      <c r="O477" s="7"/>
      <c r="P477" s="7">
        <v>5</v>
      </c>
      <c r="Q477" s="7">
        <v>3.12</v>
      </c>
      <c r="R477" s="7"/>
      <c r="S477" s="7">
        <v>5</v>
      </c>
      <c r="T477" s="7">
        <v>0.15</v>
      </c>
      <c r="U477" s="7">
        <v>0.09</v>
      </c>
      <c r="V477" s="7">
        <v>0.14458122881110749</v>
      </c>
      <c r="W477" s="7">
        <v>7.8370406896047912E-4</v>
      </c>
      <c r="X477" t="s">
        <v>379</v>
      </c>
      <c r="Y477" t="s">
        <v>380</v>
      </c>
      <c r="Z477" t="s">
        <v>381</v>
      </c>
      <c r="AA477" t="s">
        <v>970</v>
      </c>
      <c r="AB477" t="s">
        <v>92</v>
      </c>
      <c r="AC477" t="s">
        <v>940</v>
      </c>
      <c r="AD477" t="s">
        <v>940</v>
      </c>
      <c r="AE477" t="s">
        <v>1785</v>
      </c>
      <c r="AF477" t="s">
        <v>1787</v>
      </c>
      <c r="AG477" t="s">
        <v>1785</v>
      </c>
      <c r="AI477" t="s">
        <v>337</v>
      </c>
      <c r="AJ477" t="s">
        <v>1636</v>
      </c>
      <c r="AK477" t="s">
        <v>1637</v>
      </c>
      <c r="AL477" s="4">
        <v>20</v>
      </c>
      <c r="AM477" t="s">
        <v>185</v>
      </c>
      <c r="AN477">
        <v>20</v>
      </c>
      <c r="AO477" t="s">
        <v>1665</v>
      </c>
      <c r="AP477" t="s">
        <v>1639</v>
      </c>
      <c r="AQ477" t="s">
        <v>1685</v>
      </c>
      <c r="AR477" t="s">
        <v>1686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 t="s">
        <v>1642</v>
      </c>
    </row>
    <row r="478" spans="1:51">
      <c r="A478" t="s">
        <v>940</v>
      </c>
      <c r="B478" t="s">
        <v>972</v>
      </c>
      <c r="C478" t="s">
        <v>942</v>
      </c>
      <c r="D478" t="s">
        <v>943</v>
      </c>
      <c r="E478" t="s">
        <v>96</v>
      </c>
      <c r="F478">
        <v>10</v>
      </c>
      <c r="G478" t="s">
        <v>185</v>
      </c>
      <c r="H478" t="s">
        <v>376</v>
      </c>
      <c r="I478" t="s">
        <v>377</v>
      </c>
      <c r="J478" t="s">
        <v>963</v>
      </c>
      <c r="K478" t="s">
        <v>29</v>
      </c>
      <c r="L478" t="s">
        <v>40</v>
      </c>
      <c r="M478" t="s">
        <v>188</v>
      </c>
      <c r="N478" s="7">
        <v>13.8</v>
      </c>
      <c r="O478" s="7"/>
      <c r="P478" s="7">
        <v>5</v>
      </c>
      <c r="Q478" s="7">
        <v>15.35</v>
      </c>
      <c r="R478" s="7"/>
      <c r="S478" s="7">
        <v>5</v>
      </c>
      <c r="T478" s="7">
        <v>0.73</v>
      </c>
      <c r="U478" s="7">
        <v>0.51</v>
      </c>
      <c r="V478" s="7">
        <v>0.106446881870047</v>
      </c>
      <c r="W478" s="7">
        <v>7.804282120226785E-4</v>
      </c>
      <c r="X478" t="s">
        <v>379</v>
      </c>
      <c r="Y478" t="s">
        <v>380</v>
      </c>
      <c r="Z478" t="s">
        <v>381</v>
      </c>
      <c r="AA478" t="s">
        <v>973</v>
      </c>
      <c r="AB478" t="s">
        <v>92</v>
      </c>
      <c r="AC478" t="s">
        <v>940</v>
      </c>
      <c r="AD478" t="s">
        <v>940</v>
      </c>
      <c r="AE478" t="s">
        <v>1785</v>
      </c>
      <c r="AF478" t="s">
        <v>1786</v>
      </c>
      <c r="AG478" t="s">
        <v>1785</v>
      </c>
      <c r="AI478" t="s">
        <v>40</v>
      </c>
      <c r="AJ478" t="s">
        <v>1636</v>
      </c>
      <c r="AK478" t="s">
        <v>1637</v>
      </c>
      <c r="AL478" s="4">
        <v>10</v>
      </c>
      <c r="AM478" t="s">
        <v>185</v>
      </c>
      <c r="AN478">
        <v>10</v>
      </c>
      <c r="AO478" t="s">
        <v>1665</v>
      </c>
      <c r="AP478" t="s">
        <v>1639</v>
      </c>
      <c r="AQ478" t="s">
        <v>1685</v>
      </c>
      <c r="AR478" t="s">
        <v>1686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 t="s">
        <v>1642</v>
      </c>
    </row>
    <row r="479" spans="1:51">
      <c r="A479" t="s">
        <v>940</v>
      </c>
      <c r="B479" t="s">
        <v>974</v>
      </c>
      <c r="C479" t="s">
        <v>942</v>
      </c>
      <c r="D479" t="s">
        <v>943</v>
      </c>
      <c r="E479" t="s">
        <v>96</v>
      </c>
      <c r="F479">
        <v>20</v>
      </c>
      <c r="G479" t="s">
        <v>185</v>
      </c>
      <c r="H479" t="s">
        <v>376</v>
      </c>
      <c r="I479" t="s">
        <v>377</v>
      </c>
      <c r="J479" t="s">
        <v>963</v>
      </c>
      <c r="K479" t="s">
        <v>29</v>
      </c>
      <c r="L479" t="s">
        <v>40</v>
      </c>
      <c r="M479" t="s">
        <v>188</v>
      </c>
      <c r="N479" s="7">
        <v>13.8</v>
      </c>
      <c r="O479" s="7"/>
      <c r="P479" s="7">
        <v>5</v>
      </c>
      <c r="Q479" s="7">
        <v>15.5</v>
      </c>
      <c r="R479" s="7"/>
      <c r="S479" s="7">
        <v>5</v>
      </c>
      <c r="T479" s="7">
        <v>0.73</v>
      </c>
      <c r="U479" s="7">
        <v>0.56000000000000005</v>
      </c>
      <c r="V479" s="7">
        <v>0.11617143176204182</v>
      </c>
      <c r="W479" s="7">
        <v>8.2071272813426634E-4</v>
      </c>
      <c r="X479" t="s">
        <v>379</v>
      </c>
      <c r="Y479" t="s">
        <v>380</v>
      </c>
      <c r="Z479" t="s">
        <v>381</v>
      </c>
      <c r="AA479" t="s">
        <v>973</v>
      </c>
      <c r="AB479" t="s">
        <v>92</v>
      </c>
      <c r="AC479" t="s">
        <v>940</v>
      </c>
      <c r="AD479" t="s">
        <v>940</v>
      </c>
      <c r="AE479" t="s">
        <v>1785</v>
      </c>
      <c r="AF479" t="s">
        <v>1787</v>
      </c>
      <c r="AG479" t="s">
        <v>1785</v>
      </c>
      <c r="AI479" t="s">
        <v>40</v>
      </c>
      <c r="AJ479" t="s">
        <v>1636</v>
      </c>
      <c r="AK479" t="s">
        <v>1637</v>
      </c>
      <c r="AL479" s="4">
        <v>20</v>
      </c>
      <c r="AM479" t="s">
        <v>185</v>
      </c>
      <c r="AN479">
        <v>20</v>
      </c>
      <c r="AO479" t="s">
        <v>1665</v>
      </c>
      <c r="AP479" t="s">
        <v>1639</v>
      </c>
      <c r="AQ479" t="s">
        <v>1685</v>
      </c>
      <c r="AR479" t="s">
        <v>1686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0</v>
      </c>
      <c r="AY479" t="s">
        <v>1642</v>
      </c>
    </row>
    <row r="480" spans="1:51">
      <c r="A480" t="s">
        <v>940</v>
      </c>
      <c r="B480" t="s">
        <v>975</v>
      </c>
      <c r="C480" t="s">
        <v>942</v>
      </c>
      <c r="D480" t="s">
        <v>943</v>
      </c>
      <c r="E480" t="s">
        <v>96</v>
      </c>
      <c r="F480">
        <v>10</v>
      </c>
      <c r="G480" t="s">
        <v>185</v>
      </c>
      <c r="H480" t="s">
        <v>376</v>
      </c>
      <c r="I480" t="s">
        <v>377</v>
      </c>
      <c r="J480" t="s">
        <v>963</v>
      </c>
      <c r="K480" t="s">
        <v>29</v>
      </c>
      <c r="L480" t="s">
        <v>30</v>
      </c>
      <c r="M480" t="s">
        <v>188</v>
      </c>
      <c r="N480" s="7">
        <v>11.36</v>
      </c>
      <c r="O480" s="7"/>
      <c r="P480" s="7">
        <v>5</v>
      </c>
      <c r="Q480" s="7">
        <v>12.63</v>
      </c>
      <c r="R480" s="7"/>
      <c r="S480" s="7">
        <v>5</v>
      </c>
      <c r="T480" s="7">
        <v>0.84</v>
      </c>
      <c r="U480" s="7">
        <v>0.85</v>
      </c>
      <c r="V480" s="7">
        <v>0.10597652306939459</v>
      </c>
      <c r="W480" s="7">
        <v>1.9993931605952297E-3</v>
      </c>
      <c r="X480" t="s">
        <v>379</v>
      </c>
      <c r="Y480" t="s">
        <v>380</v>
      </c>
      <c r="Z480" t="s">
        <v>381</v>
      </c>
      <c r="AA480" t="s">
        <v>976</v>
      </c>
      <c r="AB480" t="s">
        <v>92</v>
      </c>
      <c r="AC480" t="s">
        <v>940</v>
      </c>
      <c r="AD480" t="s">
        <v>940</v>
      </c>
      <c r="AE480" t="s">
        <v>1785</v>
      </c>
      <c r="AF480" t="s">
        <v>1786</v>
      </c>
      <c r="AG480" t="s">
        <v>1785</v>
      </c>
      <c r="AI480" t="s">
        <v>30</v>
      </c>
      <c r="AJ480" t="s">
        <v>1636</v>
      </c>
      <c r="AK480" t="s">
        <v>1637</v>
      </c>
      <c r="AL480" s="4">
        <v>10</v>
      </c>
      <c r="AM480" t="s">
        <v>185</v>
      </c>
      <c r="AN480">
        <v>10</v>
      </c>
      <c r="AO480" t="s">
        <v>1665</v>
      </c>
      <c r="AP480" t="s">
        <v>1639</v>
      </c>
      <c r="AQ480" t="s">
        <v>1685</v>
      </c>
      <c r="AR480" t="s">
        <v>1686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0</v>
      </c>
      <c r="AY480" t="s">
        <v>1642</v>
      </c>
    </row>
    <row r="481" spans="1:51">
      <c r="A481" t="s">
        <v>940</v>
      </c>
      <c r="B481" t="s">
        <v>977</v>
      </c>
      <c r="C481" t="s">
        <v>942</v>
      </c>
      <c r="D481" t="s">
        <v>943</v>
      </c>
      <c r="E481" t="s">
        <v>96</v>
      </c>
      <c r="F481">
        <v>20</v>
      </c>
      <c r="G481" t="s">
        <v>185</v>
      </c>
      <c r="H481" t="s">
        <v>376</v>
      </c>
      <c r="I481" t="s">
        <v>377</v>
      </c>
      <c r="J481" t="s">
        <v>963</v>
      </c>
      <c r="K481" t="s">
        <v>29</v>
      </c>
      <c r="L481" t="s">
        <v>30</v>
      </c>
      <c r="M481" t="s">
        <v>188</v>
      </c>
      <c r="N481" s="7">
        <v>11.36</v>
      </c>
      <c r="O481" s="7"/>
      <c r="P481" s="7">
        <v>5</v>
      </c>
      <c r="Q481" s="7">
        <v>14.72</v>
      </c>
      <c r="R481" s="7"/>
      <c r="S481" s="7">
        <v>5</v>
      </c>
      <c r="T481" s="7">
        <v>0.84</v>
      </c>
      <c r="U481" s="7">
        <v>0.37</v>
      </c>
      <c r="V481" s="7">
        <v>0.2591087000077249</v>
      </c>
      <c r="W481" s="7">
        <v>1.2198954169208049E-3</v>
      </c>
      <c r="X481" t="s">
        <v>379</v>
      </c>
      <c r="Y481" t="s">
        <v>380</v>
      </c>
      <c r="Z481" t="s">
        <v>381</v>
      </c>
      <c r="AA481" t="s">
        <v>976</v>
      </c>
      <c r="AB481" t="s">
        <v>92</v>
      </c>
      <c r="AC481" t="s">
        <v>940</v>
      </c>
      <c r="AD481" t="s">
        <v>940</v>
      </c>
      <c r="AE481" t="s">
        <v>1785</v>
      </c>
      <c r="AF481" t="s">
        <v>1787</v>
      </c>
      <c r="AG481" t="s">
        <v>1785</v>
      </c>
      <c r="AI481" t="s">
        <v>30</v>
      </c>
      <c r="AJ481" t="s">
        <v>1636</v>
      </c>
      <c r="AK481" t="s">
        <v>1637</v>
      </c>
      <c r="AL481" s="4">
        <v>20</v>
      </c>
      <c r="AM481" t="s">
        <v>185</v>
      </c>
      <c r="AN481">
        <v>20</v>
      </c>
      <c r="AO481" t="s">
        <v>1665</v>
      </c>
      <c r="AP481" t="s">
        <v>1639</v>
      </c>
      <c r="AQ481" t="s">
        <v>1685</v>
      </c>
      <c r="AR481" t="s">
        <v>1686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 t="s">
        <v>1642</v>
      </c>
    </row>
    <row r="482" spans="1:51">
      <c r="A482" t="s">
        <v>940</v>
      </c>
      <c r="B482" t="s">
        <v>978</v>
      </c>
      <c r="C482" t="s">
        <v>942</v>
      </c>
      <c r="D482" t="s">
        <v>943</v>
      </c>
      <c r="E482" t="s">
        <v>96</v>
      </c>
      <c r="F482">
        <v>10</v>
      </c>
      <c r="G482" t="s">
        <v>185</v>
      </c>
      <c r="H482" t="s">
        <v>376</v>
      </c>
      <c r="I482" t="s">
        <v>377</v>
      </c>
      <c r="J482" t="s">
        <v>963</v>
      </c>
      <c r="K482" t="s">
        <v>29</v>
      </c>
      <c r="L482" t="s">
        <v>337</v>
      </c>
      <c r="M482" t="s">
        <v>188</v>
      </c>
      <c r="N482" s="7">
        <v>2.4700000000000002</v>
      </c>
      <c r="O482" s="7"/>
      <c r="P482" s="7">
        <v>5</v>
      </c>
      <c r="Q482" s="7">
        <v>2.8</v>
      </c>
      <c r="R482" s="7"/>
      <c r="S482" s="7">
        <v>5</v>
      </c>
      <c r="T482" s="7">
        <v>0.06</v>
      </c>
      <c r="U482" s="7">
        <v>0.16</v>
      </c>
      <c r="V482" s="7">
        <v>0.12540126654127226</v>
      </c>
      <c r="W482" s="7">
        <v>7.7107659927056599E-4</v>
      </c>
      <c r="X482" t="s">
        <v>379</v>
      </c>
      <c r="Y482" t="s">
        <v>380</v>
      </c>
      <c r="Z482" t="s">
        <v>381</v>
      </c>
      <c r="AA482" t="s">
        <v>979</v>
      </c>
      <c r="AB482" t="s">
        <v>92</v>
      </c>
      <c r="AC482" t="s">
        <v>940</v>
      </c>
      <c r="AD482" t="s">
        <v>940</v>
      </c>
      <c r="AE482" t="s">
        <v>1785</v>
      </c>
      <c r="AF482" t="s">
        <v>1786</v>
      </c>
      <c r="AG482" t="s">
        <v>1785</v>
      </c>
      <c r="AI482" t="s">
        <v>337</v>
      </c>
      <c r="AJ482" t="s">
        <v>1636</v>
      </c>
      <c r="AK482" t="s">
        <v>1637</v>
      </c>
      <c r="AL482" s="4">
        <v>10</v>
      </c>
      <c r="AM482" t="s">
        <v>185</v>
      </c>
      <c r="AN482">
        <v>10</v>
      </c>
      <c r="AO482" t="s">
        <v>1665</v>
      </c>
      <c r="AP482" t="s">
        <v>1639</v>
      </c>
      <c r="AQ482" t="s">
        <v>1685</v>
      </c>
      <c r="AR482" t="s">
        <v>1686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 t="s">
        <v>1642</v>
      </c>
    </row>
    <row r="483" spans="1:51">
      <c r="A483" t="s">
        <v>940</v>
      </c>
      <c r="B483" t="s">
        <v>980</v>
      </c>
      <c r="C483" t="s">
        <v>942</v>
      </c>
      <c r="D483" t="s">
        <v>943</v>
      </c>
      <c r="E483" t="s">
        <v>96</v>
      </c>
      <c r="F483">
        <v>20</v>
      </c>
      <c r="G483" t="s">
        <v>185</v>
      </c>
      <c r="H483" t="s">
        <v>376</v>
      </c>
      <c r="I483" t="s">
        <v>377</v>
      </c>
      <c r="J483" t="s">
        <v>963</v>
      </c>
      <c r="K483" t="s">
        <v>29</v>
      </c>
      <c r="L483" t="s">
        <v>337</v>
      </c>
      <c r="M483" t="s">
        <v>188</v>
      </c>
      <c r="N483" s="7">
        <v>2.4700000000000002</v>
      </c>
      <c r="O483" s="7"/>
      <c r="P483" s="7">
        <v>5</v>
      </c>
      <c r="Q483" s="7">
        <v>2.69</v>
      </c>
      <c r="R483" s="7"/>
      <c r="S483" s="7">
        <v>5</v>
      </c>
      <c r="T483" s="7">
        <v>0.06</v>
      </c>
      <c r="U483" s="7">
        <v>0.18</v>
      </c>
      <c r="V483" s="7">
        <v>8.5323042973861868E-2</v>
      </c>
      <c r="W483" s="7">
        <v>1.0135253870802131E-3</v>
      </c>
      <c r="X483" t="s">
        <v>379</v>
      </c>
      <c r="Y483" t="s">
        <v>380</v>
      </c>
      <c r="Z483" t="s">
        <v>381</v>
      </c>
      <c r="AA483" t="s">
        <v>979</v>
      </c>
      <c r="AB483" t="s">
        <v>92</v>
      </c>
      <c r="AC483" t="s">
        <v>940</v>
      </c>
      <c r="AD483" t="s">
        <v>940</v>
      </c>
      <c r="AE483" t="s">
        <v>1785</v>
      </c>
      <c r="AF483" t="s">
        <v>1787</v>
      </c>
      <c r="AG483" t="s">
        <v>1785</v>
      </c>
      <c r="AI483" t="s">
        <v>337</v>
      </c>
      <c r="AJ483" t="s">
        <v>1636</v>
      </c>
      <c r="AK483" t="s">
        <v>1637</v>
      </c>
      <c r="AL483" s="4">
        <v>20</v>
      </c>
      <c r="AM483" t="s">
        <v>185</v>
      </c>
      <c r="AN483">
        <v>20</v>
      </c>
      <c r="AO483" t="s">
        <v>1665</v>
      </c>
      <c r="AP483" t="s">
        <v>1639</v>
      </c>
      <c r="AQ483" t="s">
        <v>1685</v>
      </c>
      <c r="AR483" t="s">
        <v>1686</v>
      </c>
      <c r="AS483">
        <v>1</v>
      </c>
      <c r="AT483">
        <v>0</v>
      </c>
      <c r="AU483">
        <v>0</v>
      </c>
      <c r="AV483">
        <v>0</v>
      </c>
      <c r="AW483">
        <v>0</v>
      </c>
      <c r="AX483">
        <v>0</v>
      </c>
      <c r="AY483" t="s">
        <v>1642</v>
      </c>
    </row>
    <row r="484" spans="1:51">
      <c r="A484" t="s">
        <v>981</v>
      </c>
      <c r="B484" t="s">
        <v>982</v>
      </c>
      <c r="C484" t="s">
        <v>983</v>
      </c>
      <c r="E484" t="s">
        <v>562</v>
      </c>
      <c r="F484">
        <v>0.5</v>
      </c>
      <c r="G484" t="s">
        <v>185</v>
      </c>
      <c r="H484" t="s">
        <v>675</v>
      </c>
      <c r="I484" t="s">
        <v>85</v>
      </c>
      <c r="J484" t="s">
        <v>86</v>
      </c>
      <c r="K484" t="s">
        <v>984</v>
      </c>
      <c r="L484" t="s">
        <v>42</v>
      </c>
      <c r="M484" t="s">
        <v>188</v>
      </c>
      <c r="N484" s="7">
        <v>11.1</v>
      </c>
      <c r="O484" s="7">
        <v>0.55000000000000004</v>
      </c>
      <c r="P484" s="7">
        <v>3</v>
      </c>
      <c r="Q484" s="7">
        <v>13.167929999999998</v>
      </c>
      <c r="R484" s="7">
        <v>0.55000000000000004</v>
      </c>
      <c r="S484" s="7">
        <v>3</v>
      </c>
      <c r="T484" s="7">
        <v>0.95262794416288255</v>
      </c>
      <c r="U484" s="7">
        <v>0.95262794416288255</v>
      </c>
      <c r="V484" s="7">
        <v>0.17083921968492047</v>
      </c>
      <c r="W484" s="7">
        <v>4.1997357364670553E-3</v>
      </c>
      <c r="X484" t="s">
        <v>985</v>
      </c>
      <c r="Y484" t="s">
        <v>986</v>
      </c>
      <c r="Z484" t="s">
        <v>515</v>
      </c>
      <c r="AA484" t="s">
        <v>987</v>
      </c>
      <c r="AB484" t="s">
        <v>92</v>
      </c>
      <c r="AC484" t="s">
        <v>981</v>
      </c>
      <c r="AD484" t="s">
        <v>981</v>
      </c>
      <c r="AE484" t="s">
        <v>1788</v>
      </c>
      <c r="AF484" t="s">
        <v>1789</v>
      </c>
      <c r="AG484" t="s">
        <v>1788</v>
      </c>
      <c r="AI484" t="s">
        <v>42</v>
      </c>
      <c r="AJ484" t="s">
        <v>1636</v>
      </c>
      <c r="AK484" t="s">
        <v>1637</v>
      </c>
      <c r="AL484" s="4">
        <v>0.5</v>
      </c>
      <c r="AM484" t="s">
        <v>185</v>
      </c>
      <c r="AN484">
        <v>0.5</v>
      </c>
      <c r="AO484" t="s">
        <v>1665</v>
      </c>
      <c r="AP484" t="s">
        <v>1639</v>
      </c>
      <c r="AQ484" t="s">
        <v>1640</v>
      </c>
      <c r="AR484" t="s">
        <v>1641</v>
      </c>
      <c r="AS484">
        <v>1</v>
      </c>
      <c r="AT484">
        <v>0</v>
      </c>
      <c r="AU484">
        <v>0</v>
      </c>
      <c r="AV484">
        <v>1</v>
      </c>
      <c r="AW484">
        <v>0</v>
      </c>
      <c r="AX484">
        <v>0</v>
      </c>
      <c r="AY484" t="s">
        <v>1642</v>
      </c>
    </row>
    <row r="485" spans="1:51">
      <c r="A485" t="s">
        <v>981</v>
      </c>
      <c r="B485" t="s">
        <v>988</v>
      </c>
      <c r="C485" t="s">
        <v>983</v>
      </c>
      <c r="E485" t="s">
        <v>562</v>
      </c>
      <c r="F485">
        <v>1</v>
      </c>
      <c r="G485" t="s">
        <v>185</v>
      </c>
      <c r="H485" t="s">
        <v>675</v>
      </c>
      <c r="I485" t="s">
        <v>85</v>
      </c>
      <c r="J485" t="s">
        <v>86</v>
      </c>
      <c r="K485" t="s">
        <v>984</v>
      </c>
      <c r="L485" t="s">
        <v>42</v>
      </c>
      <c r="M485" t="s">
        <v>188</v>
      </c>
      <c r="N485" s="7">
        <v>11.1</v>
      </c>
      <c r="O485" s="7">
        <v>0.55000000000000004</v>
      </c>
      <c r="P485" s="7">
        <v>3</v>
      </c>
      <c r="Q485" s="7">
        <v>15.36462</v>
      </c>
      <c r="R485" s="7">
        <v>0.6</v>
      </c>
      <c r="S485" s="7">
        <v>3</v>
      </c>
      <c r="T485" s="7">
        <v>0.95262794416288255</v>
      </c>
      <c r="U485" s="7">
        <v>1.0392304845413263</v>
      </c>
      <c r="V485" s="7">
        <v>0.32512235542562601</v>
      </c>
      <c r="W485" s="7">
        <v>3.9801192692535681E-3</v>
      </c>
      <c r="X485" t="s">
        <v>985</v>
      </c>
      <c r="Y485" t="s">
        <v>986</v>
      </c>
      <c r="Z485" t="s">
        <v>515</v>
      </c>
      <c r="AA485" t="s">
        <v>987</v>
      </c>
      <c r="AB485" t="s">
        <v>92</v>
      </c>
      <c r="AC485" t="s">
        <v>981</v>
      </c>
      <c r="AD485" t="s">
        <v>981</v>
      </c>
      <c r="AE485" t="s">
        <v>1788</v>
      </c>
      <c r="AF485" t="s">
        <v>1790</v>
      </c>
      <c r="AG485" t="s">
        <v>1788</v>
      </c>
      <c r="AI485" t="s">
        <v>42</v>
      </c>
      <c r="AJ485" t="s">
        <v>1636</v>
      </c>
      <c r="AK485" t="s">
        <v>1637</v>
      </c>
      <c r="AL485" s="4">
        <v>1</v>
      </c>
      <c r="AM485" t="s">
        <v>185</v>
      </c>
      <c r="AN485">
        <v>1</v>
      </c>
      <c r="AO485" t="s">
        <v>1665</v>
      </c>
      <c r="AP485" t="s">
        <v>1639</v>
      </c>
      <c r="AQ485" t="s">
        <v>1640</v>
      </c>
      <c r="AR485" t="s">
        <v>1641</v>
      </c>
      <c r="AS485">
        <v>1</v>
      </c>
      <c r="AT485">
        <v>0</v>
      </c>
      <c r="AU485">
        <v>0</v>
      </c>
      <c r="AV485">
        <v>1</v>
      </c>
      <c r="AW485">
        <v>0</v>
      </c>
      <c r="AX485">
        <v>0</v>
      </c>
      <c r="AY485" t="s">
        <v>1642</v>
      </c>
    </row>
    <row r="486" spans="1:51">
      <c r="A486" t="s">
        <v>981</v>
      </c>
      <c r="B486" t="s">
        <v>989</v>
      </c>
      <c r="C486" t="s">
        <v>983</v>
      </c>
      <c r="E486" t="s">
        <v>562</v>
      </c>
      <c r="F486">
        <v>2</v>
      </c>
      <c r="G486" t="s">
        <v>185</v>
      </c>
      <c r="H486" t="s">
        <v>675</v>
      </c>
      <c r="I486" t="s">
        <v>85</v>
      </c>
      <c r="J486" t="s">
        <v>86</v>
      </c>
      <c r="K486" t="s">
        <v>984</v>
      </c>
      <c r="L486" t="s">
        <v>42</v>
      </c>
      <c r="M486" t="s">
        <v>188</v>
      </c>
      <c r="N486" s="7">
        <v>11.1</v>
      </c>
      <c r="O486" s="7">
        <v>0.55000000000000004</v>
      </c>
      <c r="P486" s="7">
        <v>3</v>
      </c>
      <c r="Q486" s="7">
        <v>16.654439999999997</v>
      </c>
      <c r="R486" s="7">
        <v>0.65</v>
      </c>
      <c r="S486" s="7">
        <v>3</v>
      </c>
      <c r="T486" s="7">
        <v>0.95262794416288255</v>
      </c>
      <c r="U486" s="7">
        <v>1.1258330249197701</v>
      </c>
      <c r="V486" s="7">
        <v>0.40573173922559502</v>
      </c>
      <c r="W486" s="7">
        <v>3.9783919298324033E-3</v>
      </c>
      <c r="X486" t="s">
        <v>985</v>
      </c>
      <c r="Y486" t="s">
        <v>986</v>
      </c>
      <c r="Z486" t="s">
        <v>515</v>
      </c>
      <c r="AA486" t="s">
        <v>987</v>
      </c>
      <c r="AB486" t="s">
        <v>92</v>
      </c>
      <c r="AC486" t="s">
        <v>981</v>
      </c>
      <c r="AD486" t="s">
        <v>981</v>
      </c>
      <c r="AE486" t="s">
        <v>1788</v>
      </c>
      <c r="AF486" t="s">
        <v>1791</v>
      </c>
      <c r="AG486" t="s">
        <v>1788</v>
      </c>
      <c r="AI486" t="s">
        <v>42</v>
      </c>
      <c r="AJ486" t="s">
        <v>1636</v>
      </c>
      <c r="AK486" t="s">
        <v>1637</v>
      </c>
      <c r="AL486" s="4">
        <v>2</v>
      </c>
      <c r="AM486" t="s">
        <v>185</v>
      </c>
      <c r="AN486">
        <v>2</v>
      </c>
      <c r="AO486" t="s">
        <v>1665</v>
      </c>
      <c r="AP486" t="s">
        <v>1639</v>
      </c>
      <c r="AQ486" t="s">
        <v>1640</v>
      </c>
      <c r="AR486" t="s">
        <v>1641</v>
      </c>
      <c r="AS486">
        <v>1</v>
      </c>
      <c r="AT486">
        <v>0</v>
      </c>
      <c r="AU486">
        <v>0</v>
      </c>
      <c r="AV486">
        <v>1</v>
      </c>
      <c r="AW486">
        <v>0</v>
      </c>
      <c r="AX486">
        <v>0</v>
      </c>
      <c r="AY486" t="s">
        <v>1642</v>
      </c>
    </row>
    <row r="487" spans="1:51">
      <c r="A487" t="s">
        <v>981</v>
      </c>
      <c r="B487" t="s">
        <v>990</v>
      </c>
      <c r="C487" t="s">
        <v>983</v>
      </c>
      <c r="E487" t="s">
        <v>562</v>
      </c>
      <c r="F487">
        <v>5</v>
      </c>
      <c r="G487" t="s">
        <v>185</v>
      </c>
      <c r="H487" t="s">
        <v>675</v>
      </c>
      <c r="I487" t="s">
        <v>85</v>
      </c>
      <c r="J487" t="s">
        <v>86</v>
      </c>
      <c r="K487" t="s">
        <v>984</v>
      </c>
      <c r="L487" t="s">
        <v>42</v>
      </c>
      <c r="M487" t="s">
        <v>188</v>
      </c>
      <c r="N487" s="7">
        <v>11.1</v>
      </c>
      <c r="O487" s="7">
        <v>0.55000000000000004</v>
      </c>
      <c r="P487" s="7">
        <v>3</v>
      </c>
      <c r="Q487" s="7">
        <v>15.561089999999998</v>
      </c>
      <c r="R487" s="7">
        <v>0.6</v>
      </c>
      <c r="S487" s="7">
        <v>3</v>
      </c>
      <c r="T487" s="7">
        <v>0.95262794416288255</v>
      </c>
      <c r="U487" s="7">
        <v>1.0392304845413263</v>
      </c>
      <c r="V487" s="7">
        <v>0.33782845939235306</v>
      </c>
      <c r="W487" s="7">
        <v>3.9418548832884943E-3</v>
      </c>
      <c r="X487" t="s">
        <v>985</v>
      </c>
      <c r="Y487" t="s">
        <v>986</v>
      </c>
      <c r="Z487" t="s">
        <v>515</v>
      </c>
      <c r="AA487" t="s">
        <v>987</v>
      </c>
      <c r="AB487" t="s">
        <v>92</v>
      </c>
      <c r="AC487" t="s">
        <v>981</v>
      </c>
      <c r="AD487" t="s">
        <v>981</v>
      </c>
      <c r="AE487" t="s">
        <v>1788</v>
      </c>
      <c r="AF487" t="s">
        <v>1792</v>
      </c>
      <c r="AG487" t="s">
        <v>1788</v>
      </c>
      <c r="AI487" t="s">
        <v>42</v>
      </c>
      <c r="AJ487" t="s">
        <v>1636</v>
      </c>
      <c r="AK487" t="s">
        <v>1637</v>
      </c>
      <c r="AL487" s="4">
        <v>5</v>
      </c>
      <c r="AM487" t="s">
        <v>185</v>
      </c>
      <c r="AN487">
        <v>5</v>
      </c>
      <c r="AO487" t="s">
        <v>1665</v>
      </c>
      <c r="AP487" t="s">
        <v>1639</v>
      </c>
      <c r="AQ487" t="s">
        <v>1640</v>
      </c>
      <c r="AR487" t="s">
        <v>1641</v>
      </c>
      <c r="AS487">
        <v>1</v>
      </c>
      <c r="AT487">
        <v>0</v>
      </c>
      <c r="AU487">
        <v>0</v>
      </c>
      <c r="AV487">
        <v>1</v>
      </c>
      <c r="AW487">
        <v>0</v>
      </c>
      <c r="AX487">
        <v>0</v>
      </c>
      <c r="AY487" t="s">
        <v>1642</v>
      </c>
    </row>
    <row r="488" spans="1:51">
      <c r="A488" t="s">
        <v>981</v>
      </c>
      <c r="B488" t="s">
        <v>991</v>
      </c>
      <c r="C488" t="s">
        <v>983</v>
      </c>
      <c r="E488" t="s">
        <v>562</v>
      </c>
      <c r="F488">
        <v>0.5</v>
      </c>
      <c r="G488" t="s">
        <v>185</v>
      </c>
      <c r="H488" t="s">
        <v>675</v>
      </c>
      <c r="I488" t="s">
        <v>85</v>
      </c>
      <c r="J488" t="s">
        <v>86</v>
      </c>
      <c r="K488" t="s">
        <v>984</v>
      </c>
      <c r="L488" t="s">
        <v>40</v>
      </c>
      <c r="M488" t="s">
        <v>188</v>
      </c>
      <c r="N488" s="7">
        <v>9.6999999999999993</v>
      </c>
      <c r="O488" s="7">
        <v>0.45</v>
      </c>
      <c r="P488" s="7">
        <v>3</v>
      </c>
      <c r="Q488" s="7">
        <v>11.154999999999998</v>
      </c>
      <c r="R488" s="7">
        <v>0.5</v>
      </c>
      <c r="S488" s="7">
        <v>3</v>
      </c>
      <c r="T488" s="7">
        <v>0.77942286340599476</v>
      </c>
      <c r="U488" s="7">
        <v>0.8660254037844386</v>
      </c>
      <c r="V488" s="7">
        <v>0.13976194237515863</v>
      </c>
      <c r="W488" s="7">
        <v>4.1612914956339325E-3</v>
      </c>
      <c r="X488" t="s">
        <v>985</v>
      </c>
      <c r="Y488" t="s">
        <v>986</v>
      </c>
      <c r="Z488" t="s">
        <v>515</v>
      </c>
      <c r="AA488" t="s">
        <v>992</v>
      </c>
      <c r="AB488" t="s">
        <v>92</v>
      </c>
      <c r="AC488" t="s">
        <v>981</v>
      </c>
      <c r="AD488" t="s">
        <v>981</v>
      </c>
      <c r="AE488" t="s">
        <v>1788</v>
      </c>
      <c r="AF488" t="s">
        <v>1789</v>
      </c>
      <c r="AG488" t="s">
        <v>1788</v>
      </c>
      <c r="AI488" t="s">
        <v>40</v>
      </c>
      <c r="AJ488" t="s">
        <v>1636</v>
      </c>
      <c r="AK488" t="s">
        <v>1637</v>
      </c>
      <c r="AL488" s="4">
        <v>0.5</v>
      </c>
      <c r="AM488" t="s">
        <v>185</v>
      </c>
      <c r="AN488">
        <v>0.5</v>
      </c>
      <c r="AO488" t="s">
        <v>1665</v>
      </c>
      <c r="AP488" t="s">
        <v>1639</v>
      </c>
      <c r="AQ488" t="s">
        <v>1640</v>
      </c>
      <c r="AR488" t="s">
        <v>1641</v>
      </c>
      <c r="AS488">
        <v>1</v>
      </c>
      <c r="AT488">
        <v>0</v>
      </c>
      <c r="AU488">
        <v>0</v>
      </c>
      <c r="AV488">
        <v>1</v>
      </c>
      <c r="AW488">
        <v>0</v>
      </c>
      <c r="AX488">
        <v>0</v>
      </c>
      <c r="AY488" t="s">
        <v>1642</v>
      </c>
    </row>
    <row r="489" spans="1:51">
      <c r="A489" t="s">
        <v>981</v>
      </c>
      <c r="B489" t="s">
        <v>993</v>
      </c>
      <c r="C489" t="s">
        <v>983</v>
      </c>
      <c r="E489" t="s">
        <v>562</v>
      </c>
      <c r="F489">
        <v>1</v>
      </c>
      <c r="G489" t="s">
        <v>185</v>
      </c>
      <c r="H489" t="s">
        <v>675</v>
      </c>
      <c r="I489" t="s">
        <v>85</v>
      </c>
      <c r="J489" t="s">
        <v>86</v>
      </c>
      <c r="K489" t="s">
        <v>984</v>
      </c>
      <c r="L489" t="s">
        <v>40</v>
      </c>
      <c r="M489" t="s">
        <v>188</v>
      </c>
      <c r="N489" s="7">
        <v>9.6999999999999993</v>
      </c>
      <c r="O489" s="7">
        <v>0.45</v>
      </c>
      <c r="P489" s="7">
        <v>3</v>
      </c>
      <c r="Q489" s="7">
        <v>13.6091</v>
      </c>
      <c r="R489" s="7">
        <v>0.55000000000000004</v>
      </c>
      <c r="S489" s="7">
        <v>3</v>
      </c>
      <c r="T489" s="7">
        <v>0.77942286340599476</v>
      </c>
      <c r="U489" s="7">
        <v>0.95262794416288255</v>
      </c>
      <c r="V489" s="7">
        <v>0.33861280112032388</v>
      </c>
      <c r="W489" s="7">
        <v>3.7854969875035019E-3</v>
      </c>
      <c r="X489" t="s">
        <v>985</v>
      </c>
      <c r="Y489" t="s">
        <v>986</v>
      </c>
      <c r="Z489" t="s">
        <v>515</v>
      </c>
      <c r="AA489" t="s">
        <v>992</v>
      </c>
      <c r="AB489" t="s">
        <v>92</v>
      </c>
      <c r="AC489" t="s">
        <v>981</v>
      </c>
      <c r="AD489" t="s">
        <v>981</v>
      </c>
      <c r="AE489" t="s">
        <v>1788</v>
      </c>
      <c r="AF489" t="s">
        <v>1790</v>
      </c>
      <c r="AG489" t="s">
        <v>1788</v>
      </c>
      <c r="AI489" t="s">
        <v>40</v>
      </c>
      <c r="AJ489" t="s">
        <v>1636</v>
      </c>
      <c r="AK489" t="s">
        <v>1637</v>
      </c>
      <c r="AL489" s="4">
        <v>1</v>
      </c>
      <c r="AM489" t="s">
        <v>185</v>
      </c>
      <c r="AN489">
        <v>1</v>
      </c>
      <c r="AO489" t="s">
        <v>1665</v>
      </c>
      <c r="AP489" t="s">
        <v>1639</v>
      </c>
      <c r="AQ489" t="s">
        <v>1640</v>
      </c>
      <c r="AR489" t="s">
        <v>1641</v>
      </c>
      <c r="AS489">
        <v>1</v>
      </c>
      <c r="AT489">
        <v>0</v>
      </c>
      <c r="AU489">
        <v>0</v>
      </c>
      <c r="AV489">
        <v>1</v>
      </c>
      <c r="AW489">
        <v>0</v>
      </c>
      <c r="AX489">
        <v>0</v>
      </c>
      <c r="AY489" t="s">
        <v>1642</v>
      </c>
    </row>
    <row r="490" spans="1:51">
      <c r="A490" t="s">
        <v>981</v>
      </c>
      <c r="B490" t="s">
        <v>994</v>
      </c>
      <c r="C490" t="s">
        <v>983</v>
      </c>
      <c r="E490" t="s">
        <v>562</v>
      </c>
      <c r="F490">
        <v>2</v>
      </c>
      <c r="G490" t="s">
        <v>185</v>
      </c>
      <c r="H490" t="s">
        <v>675</v>
      </c>
      <c r="I490" t="s">
        <v>85</v>
      </c>
      <c r="J490" t="s">
        <v>86</v>
      </c>
      <c r="K490" t="s">
        <v>984</v>
      </c>
      <c r="L490" t="s">
        <v>40</v>
      </c>
      <c r="M490" t="s">
        <v>188</v>
      </c>
      <c r="N490" s="7">
        <v>9.6999999999999993</v>
      </c>
      <c r="O490" s="7">
        <v>0.45</v>
      </c>
      <c r="P490" s="7">
        <v>3</v>
      </c>
      <c r="Q490" s="7">
        <v>13.676999999999998</v>
      </c>
      <c r="R490" s="7">
        <v>0.55000000000000004</v>
      </c>
      <c r="S490" s="7">
        <v>3</v>
      </c>
      <c r="T490" s="7">
        <v>0.77942286340599476</v>
      </c>
      <c r="U490" s="7">
        <v>0.95262794416288255</v>
      </c>
      <c r="V490" s="7">
        <v>0.34358970439007686</v>
      </c>
      <c r="W490" s="7">
        <v>3.7693200571672263E-3</v>
      </c>
      <c r="X490" t="s">
        <v>985</v>
      </c>
      <c r="Y490" t="s">
        <v>986</v>
      </c>
      <c r="Z490" t="s">
        <v>515</v>
      </c>
      <c r="AA490" t="s">
        <v>992</v>
      </c>
      <c r="AB490" t="s">
        <v>92</v>
      </c>
      <c r="AC490" t="s">
        <v>981</v>
      </c>
      <c r="AD490" t="s">
        <v>981</v>
      </c>
      <c r="AE490" t="s">
        <v>1788</v>
      </c>
      <c r="AF490" t="s">
        <v>1791</v>
      </c>
      <c r="AG490" t="s">
        <v>1788</v>
      </c>
      <c r="AI490" t="s">
        <v>40</v>
      </c>
      <c r="AJ490" t="s">
        <v>1636</v>
      </c>
      <c r="AK490" t="s">
        <v>1637</v>
      </c>
      <c r="AL490" s="4">
        <v>2</v>
      </c>
      <c r="AM490" t="s">
        <v>185</v>
      </c>
      <c r="AN490">
        <v>2</v>
      </c>
      <c r="AO490" t="s">
        <v>1665</v>
      </c>
      <c r="AP490" t="s">
        <v>1639</v>
      </c>
      <c r="AQ490" t="s">
        <v>1640</v>
      </c>
      <c r="AR490" t="s">
        <v>1641</v>
      </c>
      <c r="AS490">
        <v>1</v>
      </c>
      <c r="AT490">
        <v>0</v>
      </c>
      <c r="AU490">
        <v>0</v>
      </c>
      <c r="AV490">
        <v>1</v>
      </c>
      <c r="AW490">
        <v>0</v>
      </c>
      <c r="AX490">
        <v>0</v>
      </c>
      <c r="AY490" t="s">
        <v>1642</v>
      </c>
    </row>
    <row r="491" spans="1:51">
      <c r="A491" t="s">
        <v>981</v>
      </c>
      <c r="B491" t="s">
        <v>995</v>
      </c>
      <c r="C491" t="s">
        <v>983</v>
      </c>
      <c r="E491" t="s">
        <v>562</v>
      </c>
      <c r="F491">
        <v>5</v>
      </c>
      <c r="G491" t="s">
        <v>185</v>
      </c>
      <c r="H491" t="s">
        <v>675</v>
      </c>
      <c r="I491" t="s">
        <v>85</v>
      </c>
      <c r="J491" t="s">
        <v>86</v>
      </c>
      <c r="K491" t="s">
        <v>984</v>
      </c>
      <c r="L491" t="s">
        <v>40</v>
      </c>
      <c r="M491" t="s">
        <v>188</v>
      </c>
      <c r="N491" s="7">
        <v>9.6999999999999993</v>
      </c>
      <c r="O491" s="7">
        <v>0.45</v>
      </c>
      <c r="P491" s="7">
        <v>3</v>
      </c>
      <c r="Q491" s="7">
        <v>11.901899999999998</v>
      </c>
      <c r="R491" s="7">
        <v>0.5</v>
      </c>
      <c r="S491" s="7">
        <v>3</v>
      </c>
      <c r="T491" s="7">
        <v>0.77942286340599476</v>
      </c>
      <c r="U491" s="7">
        <v>0.8660254037844386</v>
      </c>
      <c r="V491" s="7">
        <v>0.20457216572877429</v>
      </c>
      <c r="W491" s="7">
        <v>3.9170431443294098E-3</v>
      </c>
      <c r="X491" t="s">
        <v>985</v>
      </c>
      <c r="Y491" t="s">
        <v>986</v>
      </c>
      <c r="Z491" t="s">
        <v>515</v>
      </c>
      <c r="AA491" t="s">
        <v>992</v>
      </c>
      <c r="AB491" t="s">
        <v>92</v>
      </c>
      <c r="AC491" t="s">
        <v>981</v>
      </c>
      <c r="AD491" t="s">
        <v>981</v>
      </c>
      <c r="AE491" t="s">
        <v>1788</v>
      </c>
      <c r="AF491" t="s">
        <v>1792</v>
      </c>
      <c r="AG491" t="s">
        <v>1788</v>
      </c>
      <c r="AI491" t="s">
        <v>40</v>
      </c>
      <c r="AJ491" t="s">
        <v>1636</v>
      </c>
      <c r="AK491" t="s">
        <v>1637</v>
      </c>
      <c r="AL491" s="4">
        <v>5</v>
      </c>
      <c r="AM491" t="s">
        <v>185</v>
      </c>
      <c r="AN491">
        <v>5</v>
      </c>
      <c r="AO491" t="s">
        <v>1665</v>
      </c>
      <c r="AP491" t="s">
        <v>1639</v>
      </c>
      <c r="AQ491" t="s">
        <v>1640</v>
      </c>
      <c r="AR491" t="s">
        <v>1641</v>
      </c>
      <c r="AS491">
        <v>1</v>
      </c>
      <c r="AT491">
        <v>0</v>
      </c>
      <c r="AU491">
        <v>0</v>
      </c>
      <c r="AV491">
        <v>1</v>
      </c>
      <c r="AW491">
        <v>0</v>
      </c>
      <c r="AX491">
        <v>0</v>
      </c>
      <c r="AY491" t="s">
        <v>1642</v>
      </c>
    </row>
    <row r="492" spans="1:51">
      <c r="A492" t="s">
        <v>996</v>
      </c>
      <c r="B492" t="s">
        <v>997</v>
      </c>
      <c r="C492" t="s">
        <v>998</v>
      </c>
      <c r="D492" t="s">
        <v>999</v>
      </c>
      <c r="E492" t="s">
        <v>96</v>
      </c>
      <c r="F492">
        <v>10</v>
      </c>
      <c r="G492" t="s">
        <v>185</v>
      </c>
      <c r="H492" t="s">
        <v>84</v>
      </c>
      <c r="I492" t="s">
        <v>186</v>
      </c>
      <c r="J492" t="s">
        <v>1000</v>
      </c>
      <c r="K492" t="s">
        <v>149</v>
      </c>
      <c r="L492" t="s">
        <v>40</v>
      </c>
      <c r="M492" t="s">
        <v>188</v>
      </c>
      <c r="N492" s="7">
        <v>22.5</v>
      </c>
      <c r="O492" s="7">
        <v>1.8</v>
      </c>
      <c r="P492" s="7">
        <v>3</v>
      </c>
      <c r="Q492" s="7">
        <v>26.99</v>
      </c>
      <c r="R492" s="7">
        <v>1.5</v>
      </c>
      <c r="S492" s="7">
        <v>3</v>
      </c>
      <c r="T492" s="7">
        <v>3.117691453623979</v>
      </c>
      <c r="U492" s="7">
        <v>2.598076211353316</v>
      </c>
      <c r="V492" s="7">
        <v>0.18195111781953879</v>
      </c>
      <c r="W492" s="7">
        <v>9.4887072606996588E-3</v>
      </c>
      <c r="X492" t="s">
        <v>1001</v>
      </c>
      <c r="Y492" t="s">
        <v>1002</v>
      </c>
      <c r="Z492" t="s">
        <v>90</v>
      </c>
      <c r="AA492" t="s">
        <v>1003</v>
      </c>
      <c r="AB492" t="s">
        <v>92</v>
      </c>
      <c r="AC492" t="s">
        <v>996</v>
      </c>
      <c r="AD492" t="s">
        <v>996</v>
      </c>
      <c r="AE492" t="s">
        <v>1793</v>
      </c>
      <c r="AF492" t="s">
        <v>1794</v>
      </c>
      <c r="AG492" t="s">
        <v>1793</v>
      </c>
      <c r="AI492" t="s">
        <v>40</v>
      </c>
      <c r="AJ492" t="s">
        <v>1636</v>
      </c>
      <c r="AK492" t="s">
        <v>1637</v>
      </c>
      <c r="AL492" s="4">
        <v>10</v>
      </c>
      <c r="AM492" t="s">
        <v>185</v>
      </c>
      <c r="AN492">
        <v>10</v>
      </c>
      <c r="AO492" t="s">
        <v>1665</v>
      </c>
      <c r="AP492" t="s">
        <v>1639</v>
      </c>
      <c r="AQ492" t="s">
        <v>1640</v>
      </c>
      <c r="AR492" t="s">
        <v>1666</v>
      </c>
      <c r="AS492">
        <v>1</v>
      </c>
      <c r="AT492">
        <v>0</v>
      </c>
      <c r="AU492">
        <v>0</v>
      </c>
      <c r="AV492">
        <v>1</v>
      </c>
      <c r="AW492">
        <v>0</v>
      </c>
      <c r="AX492">
        <v>0</v>
      </c>
      <c r="AY492" t="s">
        <v>1642</v>
      </c>
    </row>
    <row r="493" spans="1:51">
      <c r="A493" t="s">
        <v>996</v>
      </c>
      <c r="B493" t="s">
        <v>1004</v>
      </c>
      <c r="C493" t="s">
        <v>998</v>
      </c>
      <c r="D493" t="s">
        <v>999</v>
      </c>
      <c r="E493" t="s">
        <v>96</v>
      </c>
      <c r="F493">
        <v>10</v>
      </c>
      <c r="G493" t="s">
        <v>185</v>
      </c>
      <c r="H493" t="s">
        <v>84</v>
      </c>
      <c r="I493" t="s">
        <v>186</v>
      </c>
      <c r="J493" t="s">
        <v>1000</v>
      </c>
      <c r="K493" t="s">
        <v>149</v>
      </c>
      <c r="L493" t="s">
        <v>30</v>
      </c>
      <c r="M493" t="s">
        <v>188</v>
      </c>
      <c r="N493" s="7">
        <v>8.02</v>
      </c>
      <c r="O493" s="7">
        <v>0.7</v>
      </c>
      <c r="P493" s="7">
        <v>3</v>
      </c>
      <c r="Q493" s="7">
        <v>9.7100000000000009</v>
      </c>
      <c r="R493" s="7">
        <v>0.6</v>
      </c>
      <c r="S493" s="7">
        <v>3</v>
      </c>
      <c r="T493" s="7">
        <v>1.2124355652982139</v>
      </c>
      <c r="U493" s="7">
        <v>1.0392304845413263</v>
      </c>
      <c r="V493" s="7">
        <v>0.19121786042481062</v>
      </c>
      <c r="W493" s="7">
        <v>1.143635901886467E-2</v>
      </c>
      <c r="X493" t="s">
        <v>1001</v>
      </c>
      <c r="Y493" t="s">
        <v>1002</v>
      </c>
      <c r="Z493" t="s">
        <v>90</v>
      </c>
      <c r="AA493" t="s">
        <v>1005</v>
      </c>
      <c r="AB493" t="s">
        <v>92</v>
      </c>
      <c r="AC493" t="s">
        <v>996</v>
      </c>
      <c r="AD493" t="s">
        <v>996</v>
      </c>
      <c r="AE493" t="s">
        <v>1793</v>
      </c>
      <c r="AF493" t="s">
        <v>1794</v>
      </c>
      <c r="AG493" t="s">
        <v>1793</v>
      </c>
      <c r="AI493" t="s">
        <v>30</v>
      </c>
      <c r="AJ493" t="s">
        <v>1636</v>
      </c>
      <c r="AK493" t="s">
        <v>1637</v>
      </c>
      <c r="AL493" s="4">
        <v>10</v>
      </c>
      <c r="AM493" t="s">
        <v>185</v>
      </c>
      <c r="AN493">
        <v>10</v>
      </c>
      <c r="AO493" t="s">
        <v>1665</v>
      </c>
      <c r="AP493" t="s">
        <v>1639</v>
      </c>
      <c r="AQ493" t="s">
        <v>1640</v>
      </c>
      <c r="AR493" t="s">
        <v>1666</v>
      </c>
      <c r="AS493">
        <v>1</v>
      </c>
      <c r="AT493">
        <v>0</v>
      </c>
      <c r="AU493">
        <v>0</v>
      </c>
      <c r="AV493">
        <v>1</v>
      </c>
      <c r="AW493">
        <v>0</v>
      </c>
      <c r="AX493">
        <v>0</v>
      </c>
      <c r="AY493" t="s">
        <v>1642</v>
      </c>
    </row>
    <row r="494" spans="1:51">
      <c r="A494" t="s">
        <v>996</v>
      </c>
      <c r="B494" t="s">
        <v>1006</v>
      </c>
      <c r="C494" t="s">
        <v>998</v>
      </c>
      <c r="D494" t="s">
        <v>999</v>
      </c>
      <c r="E494" t="s">
        <v>96</v>
      </c>
      <c r="F494">
        <v>10</v>
      </c>
      <c r="G494" t="s">
        <v>185</v>
      </c>
      <c r="H494" t="s">
        <v>84</v>
      </c>
      <c r="I494" t="s">
        <v>186</v>
      </c>
      <c r="J494" t="s">
        <v>1000</v>
      </c>
      <c r="K494" t="s">
        <v>149</v>
      </c>
      <c r="L494" t="s">
        <v>337</v>
      </c>
      <c r="M494" t="s">
        <v>188</v>
      </c>
      <c r="N494" s="7">
        <v>4.33</v>
      </c>
      <c r="O494" s="7">
        <v>0.25</v>
      </c>
      <c r="P494" s="7">
        <v>3</v>
      </c>
      <c r="Q494" s="7">
        <v>4.74</v>
      </c>
      <c r="R494" s="7">
        <v>0.25</v>
      </c>
      <c r="S494" s="7">
        <v>3</v>
      </c>
      <c r="T494" s="7">
        <v>0.4330127018922193</v>
      </c>
      <c r="U494" s="7">
        <v>0.4330127018922193</v>
      </c>
      <c r="V494" s="7">
        <v>9.0469593692586753E-2</v>
      </c>
      <c r="W494" s="7">
        <v>6.1153124464462926E-3</v>
      </c>
      <c r="X494" t="s">
        <v>1001</v>
      </c>
      <c r="Y494" t="s">
        <v>1002</v>
      </c>
      <c r="Z494" t="s">
        <v>90</v>
      </c>
      <c r="AA494" t="s">
        <v>1007</v>
      </c>
      <c r="AB494" t="s">
        <v>92</v>
      </c>
      <c r="AC494" t="s">
        <v>996</v>
      </c>
      <c r="AD494" t="s">
        <v>996</v>
      </c>
      <c r="AE494" t="s">
        <v>1793</v>
      </c>
      <c r="AF494" t="s">
        <v>1794</v>
      </c>
      <c r="AG494" t="s">
        <v>1793</v>
      </c>
      <c r="AI494" t="s">
        <v>337</v>
      </c>
      <c r="AJ494" t="s">
        <v>1636</v>
      </c>
      <c r="AK494" t="s">
        <v>1637</v>
      </c>
      <c r="AL494" s="4">
        <v>10</v>
      </c>
      <c r="AM494" t="s">
        <v>185</v>
      </c>
      <c r="AN494">
        <v>10</v>
      </c>
      <c r="AO494" t="s">
        <v>1665</v>
      </c>
      <c r="AP494" t="s">
        <v>1639</v>
      </c>
      <c r="AQ494" t="s">
        <v>1640</v>
      </c>
      <c r="AR494" t="s">
        <v>1666</v>
      </c>
      <c r="AS494">
        <v>1</v>
      </c>
      <c r="AT494">
        <v>0</v>
      </c>
      <c r="AU494">
        <v>0</v>
      </c>
      <c r="AV494">
        <v>1</v>
      </c>
      <c r="AW494">
        <v>0</v>
      </c>
      <c r="AX494">
        <v>0</v>
      </c>
      <c r="AY494" t="s">
        <v>1642</v>
      </c>
    </row>
    <row r="495" spans="1:51">
      <c r="A495" t="s">
        <v>996</v>
      </c>
      <c r="B495" t="s">
        <v>1008</v>
      </c>
      <c r="C495" t="s">
        <v>998</v>
      </c>
      <c r="D495" t="s">
        <v>999</v>
      </c>
      <c r="E495" t="s">
        <v>96</v>
      </c>
      <c r="F495">
        <v>10</v>
      </c>
      <c r="G495" t="s">
        <v>185</v>
      </c>
      <c r="H495" t="s">
        <v>84</v>
      </c>
      <c r="I495" t="s">
        <v>186</v>
      </c>
      <c r="J495" t="s">
        <v>1009</v>
      </c>
      <c r="K495" t="s">
        <v>149</v>
      </c>
      <c r="L495" t="s">
        <v>40</v>
      </c>
      <c r="M495" t="s">
        <v>188</v>
      </c>
      <c r="N495" s="7">
        <v>19.84</v>
      </c>
      <c r="O495" s="7">
        <v>1.5</v>
      </c>
      <c r="P495" s="7">
        <v>3</v>
      </c>
      <c r="Q495" s="7">
        <v>24.46</v>
      </c>
      <c r="R495" s="7">
        <v>1.45</v>
      </c>
      <c r="S495" s="7">
        <v>3</v>
      </c>
      <c r="T495" s="7">
        <v>2.598076211353316</v>
      </c>
      <c r="U495" s="7">
        <v>2.5114736709748717</v>
      </c>
      <c r="V495" s="7">
        <v>0.20933902840229959</v>
      </c>
      <c r="W495" s="7">
        <v>9.2302643240157779E-3</v>
      </c>
      <c r="X495" t="s">
        <v>1001</v>
      </c>
      <c r="Y495" t="s">
        <v>1002</v>
      </c>
      <c r="Z495" t="s">
        <v>90</v>
      </c>
      <c r="AA495" t="s">
        <v>1010</v>
      </c>
      <c r="AB495" t="s">
        <v>92</v>
      </c>
      <c r="AC495" t="s">
        <v>996</v>
      </c>
      <c r="AD495" t="s">
        <v>996</v>
      </c>
      <c r="AE495" t="s">
        <v>1795</v>
      </c>
      <c r="AF495" t="s">
        <v>1796</v>
      </c>
      <c r="AG495" t="s">
        <v>1795</v>
      </c>
      <c r="AI495" t="s">
        <v>40</v>
      </c>
      <c r="AJ495" t="s">
        <v>1636</v>
      </c>
      <c r="AK495" t="s">
        <v>1637</v>
      </c>
      <c r="AL495" s="4">
        <v>10</v>
      </c>
      <c r="AM495" t="s">
        <v>185</v>
      </c>
      <c r="AN495">
        <v>10</v>
      </c>
      <c r="AO495" t="s">
        <v>1665</v>
      </c>
      <c r="AP495" t="s">
        <v>1639</v>
      </c>
      <c r="AQ495" t="s">
        <v>1640</v>
      </c>
      <c r="AR495" t="s">
        <v>1666</v>
      </c>
      <c r="AS495">
        <v>1</v>
      </c>
      <c r="AT495">
        <v>0</v>
      </c>
      <c r="AU495">
        <v>0</v>
      </c>
      <c r="AV495">
        <v>1</v>
      </c>
      <c r="AW495">
        <v>0</v>
      </c>
      <c r="AX495">
        <v>0</v>
      </c>
      <c r="AY495" t="s">
        <v>1642</v>
      </c>
    </row>
    <row r="496" spans="1:51">
      <c r="A496" t="s">
        <v>996</v>
      </c>
      <c r="B496" t="s">
        <v>1011</v>
      </c>
      <c r="C496" t="s">
        <v>998</v>
      </c>
      <c r="D496" t="s">
        <v>999</v>
      </c>
      <c r="E496" t="s">
        <v>96</v>
      </c>
      <c r="F496">
        <v>10</v>
      </c>
      <c r="G496" t="s">
        <v>185</v>
      </c>
      <c r="H496" t="s">
        <v>84</v>
      </c>
      <c r="I496" t="s">
        <v>186</v>
      </c>
      <c r="J496" t="s">
        <v>1009</v>
      </c>
      <c r="K496" t="s">
        <v>149</v>
      </c>
      <c r="L496" t="s">
        <v>30</v>
      </c>
      <c r="M496" t="s">
        <v>188</v>
      </c>
      <c r="N496" s="7">
        <v>5.96</v>
      </c>
      <c r="O496" s="7">
        <v>0.65</v>
      </c>
      <c r="P496" s="7">
        <v>3</v>
      </c>
      <c r="Q496" s="7">
        <v>8.49</v>
      </c>
      <c r="R496" s="7">
        <v>0.65</v>
      </c>
      <c r="S496" s="7">
        <v>3</v>
      </c>
      <c r="T496" s="7">
        <v>1.1258330249197701</v>
      </c>
      <c r="U496" s="7">
        <v>1.1258330249197701</v>
      </c>
      <c r="V496" s="7">
        <v>0.35381851924599755</v>
      </c>
      <c r="W496" s="7">
        <v>1.7755706032034128E-2</v>
      </c>
      <c r="X496" t="s">
        <v>1001</v>
      </c>
      <c r="Y496" t="s">
        <v>1002</v>
      </c>
      <c r="Z496" t="s">
        <v>90</v>
      </c>
      <c r="AA496" t="s">
        <v>1012</v>
      </c>
      <c r="AB496" t="s">
        <v>92</v>
      </c>
      <c r="AC496" t="s">
        <v>996</v>
      </c>
      <c r="AD496" t="s">
        <v>996</v>
      </c>
      <c r="AE496" t="s">
        <v>1795</v>
      </c>
      <c r="AF496" t="s">
        <v>1796</v>
      </c>
      <c r="AG496" t="s">
        <v>1795</v>
      </c>
      <c r="AI496" t="s">
        <v>30</v>
      </c>
      <c r="AJ496" t="s">
        <v>1636</v>
      </c>
      <c r="AK496" t="s">
        <v>1637</v>
      </c>
      <c r="AL496" s="4">
        <v>10</v>
      </c>
      <c r="AM496" t="s">
        <v>185</v>
      </c>
      <c r="AN496">
        <v>10</v>
      </c>
      <c r="AO496" t="s">
        <v>1665</v>
      </c>
      <c r="AP496" t="s">
        <v>1639</v>
      </c>
      <c r="AQ496" t="s">
        <v>1640</v>
      </c>
      <c r="AR496" t="s">
        <v>1666</v>
      </c>
      <c r="AS496">
        <v>1</v>
      </c>
      <c r="AT496">
        <v>0</v>
      </c>
      <c r="AU496">
        <v>0</v>
      </c>
      <c r="AV496">
        <v>1</v>
      </c>
      <c r="AW496">
        <v>0</v>
      </c>
      <c r="AX496">
        <v>0</v>
      </c>
      <c r="AY496" t="s">
        <v>1642</v>
      </c>
    </row>
    <row r="497" spans="1:51">
      <c r="A497" t="s">
        <v>996</v>
      </c>
      <c r="B497" t="s">
        <v>1013</v>
      </c>
      <c r="C497" t="s">
        <v>998</v>
      </c>
      <c r="D497" t="s">
        <v>999</v>
      </c>
      <c r="E497" t="s">
        <v>96</v>
      </c>
      <c r="F497">
        <v>10</v>
      </c>
      <c r="G497" t="s">
        <v>185</v>
      </c>
      <c r="H497" t="s">
        <v>84</v>
      </c>
      <c r="I497" t="s">
        <v>186</v>
      </c>
      <c r="J497" t="s">
        <v>1009</v>
      </c>
      <c r="K497" t="s">
        <v>149</v>
      </c>
      <c r="L497" t="s">
        <v>337</v>
      </c>
      <c r="M497" t="s">
        <v>188</v>
      </c>
      <c r="N497" s="7">
        <v>3.73</v>
      </c>
      <c r="O497" s="7">
        <v>0.25</v>
      </c>
      <c r="P497" s="7">
        <v>3</v>
      </c>
      <c r="Q497" s="7">
        <v>4.43</v>
      </c>
      <c r="R497" s="7">
        <v>0.25</v>
      </c>
      <c r="S497" s="7">
        <v>3</v>
      </c>
      <c r="T497" s="7">
        <v>0.4330127018922193</v>
      </c>
      <c r="U497" s="7">
        <v>0.4330127018922193</v>
      </c>
      <c r="V497" s="7">
        <v>0.17199135040132002</v>
      </c>
      <c r="W497" s="7">
        <v>7.676963429879057E-3</v>
      </c>
      <c r="X497" t="s">
        <v>1001</v>
      </c>
      <c r="Y497" t="s">
        <v>1002</v>
      </c>
      <c r="Z497" t="s">
        <v>90</v>
      </c>
      <c r="AA497" t="s">
        <v>1014</v>
      </c>
      <c r="AB497" t="s">
        <v>92</v>
      </c>
      <c r="AC497" t="s">
        <v>996</v>
      </c>
      <c r="AD497" t="s">
        <v>996</v>
      </c>
      <c r="AE497" t="s">
        <v>1795</v>
      </c>
      <c r="AF497" t="s">
        <v>1796</v>
      </c>
      <c r="AG497" t="s">
        <v>1795</v>
      </c>
      <c r="AI497" t="s">
        <v>337</v>
      </c>
      <c r="AJ497" t="s">
        <v>1636</v>
      </c>
      <c r="AK497" t="s">
        <v>1637</v>
      </c>
      <c r="AL497" s="4">
        <v>10</v>
      </c>
      <c r="AM497" t="s">
        <v>185</v>
      </c>
      <c r="AN497">
        <v>10</v>
      </c>
      <c r="AO497" t="s">
        <v>1665</v>
      </c>
      <c r="AP497" t="s">
        <v>1639</v>
      </c>
      <c r="AQ497" t="s">
        <v>1640</v>
      </c>
      <c r="AR497" t="s">
        <v>1666</v>
      </c>
      <c r="AS497">
        <v>1</v>
      </c>
      <c r="AT497">
        <v>0</v>
      </c>
      <c r="AU497">
        <v>0</v>
      </c>
      <c r="AV497">
        <v>1</v>
      </c>
      <c r="AW497">
        <v>0</v>
      </c>
      <c r="AX497">
        <v>0</v>
      </c>
      <c r="AY497" t="s">
        <v>1642</v>
      </c>
    </row>
    <row r="498" spans="1:51">
      <c r="A498" t="s">
        <v>996</v>
      </c>
      <c r="B498" t="s">
        <v>1015</v>
      </c>
      <c r="C498" t="s">
        <v>998</v>
      </c>
      <c r="D498" t="s">
        <v>999</v>
      </c>
      <c r="E498" t="s">
        <v>96</v>
      </c>
      <c r="F498">
        <v>10</v>
      </c>
      <c r="G498" t="s">
        <v>185</v>
      </c>
      <c r="H498" t="s">
        <v>84</v>
      </c>
      <c r="I498" t="s">
        <v>186</v>
      </c>
      <c r="J498" t="s">
        <v>1016</v>
      </c>
      <c r="K498" t="s">
        <v>149</v>
      </c>
      <c r="L498" t="s">
        <v>40</v>
      </c>
      <c r="M498" t="s">
        <v>188</v>
      </c>
      <c r="N498" s="7">
        <v>17.149999999999999</v>
      </c>
      <c r="O498" s="7">
        <v>1.1000000000000001</v>
      </c>
      <c r="P498" s="7">
        <v>3</v>
      </c>
      <c r="Q498" s="7">
        <v>20.67</v>
      </c>
      <c r="R498" s="7">
        <v>1.45</v>
      </c>
      <c r="S498" s="7">
        <v>3</v>
      </c>
      <c r="T498" s="7">
        <v>1.9052558883257651</v>
      </c>
      <c r="U498" s="7">
        <v>2.5114736709748717</v>
      </c>
      <c r="V498" s="7">
        <v>0.18668520008172812</v>
      </c>
      <c r="W498" s="7">
        <v>9.0349512263131516E-3</v>
      </c>
      <c r="X498" t="s">
        <v>1001</v>
      </c>
      <c r="Y498" t="s">
        <v>1002</v>
      </c>
      <c r="Z498" t="s">
        <v>90</v>
      </c>
      <c r="AA498" t="s">
        <v>1017</v>
      </c>
      <c r="AB498" t="s">
        <v>92</v>
      </c>
      <c r="AC498" t="s">
        <v>996</v>
      </c>
      <c r="AD498" t="s">
        <v>996</v>
      </c>
      <c r="AE498" t="s">
        <v>1797</v>
      </c>
      <c r="AF498" t="s">
        <v>1798</v>
      </c>
      <c r="AG498" t="s">
        <v>1797</v>
      </c>
      <c r="AI498" t="s">
        <v>40</v>
      </c>
      <c r="AJ498" t="s">
        <v>1636</v>
      </c>
      <c r="AK498" t="s">
        <v>1637</v>
      </c>
      <c r="AL498" s="4">
        <v>10</v>
      </c>
      <c r="AM498" t="s">
        <v>185</v>
      </c>
      <c r="AN498">
        <v>10</v>
      </c>
      <c r="AO498" t="s">
        <v>1665</v>
      </c>
      <c r="AP498" t="s">
        <v>1639</v>
      </c>
      <c r="AQ498" t="s">
        <v>1640</v>
      </c>
      <c r="AR498" t="s">
        <v>1666</v>
      </c>
      <c r="AS498">
        <v>1</v>
      </c>
      <c r="AT498">
        <v>0</v>
      </c>
      <c r="AU498">
        <v>0</v>
      </c>
      <c r="AV498">
        <v>1</v>
      </c>
      <c r="AW498">
        <v>0</v>
      </c>
      <c r="AX498">
        <v>0</v>
      </c>
      <c r="AY498" t="s">
        <v>1642</v>
      </c>
    </row>
    <row r="499" spans="1:51">
      <c r="A499" t="s">
        <v>996</v>
      </c>
      <c r="B499" t="s">
        <v>1018</v>
      </c>
      <c r="C499" t="s">
        <v>998</v>
      </c>
      <c r="D499" t="s">
        <v>999</v>
      </c>
      <c r="E499" t="s">
        <v>96</v>
      </c>
      <c r="F499">
        <v>10</v>
      </c>
      <c r="G499" t="s">
        <v>185</v>
      </c>
      <c r="H499" t="s">
        <v>84</v>
      </c>
      <c r="I499" t="s">
        <v>186</v>
      </c>
      <c r="J499" t="s">
        <v>1016</v>
      </c>
      <c r="K499" t="s">
        <v>149</v>
      </c>
      <c r="L499" t="s">
        <v>30</v>
      </c>
      <c r="M499" t="s">
        <v>188</v>
      </c>
      <c r="N499" s="7">
        <v>4.96</v>
      </c>
      <c r="O499" s="7">
        <v>0.6</v>
      </c>
      <c r="P499" s="7">
        <v>3</v>
      </c>
      <c r="Q499" s="7">
        <v>6.99</v>
      </c>
      <c r="R499" s="7">
        <v>0.55000000000000004</v>
      </c>
      <c r="S499" s="7">
        <v>3</v>
      </c>
      <c r="T499" s="7">
        <v>1.0392304845413263</v>
      </c>
      <c r="U499" s="7">
        <v>0.95262794416288255</v>
      </c>
      <c r="V499" s="7">
        <v>0.34307481550888286</v>
      </c>
      <c r="W499" s="7">
        <v>2.0824340329563883E-2</v>
      </c>
      <c r="X499" t="s">
        <v>1001</v>
      </c>
      <c r="Y499" t="s">
        <v>1002</v>
      </c>
      <c r="Z499" t="s">
        <v>90</v>
      </c>
      <c r="AA499" t="s">
        <v>1019</v>
      </c>
      <c r="AB499" t="s">
        <v>92</v>
      </c>
      <c r="AC499" t="s">
        <v>996</v>
      </c>
      <c r="AD499" t="s">
        <v>996</v>
      </c>
      <c r="AE499" t="s">
        <v>1797</v>
      </c>
      <c r="AF499" t="s">
        <v>1798</v>
      </c>
      <c r="AG499" t="s">
        <v>1797</v>
      </c>
      <c r="AI499" t="s">
        <v>30</v>
      </c>
      <c r="AJ499" t="s">
        <v>1636</v>
      </c>
      <c r="AK499" t="s">
        <v>1637</v>
      </c>
      <c r="AL499" s="4">
        <v>10</v>
      </c>
      <c r="AM499" t="s">
        <v>185</v>
      </c>
      <c r="AN499">
        <v>10</v>
      </c>
      <c r="AO499" t="s">
        <v>1665</v>
      </c>
      <c r="AP499" t="s">
        <v>1639</v>
      </c>
      <c r="AQ499" t="s">
        <v>1640</v>
      </c>
      <c r="AR499" t="s">
        <v>1666</v>
      </c>
      <c r="AS499">
        <v>1</v>
      </c>
      <c r="AT499">
        <v>0</v>
      </c>
      <c r="AU499">
        <v>0</v>
      </c>
      <c r="AV499">
        <v>1</v>
      </c>
      <c r="AW499">
        <v>0</v>
      </c>
      <c r="AX499">
        <v>0</v>
      </c>
      <c r="AY499" t="s">
        <v>1642</v>
      </c>
    </row>
    <row r="500" spans="1:51">
      <c r="A500" t="s">
        <v>996</v>
      </c>
      <c r="B500" t="s">
        <v>1020</v>
      </c>
      <c r="C500" t="s">
        <v>998</v>
      </c>
      <c r="D500" t="s">
        <v>999</v>
      </c>
      <c r="E500" t="s">
        <v>96</v>
      </c>
      <c r="F500">
        <v>10</v>
      </c>
      <c r="G500" t="s">
        <v>185</v>
      </c>
      <c r="H500" t="s">
        <v>84</v>
      </c>
      <c r="I500" t="s">
        <v>186</v>
      </c>
      <c r="J500" t="s">
        <v>1016</v>
      </c>
      <c r="K500" t="s">
        <v>149</v>
      </c>
      <c r="L500" t="s">
        <v>337</v>
      </c>
      <c r="M500" t="s">
        <v>188</v>
      </c>
      <c r="N500" s="7">
        <v>3.1</v>
      </c>
      <c r="O500" s="7">
        <v>0.2</v>
      </c>
      <c r="P500" s="7">
        <v>3</v>
      </c>
      <c r="Q500" s="7">
        <v>4.03</v>
      </c>
      <c r="R500" s="7">
        <v>0.2</v>
      </c>
      <c r="S500" s="7">
        <v>3</v>
      </c>
      <c r="T500" s="7">
        <v>0.34641016151377546</v>
      </c>
      <c r="U500" s="7">
        <v>0.34641016151377546</v>
      </c>
      <c r="V500" s="7">
        <v>0.26236426446749106</v>
      </c>
      <c r="W500" s="7">
        <v>6.6252486007548819E-3</v>
      </c>
      <c r="X500" t="s">
        <v>1001</v>
      </c>
      <c r="Y500" t="s">
        <v>1002</v>
      </c>
      <c r="Z500" t="s">
        <v>90</v>
      </c>
      <c r="AA500" t="s">
        <v>1021</v>
      </c>
      <c r="AB500" t="s">
        <v>92</v>
      </c>
      <c r="AC500" t="s">
        <v>996</v>
      </c>
      <c r="AD500" t="s">
        <v>996</v>
      </c>
      <c r="AE500" t="s">
        <v>1797</v>
      </c>
      <c r="AF500" t="s">
        <v>1798</v>
      </c>
      <c r="AG500" t="s">
        <v>1797</v>
      </c>
      <c r="AI500" t="s">
        <v>337</v>
      </c>
      <c r="AJ500" t="s">
        <v>1636</v>
      </c>
      <c r="AK500" t="s">
        <v>1637</v>
      </c>
      <c r="AL500" s="4">
        <v>10</v>
      </c>
      <c r="AM500" t="s">
        <v>185</v>
      </c>
      <c r="AN500">
        <v>10</v>
      </c>
      <c r="AO500" t="s">
        <v>1665</v>
      </c>
      <c r="AP500" t="s">
        <v>1639</v>
      </c>
      <c r="AQ500" t="s">
        <v>1640</v>
      </c>
      <c r="AR500" t="s">
        <v>1666</v>
      </c>
      <c r="AS500">
        <v>1</v>
      </c>
      <c r="AT500">
        <v>0</v>
      </c>
      <c r="AU500">
        <v>0</v>
      </c>
      <c r="AV500">
        <v>1</v>
      </c>
      <c r="AW500">
        <v>0</v>
      </c>
      <c r="AX500">
        <v>0</v>
      </c>
      <c r="AY500" t="s">
        <v>1642</v>
      </c>
    </row>
    <row r="501" spans="1:51">
      <c r="A501" t="s">
        <v>1022</v>
      </c>
      <c r="B501" t="s">
        <v>1023</v>
      </c>
      <c r="C501" t="s">
        <v>655</v>
      </c>
      <c r="D501" t="s">
        <v>1024</v>
      </c>
      <c r="E501" t="s">
        <v>96</v>
      </c>
      <c r="F501">
        <v>50</v>
      </c>
      <c r="G501" t="s">
        <v>185</v>
      </c>
      <c r="H501" t="s">
        <v>84</v>
      </c>
      <c r="I501" t="s">
        <v>85</v>
      </c>
      <c r="J501" t="s">
        <v>1025</v>
      </c>
      <c r="K501" t="s">
        <v>149</v>
      </c>
      <c r="L501" t="s">
        <v>40</v>
      </c>
      <c r="M501" t="s">
        <v>423</v>
      </c>
      <c r="N501" s="7">
        <v>1.4330000000000001</v>
      </c>
      <c r="O501" s="7">
        <v>4.0099999999999997E-2</v>
      </c>
      <c r="P501" s="7">
        <v>3</v>
      </c>
      <c r="Q501" s="7">
        <v>1.5367</v>
      </c>
      <c r="R501" s="7">
        <v>4.0099999999999997E-2</v>
      </c>
      <c r="S501" s="7">
        <v>3</v>
      </c>
      <c r="T501" s="7">
        <v>6.9455237383511975E-2</v>
      </c>
      <c r="U501" s="7">
        <v>6.9455237383511975E-2</v>
      </c>
      <c r="V501" s="7">
        <v>6.9867111233114801E-2</v>
      </c>
      <c r="W501" s="7">
        <v>1.4640050789946342E-3</v>
      </c>
      <c r="X501" t="s">
        <v>379</v>
      </c>
      <c r="Y501" t="s">
        <v>380</v>
      </c>
      <c r="Z501" t="s">
        <v>381</v>
      </c>
      <c r="AA501" t="s">
        <v>1026</v>
      </c>
      <c r="AB501" t="s">
        <v>92</v>
      </c>
      <c r="AC501" t="s">
        <v>1022</v>
      </c>
      <c r="AD501" t="s">
        <v>1022</v>
      </c>
      <c r="AE501" t="s">
        <v>1799</v>
      </c>
      <c r="AF501" t="s">
        <v>1800</v>
      </c>
      <c r="AG501" t="s">
        <v>1799</v>
      </c>
      <c r="AI501" t="s">
        <v>40</v>
      </c>
      <c r="AJ501" t="s">
        <v>1636</v>
      </c>
      <c r="AK501" t="s">
        <v>1637</v>
      </c>
      <c r="AL501" s="4">
        <v>50</v>
      </c>
      <c r="AM501" t="s">
        <v>185</v>
      </c>
      <c r="AN501">
        <v>50</v>
      </c>
      <c r="AO501" t="s">
        <v>1665</v>
      </c>
      <c r="AP501" t="s">
        <v>1639</v>
      </c>
      <c r="AQ501" t="s">
        <v>1640</v>
      </c>
      <c r="AR501" t="s">
        <v>1686</v>
      </c>
      <c r="AS501">
        <v>1</v>
      </c>
      <c r="AT501">
        <v>0</v>
      </c>
      <c r="AU501">
        <v>0</v>
      </c>
      <c r="AV501">
        <v>0</v>
      </c>
      <c r="AW501">
        <v>0</v>
      </c>
      <c r="AX501">
        <v>0</v>
      </c>
      <c r="AY501" t="s">
        <v>1642</v>
      </c>
    </row>
    <row r="502" spans="1:51">
      <c r="A502" t="s">
        <v>1022</v>
      </c>
      <c r="B502" t="s">
        <v>1027</v>
      </c>
      <c r="C502" t="s">
        <v>655</v>
      </c>
      <c r="D502" t="s">
        <v>1024</v>
      </c>
      <c r="E502" t="s">
        <v>96</v>
      </c>
      <c r="F502">
        <v>100</v>
      </c>
      <c r="G502" t="s">
        <v>185</v>
      </c>
      <c r="H502" t="s">
        <v>84</v>
      </c>
      <c r="I502" t="s">
        <v>85</v>
      </c>
      <c r="J502" t="s">
        <v>1025</v>
      </c>
      <c r="K502" t="s">
        <v>149</v>
      </c>
      <c r="L502" t="s">
        <v>40</v>
      </c>
      <c r="M502" t="s">
        <v>423</v>
      </c>
      <c r="N502" s="7">
        <v>1.4330000000000001</v>
      </c>
      <c r="O502" s="7">
        <v>4.0099999999999997E-2</v>
      </c>
      <c r="P502" s="7">
        <v>3</v>
      </c>
      <c r="Q502" s="7">
        <v>1.76</v>
      </c>
      <c r="R502" s="7">
        <v>4.0099999999999997E-2</v>
      </c>
      <c r="S502" s="7">
        <v>3</v>
      </c>
      <c r="T502" s="7">
        <v>6.9455237383511975E-2</v>
      </c>
      <c r="U502" s="7">
        <v>6.9455237383511975E-2</v>
      </c>
      <c r="V502" s="7">
        <v>0.20554366020402551</v>
      </c>
      <c r="W502" s="7">
        <v>1.3021771865187868E-3</v>
      </c>
      <c r="X502" t="s">
        <v>379</v>
      </c>
      <c r="Y502" t="s">
        <v>380</v>
      </c>
      <c r="Z502" t="s">
        <v>381</v>
      </c>
      <c r="AA502" t="s">
        <v>1026</v>
      </c>
      <c r="AB502" t="s">
        <v>92</v>
      </c>
      <c r="AC502" t="s">
        <v>1022</v>
      </c>
      <c r="AD502" t="s">
        <v>1022</v>
      </c>
      <c r="AE502" t="s">
        <v>1799</v>
      </c>
      <c r="AF502" t="s">
        <v>1801</v>
      </c>
      <c r="AG502" t="s">
        <v>1799</v>
      </c>
      <c r="AI502" t="s">
        <v>40</v>
      </c>
      <c r="AJ502" t="s">
        <v>1636</v>
      </c>
      <c r="AK502" t="s">
        <v>1637</v>
      </c>
      <c r="AL502" s="4">
        <v>100</v>
      </c>
      <c r="AM502" t="s">
        <v>185</v>
      </c>
      <c r="AN502">
        <v>100</v>
      </c>
      <c r="AO502" t="s">
        <v>1665</v>
      </c>
      <c r="AP502" t="s">
        <v>1639</v>
      </c>
      <c r="AQ502" t="s">
        <v>1640</v>
      </c>
      <c r="AR502" t="s">
        <v>1686</v>
      </c>
      <c r="AS502">
        <v>1</v>
      </c>
      <c r="AT502">
        <v>0</v>
      </c>
      <c r="AU502">
        <v>0</v>
      </c>
      <c r="AV502">
        <v>0</v>
      </c>
      <c r="AW502">
        <v>0</v>
      </c>
      <c r="AX502">
        <v>0</v>
      </c>
      <c r="AY502" t="s">
        <v>1642</v>
      </c>
    </row>
    <row r="503" spans="1:51">
      <c r="A503" t="s">
        <v>1022</v>
      </c>
      <c r="B503" t="s">
        <v>1028</v>
      </c>
      <c r="C503" t="s">
        <v>655</v>
      </c>
      <c r="D503" t="s">
        <v>1024</v>
      </c>
      <c r="E503" t="s">
        <v>96</v>
      </c>
      <c r="F503">
        <v>50</v>
      </c>
      <c r="G503" t="s">
        <v>185</v>
      </c>
      <c r="H503" t="s">
        <v>84</v>
      </c>
      <c r="I503" t="s">
        <v>85</v>
      </c>
      <c r="J503" t="s">
        <v>1029</v>
      </c>
      <c r="K503" t="s">
        <v>149</v>
      </c>
      <c r="L503" t="s">
        <v>40</v>
      </c>
      <c r="M503" t="s">
        <v>423</v>
      </c>
      <c r="N503" s="7">
        <v>0.99329999999999996</v>
      </c>
      <c r="O503" s="7">
        <v>4.0099999999999997E-2</v>
      </c>
      <c r="P503" s="7">
        <v>3</v>
      </c>
      <c r="Q503" s="7">
        <v>1.0266999999999999</v>
      </c>
      <c r="R503" s="7">
        <v>4.0099999999999997E-2</v>
      </c>
      <c r="S503" s="7">
        <v>3</v>
      </c>
      <c r="T503" s="7">
        <v>6.9455237383511975E-2</v>
      </c>
      <c r="U503" s="7">
        <v>6.9455237383511975E-2</v>
      </c>
      <c r="V503" s="7">
        <v>3.3072321083608677E-2</v>
      </c>
      <c r="W503" s="7">
        <v>3.1552386348994467E-3</v>
      </c>
      <c r="X503" t="s">
        <v>379</v>
      </c>
      <c r="Y503" t="s">
        <v>380</v>
      </c>
      <c r="Z503" t="s">
        <v>381</v>
      </c>
      <c r="AA503" t="s">
        <v>1030</v>
      </c>
      <c r="AB503" t="s">
        <v>92</v>
      </c>
      <c r="AC503" t="s">
        <v>1022</v>
      </c>
      <c r="AD503" t="s">
        <v>1022</v>
      </c>
      <c r="AE503" t="s">
        <v>1802</v>
      </c>
      <c r="AF503" t="s">
        <v>1803</v>
      </c>
      <c r="AG503" t="s">
        <v>1802</v>
      </c>
      <c r="AI503" t="s">
        <v>40</v>
      </c>
      <c r="AJ503" t="s">
        <v>1636</v>
      </c>
      <c r="AK503" t="s">
        <v>1637</v>
      </c>
      <c r="AL503" s="4">
        <v>50</v>
      </c>
      <c r="AM503" t="s">
        <v>185</v>
      </c>
      <c r="AN503">
        <v>50</v>
      </c>
      <c r="AO503" t="s">
        <v>1665</v>
      </c>
      <c r="AP503" t="s">
        <v>1639</v>
      </c>
      <c r="AQ503" t="s">
        <v>1640</v>
      </c>
      <c r="AR503" t="s">
        <v>1686</v>
      </c>
      <c r="AS503">
        <v>1</v>
      </c>
      <c r="AT503">
        <v>0</v>
      </c>
      <c r="AU503">
        <v>0</v>
      </c>
      <c r="AV503">
        <v>0</v>
      </c>
      <c r="AW503">
        <v>0</v>
      </c>
      <c r="AX503">
        <v>0</v>
      </c>
      <c r="AY503" t="s">
        <v>1642</v>
      </c>
    </row>
    <row r="504" spans="1:51">
      <c r="A504" t="s">
        <v>1022</v>
      </c>
      <c r="B504" t="s">
        <v>1031</v>
      </c>
      <c r="C504" t="s">
        <v>655</v>
      </c>
      <c r="D504" t="s">
        <v>1024</v>
      </c>
      <c r="E504" t="s">
        <v>96</v>
      </c>
      <c r="F504">
        <v>100</v>
      </c>
      <c r="G504" t="s">
        <v>185</v>
      </c>
      <c r="H504" t="s">
        <v>84</v>
      </c>
      <c r="I504" t="s">
        <v>85</v>
      </c>
      <c r="J504" t="s">
        <v>1029</v>
      </c>
      <c r="K504" t="s">
        <v>149</v>
      </c>
      <c r="L504" t="s">
        <v>40</v>
      </c>
      <c r="M504" t="s">
        <v>423</v>
      </c>
      <c r="N504" s="7">
        <v>0.99329999999999996</v>
      </c>
      <c r="O504" s="7">
        <v>4.0099999999999997E-2</v>
      </c>
      <c r="P504" s="7">
        <v>3</v>
      </c>
      <c r="Q504" s="7">
        <v>1.37</v>
      </c>
      <c r="R504" s="7">
        <v>4.0099999999999997E-2</v>
      </c>
      <c r="S504" s="7">
        <v>3</v>
      </c>
      <c r="T504" s="7">
        <v>6.9455237383511975E-2</v>
      </c>
      <c r="U504" s="7">
        <v>6.9455237383511975E-2</v>
      </c>
      <c r="V504" s="7">
        <v>0.32153328560086036</v>
      </c>
      <c r="W504" s="7">
        <v>2.4865130085572639E-3</v>
      </c>
      <c r="X504" t="s">
        <v>379</v>
      </c>
      <c r="Y504" t="s">
        <v>380</v>
      </c>
      <c r="Z504" t="s">
        <v>381</v>
      </c>
      <c r="AA504" t="s">
        <v>1030</v>
      </c>
      <c r="AB504" t="s">
        <v>92</v>
      </c>
      <c r="AC504" t="s">
        <v>1022</v>
      </c>
      <c r="AD504" t="s">
        <v>1022</v>
      </c>
      <c r="AE504" t="s">
        <v>1802</v>
      </c>
      <c r="AF504" t="s">
        <v>1804</v>
      </c>
      <c r="AG504" t="s">
        <v>1802</v>
      </c>
      <c r="AI504" t="s">
        <v>40</v>
      </c>
      <c r="AJ504" t="s">
        <v>1636</v>
      </c>
      <c r="AK504" t="s">
        <v>1637</v>
      </c>
      <c r="AL504" s="4">
        <v>100</v>
      </c>
      <c r="AM504" t="s">
        <v>185</v>
      </c>
      <c r="AN504">
        <v>100</v>
      </c>
      <c r="AO504" t="s">
        <v>1665</v>
      </c>
      <c r="AP504" t="s">
        <v>1639</v>
      </c>
      <c r="AQ504" t="s">
        <v>1640</v>
      </c>
      <c r="AR504" t="s">
        <v>1686</v>
      </c>
      <c r="AS504">
        <v>1</v>
      </c>
      <c r="AT504">
        <v>0</v>
      </c>
      <c r="AU504">
        <v>0</v>
      </c>
      <c r="AV504">
        <v>0</v>
      </c>
      <c r="AW504">
        <v>0</v>
      </c>
      <c r="AX504">
        <v>0</v>
      </c>
      <c r="AY504" t="s">
        <v>1642</v>
      </c>
    </row>
    <row r="505" spans="1:51">
      <c r="A505" t="s">
        <v>1022</v>
      </c>
      <c r="B505" t="s">
        <v>1032</v>
      </c>
      <c r="C505" t="s">
        <v>655</v>
      </c>
      <c r="D505" t="s">
        <v>1033</v>
      </c>
      <c r="E505" t="s">
        <v>96</v>
      </c>
      <c r="F505">
        <v>50</v>
      </c>
      <c r="G505" t="s">
        <v>185</v>
      </c>
      <c r="H505" t="s">
        <v>84</v>
      </c>
      <c r="I505" t="s">
        <v>85</v>
      </c>
      <c r="J505" t="s">
        <v>1025</v>
      </c>
      <c r="K505" t="s">
        <v>149</v>
      </c>
      <c r="L505" t="s">
        <v>40</v>
      </c>
      <c r="M505" t="s">
        <v>423</v>
      </c>
      <c r="N505" s="7">
        <v>1.6667000000000001</v>
      </c>
      <c r="O505" s="7">
        <v>4.0099999999999997E-2</v>
      </c>
      <c r="P505" s="7">
        <v>3</v>
      </c>
      <c r="Q505" s="7">
        <v>1.7932999999999999</v>
      </c>
      <c r="R505" s="7">
        <v>4.0099999999999997E-2</v>
      </c>
      <c r="S505" s="7">
        <v>3</v>
      </c>
      <c r="T505" s="7">
        <v>6.9455237383511975E-2</v>
      </c>
      <c r="U505" s="7">
        <v>6.9455237383511975E-2</v>
      </c>
      <c r="V505" s="7">
        <v>7.3211874406247962E-2</v>
      </c>
      <c r="W505" s="7">
        <v>1.0788752326984891E-3</v>
      </c>
      <c r="X505" t="s">
        <v>379</v>
      </c>
      <c r="Y505" t="s">
        <v>380</v>
      </c>
      <c r="Z505" t="s">
        <v>381</v>
      </c>
      <c r="AA505" t="s">
        <v>1034</v>
      </c>
      <c r="AB505" t="s">
        <v>92</v>
      </c>
      <c r="AC505" t="s">
        <v>1022</v>
      </c>
      <c r="AD505" t="s">
        <v>1022</v>
      </c>
      <c r="AE505" t="s">
        <v>1805</v>
      </c>
      <c r="AF505" t="s">
        <v>1806</v>
      </c>
      <c r="AG505" t="s">
        <v>1805</v>
      </c>
      <c r="AI505" t="s">
        <v>40</v>
      </c>
      <c r="AJ505" t="s">
        <v>1636</v>
      </c>
      <c r="AK505" t="s">
        <v>1637</v>
      </c>
      <c r="AL505" s="4">
        <v>50</v>
      </c>
      <c r="AM505" t="s">
        <v>185</v>
      </c>
      <c r="AN505">
        <v>50</v>
      </c>
      <c r="AO505" t="s">
        <v>1665</v>
      </c>
      <c r="AP505" t="s">
        <v>1639</v>
      </c>
      <c r="AQ505" t="s">
        <v>1640</v>
      </c>
      <c r="AR505" t="s">
        <v>1686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 t="s">
        <v>1642</v>
      </c>
    </row>
    <row r="506" spans="1:51">
      <c r="A506" t="s">
        <v>1022</v>
      </c>
      <c r="B506" t="s">
        <v>1035</v>
      </c>
      <c r="C506" t="s">
        <v>655</v>
      </c>
      <c r="D506" t="s">
        <v>1033</v>
      </c>
      <c r="E506" t="s">
        <v>96</v>
      </c>
      <c r="F506">
        <v>100</v>
      </c>
      <c r="G506" t="s">
        <v>185</v>
      </c>
      <c r="H506" t="s">
        <v>84</v>
      </c>
      <c r="I506" t="s">
        <v>85</v>
      </c>
      <c r="J506" t="s">
        <v>1025</v>
      </c>
      <c r="K506" t="s">
        <v>149</v>
      </c>
      <c r="L506" t="s">
        <v>40</v>
      </c>
      <c r="M506" t="s">
        <v>423</v>
      </c>
      <c r="N506" s="7">
        <v>1.6667000000000001</v>
      </c>
      <c r="O506" s="7">
        <v>4.0099999999999997E-2</v>
      </c>
      <c r="P506" s="7">
        <v>3</v>
      </c>
      <c r="Q506" s="7">
        <v>1.9167000000000001</v>
      </c>
      <c r="R506" s="7">
        <v>4.0099999999999997E-2</v>
      </c>
      <c r="S506" s="7">
        <v>3</v>
      </c>
      <c r="T506" s="7">
        <v>6.9455237383511975E-2</v>
      </c>
      <c r="U506" s="7">
        <v>6.9455237383511975E-2</v>
      </c>
      <c r="V506" s="7">
        <v>0.1397593337282769</v>
      </c>
      <c r="W506" s="7">
        <v>1.016564388975225E-3</v>
      </c>
      <c r="X506" t="s">
        <v>379</v>
      </c>
      <c r="Y506" t="s">
        <v>380</v>
      </c>
      <c r="Z506" t="s">
        <v>381</v>
      </c>
      <c r="AA506" t="s">
        <v>1034</v>
      </c>
      <c r="AB506" t="s">
        <v>92</v>
      </c>
      <c r="AC506" t="s">
        <v>1022</v>
      </c>
      <c r="AD506" t="s">
        <v>1022</v>
      </c>
      <c r="AE506" t="s">
        <v>1805</v>
      </c>
      <c r="AF506" t="s">
        <v>1807</v>
      </c>
      <c r="AG506" t="s">
        <v>1805</v>
      </c>
      <c r="AI506" t="s">
        <v>40</v>
      </c>
      <c r="AJ506" t="s">
        <v>1636</v>
      </c>
      <c r="AK506" t="s">
        <v>1637</v>
      </c>
      <c r="AL506" s="4">
        <v>100</v>
      </c>
      <c r="AM506" t="s">
        <v>185</v>
      </c>
      <c r="AN506">
        <v>100</v>
      </c>
      <c r="AO506" t="s">
        <v>1665</v>
      </c>
      <c r="AP506" t="s">
        <v>1639</v>
      </c>
      <c r="AQ506" t="s">
        <v>1640</v>
      </c>
      <c r="AR506" t="s">
        <v>1686</v>
      </c>
      <c r="AS506">
        <v>1</v>
      </c>
      <c r="AT506">
        <v>0</v>
      </c>
      <c r="AU506">
        <v>0</v>
      </c>
      <c r="AV506">
        <v>0</v>
      </c>
      <c r="AW506">
        <v>0</v>
      </c>
      <c r="AX506">
        <v>0</v>
      </c>
      <c r="AY506" t="s">
        <v>1642</v>
      </c>
    </row>
    <row r="507" spans="1:51">
      <c r="A507" t="s">
        <v>1022</v>
      </c>
      <c r="B507" t="s">
        <v>1036</v>
      </c>
      <c r="C507" t="s">
        <v>655</v>
      </c>
      <c r="D507" t="s">
        <v>1033</v>
      </c>
      <c r="E507" t="s">
        <v>96</v>
      </c>
      <c r="F507">
        <v>50</v>
      </c>
      <c r="G507" t="s">
        <v>185</v>
      </c>
      <c r="H507" t="s">
        <v>84</v>
      </c>
      <c r="I507" t="s">
        <v>85</v>
      </c>
      <c r="J507" t="s">
        <v>1029</v>
      </c>
      <c r="K507" t="s">
        <v>149</v>
      </c>
      <c r="L507" t="s">
        <v>40</v>
      </c>
      <c r="M507" t="s">
        <v>423</v>
      </c>
      <c r="N507" s="7">
        <v>1.2666999999999999</v>
      </c>
      <c r="O507" s="7">
        <v>4.0099999999999997E-2</v>
      </c>
      <c r="P507" s="7">
        <v>3</v>
      </c>
      <c r="Q507" s="7">
        <v>1.46</v>
      </c>
      <c r="R507" s="7">
        <v>4.0099999999999997E-2</v>
      </c>
      <c r="S507" s="7">
        <v>3</v>
      </c>
      <c r="T507" s="7">
        <v>6.9455237383511975E-2</v>
      </c>
      <c r="U507" s="7">
        <v>6.9455237383511975E-2</v>
      </c>
      <c r="V507" s="7">
        <v>0.1420213422127953</v>
      </c>
      <c r="W507" s="7">
        <v>1.7565371638931066E-3</v>
      </c>
      <c r="X507" t="s">
        <v>379</v>
      </c>
      <c r="Y507" t="s">
        <v>380</v>
      </c>
      <c r="Z507" t="s">
        <v>381</v>
      </c>
      <c r="AA507" t="s">
        <v>1037</v>
      </c>
      <c r="AB507" t="s">
        <v>92</v>
      </c>
      <c r="AC507" t="s">
        <v>1022</v>
      </c>
      <c r="AD507" t="s">
        <v>1022</v>
      </c>
      <c r="AE507" t="s">
        <v>1808</v>
      </c>
      <c r="AF507" t="s">
        <v>1809</v>
      </c>
      <c r="AG507" t="s">
        <v>1808</v>
      </c>
      <c r="AI507" t="s">
        <v>40</v>
      </c>
      <c r="AJ507" t="s">
        <v>1636</v>
      </c>
      <c r="AK507" t="s">
        <v>1637</v>
      </c>
      <c r="AL507" s="4">
        <v>50</v>
      </c>
      <c r="AM507" t="s">
        <v>185</v>
      </c>
      <c r="AN507">
        <v>50</v>
      </c>
      <c r="AO507" t="s">
        <v>1665</v>
      </c>
      <c r="AP507" t="s">
        <v>1639</v>
      </c>
      <c r="AQ507" t="s">
        <v>1640</v>
      </c>
      <c r="AR507" t="s">
        <v>1686</v>
      </c>
      <c r="AS507">
        <v>1</v>
      </c>
      <c r="AT507">
        <v>0</v>
      </c>
      <c r="AU507">
        <v>0</v>
      </c>
      <c r="AV507">
        <v>0</v>
      </c>
      <c r="AW507">
        <v>0</v>
      </c>
      <c r="AX507">
        <v>0</v>
      </c>
      <c r="AY507" t="s">
        <v>1642</v>
      </c>
    </row>
    <row r="508" spans="1:51">
      <c r="A508" t="s">
        <v>1022</v>
      </c>
      <c r="B508" t="s">
        <v>1038</v>
      </c>
      <c r="C508" t="s">
        <v>655</v>
      </c>
      <c r="D508" t="s">
        <v>1033</v>
      </c>
      <c r="E508" t="s">
        <v>96</v>
      </c>
      <c r="F508">
        <v>100</v>
      </c>
      <c r="G508" t="s">
        <v>185</v>
      </c>
      <c r="H508" t="s">
        <v>84</v>
      </c>
      <c r="I508" t="s">
        <v>85</v>
      </c>
      <c r="J508" t="s">
        <v>1029</v>
      </c>
      <c r="K508" t="s">
        <v>149</v>
      </c>
      <c r="L508" t="s">
        <v>40</v>
      </c>
      <c r="M508" t="s">
        <v>423</v>
      </c>
      <c r="N508" s="7">
        <v>1.2666999999999999</v>
      </c>
      <c r="O508" s="7">
        <v>4.0099999999999997E-2</v>
      </c>
      <c r="P508" s="7">
        <v>3</v>
      </c>
      <c r="Q508" s="7">
        <v>1.31</v>
      </c>
      <c r="R508" s="7">
        <v>4.0099999999999997E-2</v>
      </c>
      <c r="S508" s="7">
        <v>3</v>
      </c>
      <c r="T508" s="7">
        <v>6.9455237383511975E-2</v>
      </c>
      <c r="U508" s="7">
        <v>6.9455237383511975E-2</v>
      </c>
      <c r="V508" s="7">
        <v>3.3612043705610481E-2</v>
      </c>
      <c r="W508" s="7">
        <v>1.9391837127230045E-3</v>
      </c>
      <c r="X508" t="s">
        <v>379</v>
      </c>
      <c r="Y508" t="s">
        <v>380</v>
      </c>
      <c r="Z508" t="s">
        <v>381</v>
      </c>
      <c r="AA508" t="s">
        <v>1037</v>
      </c>
      <c r="AB508" t="s">
        <v>92</v>
      </c>
      <c r="AC508" t="s">
        <v>1022</v>
      </c>
      <c r="AD508" t="s">
        <v>1022</v>
      </c>
      <c r="AE508" t="s">
        <v>1808</v>
      </c>
      <c r="AF508" t="s">
        <v>1810</v>
      </c>
      <c r="AG508" t="s">
        <v>1808</v>
      </c>
      <c r="AI508" t="s">
        <v>40</v>
      </c>
      <c r="AJ508" t="s">
        <v>1636</v>
      </c>
      <c r="AK508" t="s">
        <v>1637</v>
      </c>
      <c r="AL508" s="4">
        <v>100</v>
      </c>
      <c r="AM508" t="s">
        <v>185</v>
      </c>
      <c r="AN508">
        <v>100</v>
      </c>
      <c r="AO508" t="s">
        <v>1665</v>
      </c>
      <c r="AP508" t="s">
        <v>1639</v>
      </c>
      <c r="AQ508" t="s">
        <v>1640</v>
      </c>
      <c r="AR508" t="s">
        <v>1686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 t="s">
        <v>1642</v>
      </c>
    </row>
    <row r="509" spans="1:51">
      <c r="A509" t="s">
        <v>1039</v>
      </c>
      <c r="B509" t="s">
        <v>1040</v>
      </c>
      <c r="C509" t="s">
        <v>1041</v>
      </c>
      <c r="D509" t="s">
        <v>1042</v>
      </c>
      <c r="E509" t="s">
        <v>96</v>
      </c>
      <c r="F509">
        <v>20</v>
      </c>
      <c r="G509" t="s">
        <v>185</v>
      </c>
      <c r="H509" t="s">
        <v>376</v>
      </c>
      <c r="I509" t="s">
        <v>377</v>
      </c>
      <c r="J509" t="s">
        <v>944</v>
      </c>
      <c r="K509" t="s">
        <v>149</v>
      </c>
      <c r="L509" t="s">
        <v>40</v>
      </c>
      <c r="M509" t="s">
        <v>188</v>
      </c>
      <c r="N509" s="7">
        <v>28.14</v>
      </c>
      <c r="O509" s="7"/>
      <c r="P509" s="7">
        <v>3</v>
      </c>
      <c r="Q509" s="7">
        <v>33.78</v>
      </c>
      <c r="R509" s="7"/>
      <c r="S509" s="7">
        <v>3</v>
      </c>
      <c r="T509" s="7">
        <v>0.55000000000000004</v>
      </c>
      <c r="U509" s="7">
        <v>0.41</v>
      </c>
      <c r="V509" s="7">
        <v>0.18267685969341096</v>
      </c>
      <c r="W509" s="7">
        <v>1.7644255253507118E-4</v>
      </c>
      <c r="X509" t="s">
        <v>819</v>
      </c>
      <c r="Y509" t="s">
        <v>380</v>
      </c>
      <c r="Z509" t="s">
        <v>381</v>
      </c>
      <c r="AA509" t="s">
        <v>1043</v>
      </c>
      <c r="AB509" t="s">
        <v>92</v>
      </c>
      <c r="AC509" t="s">
        <v>1039</v>
      </c>
      <c r="AD509" t="s">
        <v>1039</v>
      </c>
      <c r="AE509" t="s">
        <v>1811</v>
      </c>
      <c r="AF509" t="s">
        <v>1812</v>
      </c>
      <c r="AG509" t="s">
        <v>1811</v>
      </c>
      <c r="AI509" t="s">
        <v>40</v>
      </c>
      <c r="AJ509" t="s">
        <v>1636</v>
      </c>
      <c r="AK509" t="s">
        <v>1637</v>
      </c>
      <c r="AL509" s="4">
        <v>20</v>
      </c>
      <c r="AM509" t="s">
        <v>185</v>
      </c>
      <c r="AN509">
        <v>20</v>
      </c>
      <c r="AO509" t="s">
        <v>1665</v>
      </c>
      <c r="AP509" t="s">
        <v>1639</v>
      </c>
      <c r="AQ509" t="s">
        <v>1685</v>
      </c>
      <c r="AR509" t="s">
        <v>1686</v>
      </c>
      <c r="AS509">
        <v>1</v>
      </c>
      <c r="AT509">
        <v>0</v>
      </c>
      <c r="AU509">
        <v>0</v>
      </c>
      <c r="AV509">
        <v>0</v>
      </c>
      <c r="AW509">
        <v>0</v>
      </c>
      <c r="AX509">
        <v>0</v>
      </c>
      <c r="AY509" t="s">
        <v>1642</v>
      </c>
    </row>
    <row r="510" spans="1:51">
      <c r="A510" t="s">
        <v>1039</v>
      </c>
      <c r="B510" t="s">
        <v>1044</v>
      </c>
      <c r="C510" t="s">
        <v>1041</v>
      </c>
      <c r="D510" t="s">
        <v>1042</v>
      </c>
      <c r="E510" t="s">
        <v>96</v>
      </c>
      <c r="F510">
        <v>20</v>
      </c>
      <c r="G510" t="s">
        <v>185</v>
      </c>
      <c r="H510" t="s">
        <v>376</v>
      </c>
      <c r="I510" t="s">
        <v>377</v>
      </c>
      <c r="J510" t="s">
        <v>944</v>
      </c>
      <c r="K510" t="s">
        <v>149</v>
      </c>
      <c r="L510" t="s">
        <v>30</v>
      </c>
      <c r="M510" t="s">
        <v>188</v>
      </c>
      <c r="N510" s="7">
        <v>10.78</v>
      </c>
      <c r="O510" s="7"/>
      <c r="P510" s="7">
        <v>3</v>
      </c>
      <c r="Q510" s="7">
        <v>11.09</v>
      </c>
      <c r="R510" s="7"/>
      <c r="S510" s="7">
        <v>3</v>
      </c>
      <c r="T510" s="7">
        <v>0.3</v>
      </c>
      <c r="U510" s="7">
        <v>0.13</v>
      </c>
      <c r="V510" s="7">
        <v>2.8351235881424571E-2</v>
      </c>
      <c r="W510" s="7">
        <v>3.0396078686377047E-4</v>
      </c>
      <c r="X510" t="s">
        <v>819</v>
      </c>
      <c r="Y510" t="s">
        <v>380</v>
      </c>
      <c r="Z510" t="s">
        <v>381</v>
      </c>
      <c r="AA510" t="s">
        <v>1045</v>
      </c>
      <c r="AB510" t="s">
        <v>92</v>
      </c>
      <c r="AC510" t="s">
        <v>1039</v>
      </c>
      <c r="AD510" t="s">
        <v>1039</v>
      </c>
      <c r="AE510" t="s">
        <v>1811</v>
      </c>
      <c r="AF510" t="s">
        <v>1812</v>
      </c>
      <c r="AG510" t="s">
        <v>1811</v>
      </c>
      <c r="AI510" t="s">
        <v>30</v>
      </c>
      <c r="AJ510" t="s">
        <v>1636</v>
      </c>
      <c r="AK510" t="s">
        <v>1637</v>
      </c>
      <c r="AL510" s="4">
        <v>20</v>
      </c>
      <c r="AM510" t="s">
        <v>185</v>
      </c>
      <c r="AN510">
        <v>20</v>
      </c>
      <c r="AO510" t="s">
        <v>1665</v>
      </c>
      <c r="AP510" t="s">
        <v>1639</v>
      </c>
      <c r="AQ510" t="s">
        <v>1685</v>
      </c>
      <c r="AR510" t="s">
        <v>1686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 t="s">
        <v>1642</v>
      </c>
    </row>
    <row r="511" spans="1:51">
      <c r="A511" t="s">
        <v>1039</v>
      </c>
      <c r="B511" t="s">
        <v>1046</v>
      </c>
      <c r="C511" t="s">
        <v>1041</v>
      </c>
      <c r="D511" t="s">
        <v>1042</v>
      </c>
      <c r="E511" t="s">
        <v>96</v>
      </c>
      <c r="F511">
        <v>20</v>
      </c>
      <c r="G511" t="s">
        <v>185</v>
      </c>
      <c r="H511" t="s">
        <v>376</v>
      </c>
      <c r="I511" t="s">
        <v>377</v>
      </c>
      <c r="J511" t="s">
        <v>944</v>
      </c>
      <c r="K511" t="s">
        <v>149</v>
      </c>
      <c r="L511" t="s">
        <v>337</v>
      </c>
      <c r="M511" t="s">
        <v>188</v>
      </c>
      <c r="N511" s="7">
        <v>6.69</v>
      </c>
      <c r="O511" s="7"/>
      <c r="P511" s="7">
        <v>3</v>
      </c>
      <c r="Q511" s="7">
        <v>6.26</v>
      </c>
      <c r="R511" s="7"/>
      <c r="S511" s="7">
        <v>3</v>
      </c>
      <c r="T511" s="7">
        <v>0.18</v>
      </c>
      <c r="U511" s="7">
        <v>0.2</v>
      </c>
      <c r="V511" s="7">
        <v>-6.6433689028129961E-2</v>
      </c>
      <c r="W511" s="7">
        <v>5.8155157128248814E-4</v>
      </c>
      <c r="X511" t="s">
        <v>819</v>
      </c>
      <c r="Y511" t="s">
        <v>380</v>
      </c>
      <c r="Z511" t="s">
        <v>381</v>
      </c>
      <c r="AA511" t="s">
        <v>1047</v>
      </c>
      <c r="AB511" t="s">
        <v>92</v>
      </c>
      <c r="AC511" t="s">
        <v>1039</v>
      </c>
      <c r="AD511" t="s">
        <v>1039</v>
      </c>
      <c r="AE511" t="s">
        <v>1811</v>
      </c>
      <c r="AF511" t="s">
        <v>1812</v>
      </c>
      <c r="AG511" t="s">
        <v>1811</v>
      </c>
      <c r="AI511" t="s">
        <v>337</v>
      </c>
      <c r="AJ511" t="s">
        <v>1636</v>
      </c>
      <c r="AK511" t="s">
        <v>1637</v>
      </c>
      <c r="AL511" s="4">
        <v>20</v>
      </c>
      <c r="AM511" t="s">
        <v>185</v>
      </c>
      <c r="AN511">
        <v>20</v>
      </c>
      <c r="AO511" t="s">
        <v>1665</v>
      </c>
      <c r="AP511" t="s">
        <v>1639</v>
      </c>
      <c r="AQ511" t="s">
        <v>1685</v>
      </c>
      <c r="AR511" t="s">
        <v>1686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 t="s">
        <v>1642</v>
      </c>
    </row>
    <row r="512" spans="1:51">
      <c r="A512" t="s">
        <v>1039</v>
      </c>
      <c r="B512" t="s">
        <v>1048</v>
      </c>
      <c r="C512" t="s">
        <v>1041</v>
      </c>
      <c r="D512" t="s">
        <v>1042</v>
      </c>
      <c r="E512" t="s">
        <v>96</v>
      </c>
      <c r="F512">
        <v>20</v>
      </c>
      <c r="G512" t="s">
        <v>185</v>
      </c>
      <c r="H512" t="s">
        <v>376</v>
      </c>
      <c r="I512" t="s">
        <v>377</v>
      </c>
      <c r="J512" t="s">
        <v>944</v>
      </c>
      <c r="K512" t="s">
        <v>29</v>
      </c>
      <c r="L512" t="s">
        <v>40</v>
      </c>
      <c r="M512" t="s">
        <v>188</v>
      </c>
      <c r="N512" s="7">
        <v>23.03</v>
      </c>
      <c r="O512" s="7"/>
      <c r="P512" s="7">
        <v>3</v>
      </c>
      <c r="Q512" s="7">
        <v>26.51</v>
      </c>
      <c r="R512" s="7"/>
      <c r="S512" s="7">
        <v>3</v>
      </c>
      <c r="T512" s="7">
        <v>0.61</v>
      </c>
      <c r="U512" s="7">
        <v>0.61</v>
      </c>
      <c r="V512" s="7">
        <v>0.14072430646834042</v>
      </c>
      <c r="W512" s="7">
        <v>4.1034662439074279E-4</v>
      </c>
      <c r="X512" t="s">
        <v>819</v>
      </c>
      <c r="Y512" t="s">
        <v>380</v>
      </c>
      <c r="Z512" t="s">
        <v>381</v>
      </c>
      <c r="AA512" t="s">
        <v>1049</v>
      </c>
      <c r="AB512" t="s">
        <v>92</v>
      </c>
      <c r="AC512" t="s">
        <v>1039</v>
      </c>
      <c r="AD512" t="s">
        <v>1039</v>
      </c>
      <c r="AE512" t="s">
        <v>1811</v>
      </c>
      <c r="AF512" t="s">
        <v>1812</v>
      </c>
      <c r="AG512" t="s">
        <v>1811</v>
      </c>
      <c r="AI512" t="s">
        <v>40</v>
      </c>
      <c r="AJ512" t="s">
        <v>1636</v>
      </c>
      <c r="AK512" t="s">
        <v>1637</v>
      </c>
      <c r="AL512" s="4">
        <v>20</v>
      </c>
      <c r="AM512" t="s">
        <v>185</v>
      </c>
      <c r="AN512">
        <v>20</v>
      </c>
      <c r="AO512" t="s">
        <v>1665</v>
      </c>
      <c r="AP512" t="s">
        <v>1639</v>
      </c>
      <c r="AQ512" t="s">
        <v>1685</v>
      </c>
      <c r="AR512" t="s">
        <v>1686</v>
      </c>
      <c r="AS512">
        <v>1</v>
      </c>
      <c r="AT512">
        <v>0</v>
      </c>
      <c r="AU512">
        <v>0</v>
      </c>
      <c r="AV512">
        <v>0</v>
      </c>
      <c r="AW512">
        <v>0</v>
      </c>
      <c r="AX512">
        <v>0</v>
      </c>
      <c r="AY512" t="s">
        <v>1642</v>
      </c>
    </row>
    <row r="513" spans="1:51">
      <c r="A513" t="s">
        <v>1039</v>
      </c>
      <c r="B513" t="s">
        <v>1050</v>
      </c>
      <c r="C513" t="s">
        <v>1041</v>
      </c>
      <c r="D513" t="s">
        <v>1042</v>
      </c>
      <c r="E513" t="s">
        <v>96</v>
      </c>
      <c r="F513">
        <v>20</v>
      </c>
      <c r="G513" t="s">
        <v>185</v>
      </c>
      <c r="H513" t="s">
        <v>376</v>
      </c>
      <c r="I513" t="s">
        <v>377</v>
      </c>
      <c r="J513" t="s">
        <v>944</v>
      </c>
      <c r="K513" t="s">
        <v>29</v>
      </c>
      <c r="L513" t="s">
        <v>30</v>
      </c>
      <c r="M513" t="s">
        <v>188</v>
      </c>
      <c r="N513" s="7">
        <v>8.1</v>
      </c>
      <c r="O513" s="7"/>
      <c r="P513" s="7">
        <v>3</v>
      </c>
      <c r="Q513" s="7">
        <v>10.130000000000001</v>
      </c>
      <c r="R513" s="7"/>
      <c r="S513" s="7">
        <v>3</v>
      </c>
      <c r="T513" s="7">
        <v>0.1</v>
      </c>
      <c r="U513" s="7">
        <v>0.43</v>
      </c>
      <c r="V513" s="7">
        <v>0.22363725658219896</v>
      </c>
      <c r="W513" s="7">
        <v>6.5142108141758373E-4</v>
      </c>
      <c r="X513" t="s">
        <v>819</v>
      </c>
      <c r="Y513" t="s">
        <v>380</v>
      </c>
      <c r="Z513" t="s">
        <v>381</v>
      </c>
      <c r="AA513" t="s">
        <v>1051</v>
      </c>
      <c r="AB513" t="s">
        <v>92</v>
      </c>
      <c r="AC513" t="s">
        <v>1039</v>
      </c>
      <c r="AD513" t="s">
        <v>1039</v>
      </c>
      <c r="AE513" t="s">
        <v>1811</v>
      </c>
      <c r="AF513" t="s">
        <v>1812</v>
      </c>
      <c r="AG513" t="s">
        <v>1811</v>
      </c>
      <c r="AI513" t="s">
        <v>30</v>
      </c>
      <c r="AJ513" t="s">
        <v>1636</v>
      </c>
      <c r="AK513" t="s">
        <v>1637</v>
      </c>
      <c r="AL513" s="4">
        <v>20</v>
      </c>
      <c r="AM513" t="s">
        <v>185</v>
      </c>
      <c r="AN513">
        <v>20</v>
      </c>
      <c r="AO513" t="s">
        <v>1665</v>
      </c>
      <c r="AP513" t="s">
        <v>1639</v>
      </c>
      <c r="AQ513" t="s">
        <v>1685</v>
      </c>
      <c r="AR513" t="s">
        <v>1686</v>
      </c>
      <c r="AS513">
        <v>1</v>
      </c>
      <c r="AT513">
        <v>0</v>
      </c>
      <c r="AU513">
        <v>0</v>
      </c>
      <c r="AV513">
        <v>0</v>
      </c>
      <c r="AW513">
        <v>0</v>
      </c>
      <c r="AX513">
        <v>0</v>
      </c>
      <c r="AY513" t="s">
        <v>1642</v>
      </c>
    </row>
    <row r="514" spans="1:51">
      <c r="A514" t="s">
        <v>1039</v>
      </c>
      <c r="B514" t="s">
        <v>1052</v>
      </c>
      <c r="C514" t="s">
        <v>1041</v>
      </c>
      <c r="D514" t="s">
        <v>1042</v>
      </c>
      <c r="E514" t="s">
        <v>96</v>
      </c>
      <c r="F514">
        <v>20</v>
      </c>
      <c r="G514" t="s">
        <v>185</v>
      </c>
      <c r="H514" t="s">
        <v>376</v>
      </c>
      <c r="I514" t="s">
        <v>377</v>
      </c>
      <c r="J514" t="s">
        <v>944</v>
      </c>
      <c r="K514" t="s">
        <v>29</v>
      </c>
      <c r="L514" t="s">
        <v>337</v>
      </c>
      <c r="M514" t="s">
        <v>188</v>
      </c>
      <c r="N514" s="7">
        <v>5.29</v>
      </c>
      <c r="O514" s="7"/>
      <c r="P514" s="7">
        <v>3</v>
      </c>
      <c r="Q514" s="7">
        <v>5.6</v>
      </c>
      <c r="R514" s="7"/>
      <c r="S514" s="7">
        <v>3</v>
      </c>
      <c r="T514" s="7">
        <v>0.19</v>
      </c>
      <c r="U514" s="7">
        <v>0.2</v>
      </c>
      <c r="V514" s="7">
        <v>5.6948351870895433E-2</v>
      </c>
      <c r="W514" s="7">
        <v>8.5517615481697134E-4</v>
      </c>
      <c r="X514" t="s">
        <v>819</v>
      </c>
      <c r="Y514" t="s">
        <v>380</v>
      </c>
      <c r="Z514" t="s">
        <v>381</v>
      </c>
      <c r="AA514" t="s">
        <v>1053</v>
      </c>
      <c r="AB514" t="s">
        <v>92</v>
      </c>
      <c r="AC514" t="s">
        <v>1039</v>
      </c>
      <c r="AD514" t="s">
        <v>1039</v>
      </c>
      <c r="AE514" t="s">
        <v>1811</v>
      </c>
      <c r="AF514" t="s">
        <v>1812</v>
      </c>
      <c r="AG514" t="s">
        <v>1811</v>
      </c>
      <c r="AI514" t="s">
        <v>337</v>
      </c>
      <c r="AJ514" t="s">
        <v>1636</v>
      </c>
      <c r="AK514" t="s">
        <v>1637</v>
      </c>
      <c r="AL514" s="4">
        <v>20</v>
      </c>
      <c r="AM514" t="s">
        <v>185</v>
      </c>
      <c r="AN514">
        <v>20</v>
      </c>
      <c r="AO514" t="s">
        <v>1665</v>
      </c>
      <c r="AP514" t="s">
        <v>1639</v>
      </c>
      <c r="AQ514" t="s">
        <v>1685</v>
      </c>
      <c r="AR514" t="s">
        <v>1686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 t="s">
        <v>1642</v>
      </c>
    </row>
    <row r="515" spans="1:51">
      <c r="A515" t="s">
        <v>1039</v>
      </c>
      <c r="B515" t="s">
        <v>1054</v>
      </c>
      <c r="C515" t="s">
        <v>1041</v>
      </c>
      <c r="D515" t="s">
        <v>1042</v>
      </c>
      <c r="E515" t="s">
        <v>96</v>
      </c>
      <c r="F515">
        <v>20</v>
      </c>
      <c r="G515" t="s">
        <v>185</v>
      </c>
      <c r="H515" t="s">
        <v>376</v>
      </c>
      <c r="I515" t="s">
        <v>377</v>
      </c>
      <c r="J515" t="s">
        <v>963</v>
      </c>
      <c r="K515" t="s">
        <v>149</v>
      </c>
      <c r="L515" t="s">
        <v>40</v>
      </c>
      <c r="M515" t="s">
        <v>188</v>
      </c>
      <c r="N515" s="7">
        <v>22.65</v>
      </c>
      <c r="O515" s="7"/>
      <c r="P515" s="7">
        <v>3</v>
      </c>
      <c r="Q515" s="7">
        <v>26.55</v>
      </c>
      <c r="R515" s="7"/>
      <c r="S515" s="7">
        <v>3</v>
      </c>
      <c r="T515" s="7">
        <v>0.36</v>
      </c>
      <c r="U515" s="7">
        <v>0.51</v>
      </c>
      <c r="V515" s="7">
        <v>0.15886989575890501</v>
      </c>
      <c r="W515" s="7">
        <v>2.0720256648613765E-4</v>
      </c>
      <c r="X515" t="s">
        <v>819</v>
      </c>
      <c r="Y515" t="s">
        <v>380</v>
      </c>
      <c r="Z515" t="s">
        <v>381</v>
      </c>
      <c r="AA515" t="s">
        <v>1055</v>
      </c>
      <c r="AB515" t="s">
        <v>92</v>
      </c>
      <c r="AC515" t="s">
        <v>1039</v>
      </c>
      <c r="AD515" t="s">
        <v>1039</v>
      </c>
      <c r="AE515" t="s">
        <v>1813</v>
      </c>
      <c r="AF515" t="s">
        <v>1814</v>
      </c>
      <c r="AG515" t="s">
        <v>1813</v>
      </c>
      <c r="AI515" t="s">
        <v>40</v>
      </c>
      <c r="AJ515" t="s">
        <v>1636</v>
      </c>
      <c r="AK515" t="s">
        <v>1637</v>
      </c>
      <c r="AL515" s="4">
        <v>20</v>
      </c>
      <c r="AM515" t="s">
        <v>185</v>
      </c>
      <c r="AN515">
        <v>20</v>
      </c>
      <c r="AO515" t="s">
        <v>1665</v>
      </c>
      <c r="AP515" t="s">
        <v>1639</v>
      </c>
      <c r="AQ515" t="s">
        <v>1685</v>
      </c>
      <c r="AR515" t="s">
        <v>1686</v>
      </c>
      <c r="AS515">
        <v>1</v>
      </c>
      <c r="AT515">
        <v>0</v>
      </c>
      <c r="AU515">
        <v>0</v>
      </c>
      <c r="AV515">
        <v>0</v>
      </c>
      <c r="AW515">
        <v>0</v>
      </c>
      <c r="AX515">
        <v>0</v>
      </c>
      <c r="AY515" t="s">
        <v>1642</v>
      </c>
    </row>
    <row r="516" spans="1:51">
      <c r="A516" t="s">
        <v>1039</v>
      </c>
      <c r="B516" t="s">
        <v>1056</v>
      </c>
      <c r="C516" t="s">
        <v>1041</v>
      </c>
      <c r="D516" t="s">
        <v>1042</v>
      </c>
      <c r="E516" t="s">
        <v>96</v>
      </c>
      <c r="F516">
        <v>20</v>
      </c>
      <c r="G516" t="s">
        <v>185</v>
      </c>
      <c r="H516" t="s">
        <v>376</v>
      </c>
      <c r="I516" t="s">
        <v>377</v>
      </c>
      <c r="J516" t="s">
        <v>963</v>
      </c>
      <c r="K516" t="s">
        <v>149</v>
      </c>
      <c r="L516" t="s">
        <v>30</v>
      </c>
      <c r="M516" t="s">
        <v>188</v>
      </c>
      <c r="N516" s="7">
        <v>8.5399999999999991</v>
      </c>
      <c r="O516" s="7"/>
      <c r="P516" s="7">
        <v>3</v>
      </c>
      <c r="Q516" s="7">
        <v>10.16</v>
      </c>
      <c r="R516" s="7"/>
      <c r="S516" s="7">
        <v>3</v>
      </c>
      <c r="T516" s="7">
        <v>0.25</v>
      </c>
      <c r="U516" s="7">
        <v>0.21</v>
      </c>
      <c r="V516" s="7">
        <v>0.17369743434985752</v>
      </c>
      <c r="W516" s="7">
        <v>4.2806231822291308E-4</v>
      </c>
      <c r="X516" t="s">
        <v>819</v>
      </c>
      <c r="Y516" t="s">
        <v>380</v>
      </c>
      <c r="Z516" t="s">
        <v>381</v>
      </c>
      <c r="AA516" t="s">
        <v>1057</v>
      </c>
      <c r="AB516" t="s">
        <v>92</v>
      </c>
      <c r="AC516" t="s">
        <v>1039</v>
      </c>
      <c r="AD516" t="s">
        <v>1039</v>
      </c>
      <c r="AE516" t="s">
        <v>1813</v>
      </c>
      <c r="AF516" t="s">
        <v>1814</v>
      </c>
      <c r="AG516" t="s">
        <v>1813</v>
      </c>
      <c r="AI516" t="s">
        <v>30</v>
      </c>
      <c r="AJ516" t="s">
        <v>1636</v>
      </c>
      <c r="AK516" t="s">
        <v>1637</v>
      </c>
      <c r="AL516" s="4">
        <v>20</v>
      </c>
      <c r="AM516" t="s">
        <v>185</v>
      </c>
      <c r="AN516">
        <v>20</v>
      </c>
      <c r="AO516" t="s">
        <v>1665</v>
      </c>
      <c r="AP516" t="s">
        <v>1639</v>
      </c>
      <c r="AQ516" t="s">
        <v>1685</v>
      </c>
      <c r="AR516" t="s">
        <v>1686</v>
      </c>
      <c r="AS516">
        <v>1</v>
      </c>
      <c r="AT516">
        <v>0</v>
      </c>
      <c r="AU516">
        <v>0</v>
      </c>
      <c r="AV516">
        <v>0</v>
      </c>
      <c r="AW516">
        <v>0</v>
      </c>
      <c r="AX516">
        <v>0</v>
      </c>
      <c r="AY516" t="s">
        <v>1642</v>
      </c>
    </row>
    <row r="517" spans="1:51">
      <c r="A517" t="s">
        <v>1039</v>
      </c>
      <c r="B517" t="s">
        <v>1058</v>
      </c>
      <c r="C517" t="s">
        <v>1041</v>
      </c>
      <c r="D517" t="s">
        <v>1042</v>
      </c>
      <c r="E517" t="s">
        <v>96</v>
      </c>
      <c r="F517">
        <v>20</v>
      </c>
      <c r="G517" t="s">
        <v>185</v>
      </c>
      <c r="H517" t="s">
        <v>376</v>
      </c>
      <c r="I517" t="s">
        <v>377</v>
      </c>
      <c r="J517" t="s">
        <v>963</v>
      </c>
      <c r="K517" t="s">
        <v>149</v>
      </c>
      <c r="L517" t="s">
        <v>337</v>
      </c>
      <c r="M517" t="s">
        <v>188</v>
      </c>
      <c r="N517" s="7">
        <v>5.94</v>
      </c>
      <c r="O517" s="7"/>
      <c r="P517" s="7">
        <v>3</v>
      </c>
      <c r="Q517" s="7">
        <v>6.85</v>
      </c>
      <c r="R517" s="7"/>
      <c r="S517" s="7">
        <v>3</v>
      </c>
      <c r="T517" s="7">
        <v>0.18</v>
      </c>
      <c r="U517" s="7">
        <v>0.2</v>
      </c>
      <c r="V517" s="7">
        <v>0.14253951889958028</v>
      </c>
      <c r="W517" s="7">
        <v>5.9024771437405428E-4</v>
      </c>
      <c r="X517" t="s">
        <v>819</v>
      </c>
      <c r="Y517" t="s">
        <v>380</v>
      </c>
      <c r="Z517" t="s">
        <v>381</v>
      </c>
      <c r="AA517" t="s">
        <v>1059</v>
      </c>
      <c r="AB517" t="s">
        <v>92</v>
      </c>
      <c r="AC517" t="s">
        <v>1039</v>
      </c>
      <c r="AD517" t="s">
        <v>1039</v>
      </c>
      <c r="AE517" t="s">
        <v>1813</v>
      </c>
      <c r="AF517" t="s">
        <v>1814</v>
      </c>
      <c r="AG517" t="s">
        <v>1813</v>
      </c>
      <c r="AI517" t="s">
        <v>337</v>
      </c>
      <c r="AJ517" t="s">
        <v>1636</v>
      </c>
      <c r="AK517" t="s">
        <v>1637</v>
      </c>
      <c r="AL517" s="4">
        <v>20</v>
      </c>
      <c r="AM517" t="s">
        <v>185</v>
      </c>
      <c r="AN517">
        <v>20</v>
      </c>
      <c r="AO517" t="s">
        <v>1665</v>
      </c>
      <c r="AP517" t="s">
        <v>1639</v>
      </c>
      <c r="AQ517" t="s">
        <v>1685</v>
      </c>
      <c r="AR517" t="s">
        <v>1686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 t="s">
        <v>1642</v>
      </c>
    </row>
    <row r="518" spans="1:51">
      <c r="A518" t="s">
        <v>1039</v>
      </c>
      <c r="B518" t="s">
        <v>1060</v>
      </c>
      <c r="C518" t="s">
        <v>1041</v>
      </c>
      <c r="D518" t="s">
        <v>1042</v>
      </c>
      <c r="E518" t="s">
        <v>96</v>
      </c>
      <c r="F518">
        <v>20</v>
      </c>
      <c r="G518" t="s">
        <v>185</v>
      </c>
      <c r="H518" t="s">
        <v>376</v>
      </c>
      <c r="I518" t="s">
        <v>377</v>
      </c>
      <c r="J518" t="s">
        <v>963</v>
      </c>
      <c r="K518" t="s">
        <v>29</v>
      </c>
      <c r="L518" t="s">
        <v>40</v>
      </c>
      <c r="M518" t="s">
        <v>188</v>
      </c>
      <c r="N518" s="7">
        <v>20.66</v>
      </c>
      <c r="O518" s="7"/>
      <c r="P518" s="7">
        <v>3</v>
      </c>
      <c r="Q518" s="7">
        <v>22.78</v>
      </c>
      <c r="R518" s="7"/>
      <c r="S518" s="7">
        <v>3</v>
      </c>
      <c r="T518" s="7">
        <v>0.59</v>
      </c>
      <c r="U518" s="7">
        <v>0.41</v>
      </c>
      <c r="V518" s="7">
        <v>9.7683494327543585E-2</v>
      </c>
      <c r="W518" s="7">
        <v>3.7982442108858334E-4</v>
      </c>
      <c r="X518" t="s">
        <v>819</v>
      </c>
      <c r="Y518" t="s">
        <v>380</v>
      </c>
      <c r="Z518" t="s">
        <v>381</v>
      </c>
      <c r="AA518" t="s">
        <v>1061</v>
      </c>
      <c r="AB518" t="s">
        <v>92</v>
      </c>
      <c r="AC518" t="s">
        <v>1039</v>
      </c>
      <c r="AD518" t="s">
        <v>1039</v>
      </c>
      <c r="AE518" t="s">
        <v>1813</v>
      </c>
      <c r="AF518" t="s">
        <v>1814</v>
      </c>
      <c r="AG518" t="s">
        <v>1813</v>
      </c>
      <c r="AI518" t="s">
        <v>40</v>
      </c>
      <c r="AJ518" t="s">
        <v>1636</v>
      </c>
      <c r="AK518" t="s">
        <v>1637</v>
      </c>
      <c r="AL518" s="4">
        <v>20</v>
      </c>
      <c r="AM518" t="s">
        <v>185</v>
      </c>
      <c r="AN518">
        <v>20</v>
      </c>
      <c r="AO518" t="s">
        <v>1665</v>
      </c>
      <c r="AP518" t="s">
        <v>1639</v>
      </c>
      <c r="AQ518" t="s">
        <v>1685</v>
      </c>
      <c r="AR518" t="s">
        <v>1686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 t="s">
        <v>1642</v>
      </c>
    </row>
    <row r="519" spans="1:51">
      <c r="A519" t="s">
        <v>1039</v>
      </c>
      <c r="B519" t="s">
        <v>1062</v>
      </c>
      <c r="C519" t="s">
        <v>1041</v>
      </c>
      <c r="D519" t="s">
        <v>1042</v>
      </c>
      <c r="E519" t="s">
        <v>96</v>
      </c>
      <c r="F519">
        <v>20</v>
      </c>
      <c r="G519" t="s">
        <v>185</v>
      </c>
      <c r="H519" t="s">
        <v>376</v>
      </c>
      <c r="I519" t="s">
        <v>377</v>
      </c>
      <c r="J519" t="s">
        <v>963</v>
      </c>
      <c r="K519" t="s">
        <v>29</v>
      </c>
      <c r="L519" t="s">
        <v>30</v>
      </c>
      <c r="M519" t="s">
        <v>188</v>
      </c>
      <c r="N519" s="7">
        <v>6.79</v>
      </c>
      <c r="O519" s="7"/>
      <c r="P519" s="7">
        <v>3</v>
      </c>
      <c r="Q519" s="7">
        <v>7.58</v>
      </c>
      <c r="R519" s="7"/>
      <c r="S519" s="7">
        <v>3</v>
      </c>
      <c r="T519" s="7">
        <v>0.14000000000000001</v>
      </c>
      <c r="U519" s="7">
        <v>0.05</v>
      </c>
      <c r="V519" s="7">
        <v>0.11006225808367556</v>
      </c>
      <c r="W519" s="7">
        <v>1.5621204472809918E-4</v>
      </c>
      <c r="X519" t="s">
        <v>819</v>
      </c>
      <c r="Y519" t="s">
        <v>380</v>
      </c>
      <c r="Z519" t="s">
        <v>381</v>
      </c>
      <c r="AA519" t="s">
        <v>1063</v>
      </c>
      <c r="AB519" t="s">
        <v>92</v>
      </c>
      <c r="AC519" t="s">
        <v>1039</v>
      </c>
      <c r="AD519" t="s">
        <v>1039</v>
      </c>
      <c r="AE519" t="s">
        <v>1813</v>
      </c>
      <c r="AF519" t="s">
        <v>1814</v>
      </c>
      <c r="AG519" t="s">
        <v>1813</v>
      </c>
      <c r="AI519" t="s">
        <v>30</v>
      </c>
      <c r="AJ519" t="s">
        <v>1636</v>
      </c>
      <c r="AK519" t="s">
        <v>1637</v>
      </c>
      <c r="AL519" s="4">
        <v>20</v>
      </c>
      <c r="AM519" t="s">
        <v>185</v>
      </c>
      <c r="AN519">
        <v>20</v>
      </c>
      <c r="AO519" t="s">
        <v>1665</v>
      </c>
      <c r="AP519" t="s">
        <v>1639</v>
      </c>
      <c r="AQ519" t="s">
        <v>1685</v>
      </c>
      <c r="AR519" t="s">
        <v>1686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 t="s">
        <v>1642</v>
      </c>
    </row>
    <row r="520" spans="1:51">
      <c r="A520" t="s">
        <v>1039</v>
      </c>
      <c r="B520" t="s">
        <v>1064</v>
      </c>
      <c r="C520" t="s">
        <v>1041</v>
      </c>
      <c r="D520" t="s">
        <v>1042</v>
      </c>
      <c r="E520" t="s">
        <v>96</v>
      </c>
      <c r="F520">
        <v>20</v>
      </c>
      <c r="G520" t="s">
        <v>185</v>
      </c>
      <c r="H520" t="s">
        <v>376</v>
      </c>
      <c r="I520" t="s">
        <v>377</v>
      </c>
      <c r="J520" t="s">
        <v>963</v>
      </c>
      <c r="K520" t="s">
        <v>29</v>
      </c>
      <c r="L520" t="s">
        <v>337</v>
      </c>
      <c r="M520" t="s">
        <v>188</v>
      </c>
      <c r="N520" s="7">
        <v>4.16</v>
      </c>
      <c r="O520" s="7"/>
      <c r="P520" s="7">
        <v>3</v>
      </c>
      <c r="Q520" s="7">
        <v>4.88</v>
      </c>
      <c r="R520" s="7"/>
      <c r="S520" s="7">
        <v>3</v>
      </c>
      <c r="T520" s="7">
        <v>0.16</v>
      </c>
      <c r="U520" s="7">
        <v>0.11</v>
      </c>
      <c r="V520" s="7">
        <v>0.15963014559188374</v>
      </c>
      <c r="W520" s="7">
        <v>6.6246196092649683E-4</v>
      </c>
      <c r="X520" t="s">
        <v>819</v>
      </c>
      <c r="Y520" t="s">
        <v>380</v>
      </c>
      <c r="Z520" t="s">
        <v>381</v>
      </c>
      <c r="AA520" t="s">
        <v>1065</v>
      </c>
      <c r="AB520" t="s">
        <v>92</v>
      </c>
      <c r="AC520" t="s">
        <v>1039</v>
      </c>
      <c r="AD520" t="s">
        <v>1039</v>
      </c>
      <c r="AE520" t="s">
        <v>1813</v>
      </c>
      <c r="AF520" t="s">
        <v>1814</v>
      </c>
      <c r="AG520" t="s">
        <v>1813</v>
      </c>
      <c r="AI520" t="s">
        <v>337</v>
      </c>
      <c r="AJ520" t="s">
        <v>1636</v>
      </c>
      <c r="AK520" t="s">
        <v>1637</v>
      </c>
      <c r="AL520" s="4">
        <v>20</v>
      </c>
      <c r="AM520" t="s">
        <v>185</v>
      </c>
      <c r="AN520">
        <v>20</v>
      </c>
      <c r="AO520" t="s">
        <v>1665</v>
      </c>
      <c r="AP520" t="s">
        <v>1639</v>
      </c>
      <c r="AQ520" t="s">
        <v>1685</v>
      </c>
      <c r="AR520" t="s">
        <v>1686</v>
      </c>
      <c r="AS520">
        <v>1</v>
      </c>
      <c r="AT520">
        <v>0</v>
      </c>
      <c r="AU520">
        <v>0</v>
      </c>
      <c r="AV520">
        <v>0</v>
      </c>
      <c r="AW520">
        <v>0</v>
      </c>
      <c r="AX520">
        <v>0</v>
      </c>
      <c r="AY520" t="s">
        <v>1642</v>
      </c>
    </row>
    <row r="521" spans="1:51">
      <c r="A521" t="s">
        <v>1066</v>
      </c>
      <c r="B521" t="s">
        <v>1067</v>
      </c>
      <c r="C521" t="s">
        <v>655</v>
      </c>
      <c r="D521" t="s">
        <v>1068</v>
      </c>
      <c r="E521" t="s">
        <v>96</v>
      </c>
      <c r="F521">
        <v>1</v>
      </c>
      <c r="G521" t="s">
        <v>185</v>
      </c>
      <c r="H521" t="s">
        <v>675</v>
      </c>
      <c r="I521" t="s">
        <v>377</v>
      </c>
      <c r="J521" t="s">
        <v>1069</v>
      </c>
      <c r="K521" t="s">
        <v>29</v>
      </c>
      <c r="L521" t="s">
        <v>40</v>
      </c>
      <c r="M521" t="s">
        <v>1070</v>
      </c>
      <c r="N521" s="7">
        <v>3500</v>
      </c>
      <c r="O521" s="7">
        <v>180</v>
      </c>
      <c r="P521" s="7">
        <v>4</v>
      </c>
      <c r="Q521" s="7">
        <v>3600</v>
      </c>
      <c r="R521" s="7">
        <v>180</v>
      </c>
      <c r="S521" s="7">
        <v>4</v>
      </c>
      <c r="T521" s="7">
        <v>360</v>
      </c>
      <c r="U521" s="7">
        <v>360</v>
      </c>
      <c r="V521" s="7">
        <v>2.8170876966696224E-2</v>
      </c>
      <c r="W521" s="7">
        <v>5.1448979591836742E-3</v>
      </c>
      <c r="X521" t="s">
        <v>550</v>
      </c>
      <c r="Y521" t="s">
        <v>89</v>
      </c>
      <c r="Z521" t="s">
        <v>515</v>
      </c>
      <c r="AA521" t="s">
        <v>1071</v>
      </c>
      <c r="AB521" t="s">
        <v>92</v>
      </c>
      <c r="AC521" t="s">
        <v>1066</v>
      </c>
      <c r="AD521" t="s">
        <v>1066</v>
      </c>
      <c r="AE521" t="s">
        <v>1815</v>
      </c>
      <c r="AF521" t="s">
        <v>1816</v>
      </c>
      <c r="AG521" t="s">
        <v>1815</v>
      </c>
      <c r="AI521" t="s">
        <v>40</v>
      </c>
      <c r="AJ521" t="s">
        <v>1636</v>
      </c>
      <c r="AK521" t="s">
        <v>1637</v>
      </c>
      <c r="AL521" s="4">
        <v>1</v>
      </c>
      <c r="AM521" t="s">
        <v>185</v>
      </c>
      <c r="AN521">
        <v>1</v>
      </c>
      <c r="AO521" t="s">
        <v>1665</v>
      </c>
      <c r="AP521" t="s">
        <v>1639</v>
      </c>
      <c r="AQ521" t="s">
        <v>1640</v>
      </c>
      <c r="AR521" t="s">
        <v>1641</v>
      </c>
      <c r="AS521">
        <v>1</v>
      </c>
      <c r="AT521">
        <v>0</v>
      </c>
      <c r="AU521">
        <v>0</v>
      </c>
      <c r="AV521">
        <v>1</v>
      </c>
      <c r="AW521">
        <v>0</v>
      </c>
      <c r="AX521">
        <v>0</v>
      </c>
      <c r="AY521" t="s">
        <v>1642</v>
      </c>
    </row>
    <row r="522" spans="1:51">
      <c r="A522" t="s">
        <v>1066</v>
      </c>
      <c r="B522" t="s">
        <v>1072</v>
      </c>
      <c r="C522" t="s">
        <v>655</v>
      </c>
      <c r="D522" t="s">
        <v>1068</v>
      </c>
      <c r="E522" t="s">
        <v>96</v>
      </c>
      <c r="F522">
        <v>10</v>
      </c>
      <c r="G522" t="s">
        <v>185</v>
      </c>
      <c r="H522" t="s">
        <v>675</v>
      </c>
      <c r="I522" t="s">
        <v>377</v>
      </c>
      <c r="J522" t="s">
        <v>1069</v>
      </c>
      <c r="K522" t="s">
        <v>29</v>
      </c>
      <c r="L522" t="s">
        <v>40</v>
      </c>
      <c r="M522" t="s">
        <v>1070</v>
      </c>
      <c r="N522" s="7">
        <v>3500</v>
      </c>
      <c r="O522" s="7">
        <v>180</v>
      </c>
      <c r="P522" s="7">
        <v>4</v>
      </c>
      <c r="Q522" s="7">
        <v>3500</v>
      </c>
      <c r="R522" s="7">
        <v>180</v>
      </c>
      <c r="S522" s="7">
        <v>4</v>
      </c>
      <c r="T522" s="7">
        <v>360</v>
      </c>
      <c r="U522" s="7">
        <v>360</v>
      </c>
      <c r="V522" s="7">
        <v>0</v>
      </c>
      <c r="W522" s="7">
        <v>5.2897959183673474E-3</v>
      </c>
      <c r="X522" t="s">
        <v>550</v>
      </c>
      <c r="Y522" t="s">
        <v>89</v>
      </c>
      <c r="Z522" t="s">
        <v>515</v>
      </c>
      <c r="AA522" t="s">
        <v>1071</v>
      </c>
      <c r="AB522" t="s">
        <v>92</v>
      </c>
      <c r="AC522" t="s">
        <v>1066</v>
      </c>
      <c r="AD522" t="s">
        <v>1066</v>
      </c>
      <c r="AE522" t="s">
        <v>1815</v>
      </c>
      <c r="AF522" t="s">
        <v>1817</v>
      </c>
      <c r="AG522" t="s">
        <v>1815</v>
      </c>
      <c r="AI522" t="s">
        <v>40</v>
      </c>
      <c r="AJ522" t="s">
        <v>1636</v>
      </c>
      <c r="AK522" t="s">
        <v>1637</v>
      </c>
      <c r="AL522" s="4">
        <v>10</v>
      </c>
      <c r="AM522" t="s">
        <v>185</v>
      </c>
      <c r="AN522">
        <v>10</v>
      </c>
      <c r="AO522" t="s">
        <v>1665</v>
      </c>
      <c r="AP522" t="s">
        <v>1639</v>
      </c>
      <c r="AQ522" t="s">
        <v>1640</v>
      </c>
      <c r="AR522" t="s">
        <v>1641</v>
      </c>
      <c r="AS522">
        <v>1</v>
      </c>
      <c r="AT522">
        <v>0</v>
      </c>
      <c r="AU522">
        <v>0</v>
      </c>
      <c r="AV522">
        <v>1</v>
      </c>
      <c r="AW522">
        <v>0</v>
      </c>
      <c r="AX522">
        <v>0</v>
      </c>
      <c r="AY522" t="s">
        <v>1642</v>
      </c>
    </row>
    <row r="523" spans="1:51">
      <c r="A523" t="s">
        <v>1066</v>
      </c>
      <c r="B523" t="s">
        <v>1073</v>
      </c>
      <c r="C523" t="s">
        <v>655</v>
      </c>
      <c r="D523" t="s">
        <v>1068</v>
      </c>
      <c r="E523" t="s">
        <v>96</v>
      </c>
      <c r="F523">
        <v>20</v>
      </c>
      <c r="G523" t="s">
        <v>185</v>
      </c>
      <c r="H523" t="s">
        <v>675</v>
      </c>
      <c r="I523" t="s">
        <v>377</v>
      </c>
      <c r="J523" t="s">
        <v>1069</v>
      </c>
      <c r="K523" t="s">
        <v>29</v>
      </c>
      <c r="L523" t="s">
        <v>40</v>
      </c>
      <c r="M523" t="s">
        <v>1070</v>
      </c>
      <c r="N523" s="7">
        <v>3500</v>
      </c>
      <c r="O523" s="7">
        <v>180</v>
      </c>
      <c r="P523" s="7">
        <v>4</v>
      </c>
      <c r="Q523" s="7">
        <v>3200</v>
      </c>
      <c r="R523" s="7">
        <v>180</v>
      </c>
      <c r="S523" s="7">
        <v>4</v>
      </c>
      <c r="T523" s="7">
        <v>360</v>
      </c>
      <c r="U523" s="7">
        <v>360</v>
      </c>
      <c r="V523" s="7">
        <v>-8.9612158689687166E-2</v>
      </c>
      <c r="W523" s="7">
        <v>5.8089604591836739E-3</v>
      </c>
      <c r="X523" t="s">
        <v>550</v>
      </c>
      <c r="Y523" t="s">
        <v>89</v>
      </c>
      <c r="Z523" t="s">
        <v>515</v>
      </c>
      <c r="AA523" t="s">
        <v>1071</v>
      </c>
      <c r="AB523" t="s">
        <v>92</v>
      </c>
      <c r="AC523" t="s">
        <v>1066</v>
      </c>
      <c r="AD523" t="s">
        <v>1066</v>
      </c>
      <c r="AE523" t="s">
        <v>1815</v>
      </c>
      <c r="AF523" t="s">
        <v>1818</v>
      </c>
      <c r="AG523" t="s">
        <v>1815</v>
      </c>
      <c r="AI523" t="s">
        <v>40</v>
      </c>
      <c r="AJ523" t="s">
        <v>1636</v>
      </c>
      <c r="AK523" t="s">
        <v>1637</v>
      </c>
      <c r="AL523" s="4">
        <v>20</v>
      </c>
      <c r="AM523" t="s">
        <v>185</v>
      </c>
      <c r="AN523">
        <v>20</v>
      </c>
      <c r="AO523" t="s">
        <v>1665</v>
      </c>
      <c r="AP523" t="s">
        <v>1639</v>
      </c>
      <c r="AQ523" t="s">
        <v>1640</v>
      </c>
      <c r="AR523" t="s">
        <v>1641</v>
      </c>
      <c r="AS523">
        <v>1</v>
      </c>
      <c r="AT523">
        <v>0</v>
      </c>
      <c r="AU523">
        <v>0</v>
      </c>
      <c r="AV523">
        <v>1</v>
      </c>
      <c r="AW523">
        <v>0</v>
      </c>
      <c r="AX523">
        <v>0</v>
      </c>
      <c r="AY523" t="s">
        <v>1642</v>
      </c>
    </row>
    <row r="524" spans="1:51">
      <c r="A524" t="s">
        <v>1066</v>
      </c>
      <c r="B524" t="s">
        <v>1074</v>
      </c>
      <c r="C524" t="s">
        <v>655</v>
      </c>
      <c r="D524" t="s">
        <v>1068</v>
      </c>
      <c r="E524" t="s">
        <v>96</v>
      </c>
      <c r="F524">
        <v>1</v>
      </c>
      <c r="G524" t="s">
        <v>185</v>
      </c>
      <c r="H524" t="s">
        <v>675</v>
      </c>
      <c r="I524" t="s">
        <v>377</v>
      </c>
      <c r="J524" t="s">
        <v>1069</v>
      </c>
      <c r="K524" t="s">
        <v>41</v>
      </c>
      <c r="L524" t="s">
        <v>40</v>
      </c>
      <c r="M524" t="s">
        <v>1070</v>
      </c>
      <c r="N524" s="7">
        <v>15000</v>
      </c>
      <c r="O524" s="7">
        <v>700</v>
      </c>
      <c r="P524" s="7">
        <v>4</v>
      </c>
      <c r="Q524" s="7">
        <v>12500</v>
      </c>
      <c r="R524" s="7">
        <v>600</v>
      </c>
      <c r="S524" s="7">
        <v>4</v>
      </c>
      <c r="T524" s="7">
        <v>1400</v>
      </c>
      <c r="U524" s="7">
        <v>1200</v>
      </c>
      <c r="V524" s="7">
        <v>-0.18232155679395459</v>
      </c>
      <c r="W524" s="7">
        <v>4.4817777777777772E-3</v>
      </c>
      <c r="X524" t="s">
        <v>550</v>
      </c>
      <c r="Y524" t="s">
        <v>89</v>
      </c>
      <c r="Z524" t="s">
        <v>515</v>
      </c>
      <c r="AA524" t="s">
        <v>1075</v>
      </c>
      <c r="AB524" t="s">
        <v>92</v>
      </c>
      <c r="AC524" t="s">
        <v>1066</v>
      </c>
      <c r="AD524" t="s">
        <v>1066</v>
      </c>
      <c r="AE524" t="s">
        <v>1815</v>
      </c>
      <c r="AF524" t="s">
        <v>1816</v>
      </c>
      <c r="AG524" t="s">
        <v>1815</v>
      </c>
      <c r="AI524" t="s">
        <v>40</v>
      </c>
      <c r="AJ524" t="s">
        <v>1636</v>
      </c>
      <c r="AK524" t="s">
        <v>1637</v>
      </c>
      <c r="AL524" s="4">
        <v>1</v>
      </c>
      <c r="AM524" t="s">
        <v>185</v>
      </c>
      <c r="AN524">
        <v>1</v>
      </c>
      <c r="AO524" t="s">
        <v>1665</v>
      </c>
      <c r="AP524" t="s">
        <v>1639</v>
      </c>
      <c r="AQ524" t="s">
        <v>1640</v>
      </c>
      <c r="AR524" t="s">
        <v>1641</v>
      </c>
      <c r="AS524">
        <v>1</v>
      </c>
      <c r="AT524">
        <v>0</v>
      </c>
      <c r="AU524">
        <v>0</v>
      </c>
      <c r="AV524">
        <v>1</v>
      </c>
      <c r="AW524">
        <v>0</v>
      </c>
      <c r="AX524">
        <v>0</v>
      </c>
      <c r="AY524" t="s">
        <v>1642</v>
      </c>
    </row>
    <row r="525" spans="1:51">
      <c r="A525" t="s">
        <v>1066</v>
      </c>
      <c r="B525" t="s">
        <v>1076</v>
      </c>
      <c r="C525" t="s">
        <v>655</v>
      </c>
      <c r="D525" t="s">
        <v>1068</v>
      </c>
      <c r="E525" t="s">
        <v>96</v>
      </c>
      <c r="F525">
        <v>10</v>
      </c>
      <c r="G525" t="s">
        <v>185</v>
      </c>
      <c r="H525" t="s">
        <v>675</v>
      </c>
      <c r="I525" t="s">
        <v>377</v>
      </c>
      <c r="J525" t="s">
        <v>1069</v>
      </c>
      <c r="K525" t="s">
        <v>41</v>
      </c>
      <c r="L525" t="s">
        <v>40</v>
      </c>
      <c r="M525" t="s">
        <v>1070</v>
      </c>
      <c r="N525" s="7">
        <v>15000</v>
      </c>
      <c r="O525" s="7">
        <v>700</v>
      </c>
      <c r="P525" s="7">
        <v>4</v>
      </c>
      <c r="Q525" s="7">
        <v>2500</v>
      </c>
      <c r="R525" s="7">
        <v>250</v>
      </c>
      <c r="S525" s="7">
        <v>4</v>
      </c>
      <c r="T525" s="7">
        <v>1400</v>
      </c>
      <c r="U525" s="7">
        <v>500</v>
      </c>
      <c r="V525" s="7">
        <v>-1.791759469228055</v>
      </c>
      <c r="W525" s="7">
        <v>1.2177777777777777E-2</v>
      </c>
      <c r="X525" t="s">
        <v>550</v>
      </c>
      <c r="Y525" t="s">
        <v>89</v>
      </c>
      <c r="Z525" t="s">
        <v>515</v>
      </c>
      <c r="AA525" t="s">
        <v>1075</v>
      </c>
      <c r="AB525" t="s">
        <v>92</v>
      </c>
      <c r="AC525" t="s">
        <v>1066</v>
      </c>
      <c r="AD525" t="s">
        <v>1066</v>
      </c>
      <c r="AE525" t="s">
        <v>1815</v>
      </c>
      <c r="AF525" t="s">
        <v>1817</v>
      </c>
      <c r="AG525" t="s">
        <v>1815</v>
      </c>
      <c r="AI525" t="s">
        <v>40</v>
      </c>
      <c r="AJ525" t="s">
        <v>1636</v>
      </c>
      <c r="AK525" t="s">
        <v>1637</v>
      </c>
      <c r="AL525" s="4">
        <v>10</v>
      </c>
      <c r="AM525" t="s">
        <v>185</v>
      </c>
      <c r="AN525">
        <v>10</v>
      </c>
      <c r="AO525" t="s">
        <v>1665</v>
      </c>
      <c r="AP525" t="s">
        <v>1639</v>
      </c>
      <c r="AQ525" t="s">
        <v>1640</v>
      </c>
      <c r="AR525" t="s">
        <v>1641</v>
      </c>
      <c r="AS525">
        <v>1</v>
      </c>
      <c r="AT525">
        <v>0</v>
      </c>
      <c r="AU525">
        <v>0</v>
      </c>
      <c r="AV525">
        <v>1</v>
      </c>
      <c r="AW525">
        <v>0</v>
      </c>
      <c r="AX525">
        <v>1</v>
      </c>
      <c r="AY525" t="s">
        <v>1642</v>
      </c>
    </row>
    <row r="526" spans="1:51">
      <c r="A526" t="s">
        <v>1066</v>
      </c>
      <c r="B526" t="s">
        <v>1077</v>
      </c>
      <c r="C526" t="s">
        <v>655</v>
      </c>
      <c r="D526" t="s">
        <v>1068</v>
      </c>
      <c r="E526" t="s">
        <v>96</v>
      </c>
      <c r="F526">
        <v>20</v>
      </c>
      <c r="G526" t="s">
        <v>185</v>
      </c>
      <c r="H526" t="s">
        <v>675</v>
      </c>
      <c r="I526" t="s">
        <v>377</v>
      </c>
      <c r="J526" t="s">
        <v>1069</v>
      </c>
      <c r="K526" t="s">
        <v>41</v>
      </c>
      <c r="L526" t="s">
        <v>40</v>
      </c>
      <c r="M526" t="s">
        <v>1070</v>
      </c>
      <c r="N526" s="7">
        <v>15000</v>
      </c>
      <c r="O526" s="7">
        <v>700</v>
      </c>
      <c r="P526" s="7">
        <v>4</v>
      </c>
      <c r="Q526" s="7">
        <v>11000</v>
      </c>
      <c r="R526" s="7">
        <v>600</v>
      </c>
      <c r="S526" s="7">
        <v>4</v>
      </c>
      <c r="T526" s="7">
        <v>1400</v>
      </c>
      <c r="U526" s="7">
        <v>1200</v>
      </c>
      <c r="V526" s="7">
        <v>-0.31015492830383962</v>
      </c>
      <c r="W526" s="7">
        <v>5.1529843893480254E-3</v>
      </c>
      <c r="X526" t="s">
        <v>550</v>
      </c>
      <c r="Y526" t="s">
        <v>89</v>
      </c>
      <c r="Z526" t="s">
        <v>515</v>
      </c>
      <c r="AA526" t="s">
        <v>1075</v>
      </c>
      <c r="AB526" t="s">
        <v>92</v>
      </c>
      <c r="AC526" t="s">
        <v>1066</v>
      </c>
      <c r="AD526" t="s">
        <v>1066</v>
      </c>
      <c r="AE526" t="s">
        <v>1815</v>
      </c>
      <c r="AF526" t="s">
        <v>1818</v>
      </c>
      <c r="AG526" t="s">
        <v>1815</v>
      </c>
      <c r="AI526" t="s">
        <v>40</v>
      </c>
      <c r="AJ526" t="s">
        <v>1636</v>
      </c>
      <c r="AK526" t="s">
        <v>1637</v>
      </c>
      <c r="AL526" s="4">
        <v>20</v>
      </c>
      <c r="AM526" t="s">
        <v>185</v>
      </c>
      <c r="AN526">
        <v>20</v>
      </c>
      <c r="AO526" t="s">
        <v>1665</v>
      </c>
      <c r="AP526" t="s">
        <v>1639</v>
      </c>
      <c r="AQ526" t="s">
        <v>1640</v>
      </c>
      <c r="AR526" t="s">
        <v>1641</v>
      </c>
      <c r="AS526">
        <v>1</v>
      </c>
      <c r="AT526">
        <v>0</v>
      </c>
      <c r="AU526">
        <v>0</v>
      </c>
      <c r="AV526">
        <v>1</v>
      </c>
      <c r="AW526">
        <v>0</v>
      </c>
      <c r="AX526">
        <v>0</v>
      </c>
      <c r="AY526" t="s">
        <v>1642</v>
      </c>
    </row>
    <row r="527" spans="1:51">
      <c r="A527" t="s">
        <v>1066</v>
      </c>
      <c r="B527" t="s">
        <v>1078</v>
      </c>
      <c r="C527" t="s">
        <v>655</v>
      </c>
      <c r="D527" t="s">
        <v>1068</v>
      </c>
      <c r="E527" t="s">
        <v>96</v>
      </c>
      <c r="F527">
        <v>1</v>
      </c>
      <c r="G527" t="s">
        <v>185</v>
      </c>
      <c r="H527" t="s">
        <v>675</v>
      </c>
      <c r="I527" t="s">
        <v>377</v>
      </c>
      <c r="J527" t="s">
        <v>1069</v>
      </c>
      <c r="K527" t="s">
        <v>29</v>
      </c>
      <c r="L527" t="s">
        <v>30</v>
      </c>
      <c r="M527" t="s">
        <v>1070</v>
      </c>
      <c r="N527" s="7">
        <v>2050</v>
      </c>
      <c r="O527" s="7">
        <v>100</v>
      </c>
      <c r="P527" s="7">
        <v>4</v>
      </c>
      <c r="Q527" s="7">
        <v>1850</v>
      </c>
      <c r="R527" s="7">
        <v>90</v>
      </c>
      <c r="S527" s="7">
        <v>4</v>
      </c>
      <c r="T527" s="7">
        <v>200</v>
      </c>
      <c r="U527" s="7">
        <v>180</v>
      </c>
      <c r="V527" s="7">
        <v>-0.10265415406008334</v>
      </c>
      <c r="W527" s="7">
        <v>4.7462270058215208E-3</v>
      </c>
      <c r="X527" t="s">
        <v>550</v>
      </c>
      <c r="Y527" t="s">
        <v>89</v>
      </c>
      <c r="Z527" t="s">
        <v>515</v>
      </c>
      <c r="AA527" t="s">
        <v>1079</v>
      </c>
      <c r="AB527" t="s">
        <v>92</v>
      </c>
      <c r="AC527" t="s">
        <v>1066</v>
      </c>
      <c r="AD527" t="s">
        <v>1066</v>
      </c>
      <c r="AE527" t="s">
        <v>1815</v>
      </c>
      <c r="AF527" t="s">
        <v>1816</v>
      </c>
      <c r="AG527" t="s">
        <v>1815</v>
      </c>
      <c r="AI527" t="s">
        <v>30</v>
      </c>
      <c r="AJ527" t="s">
        <v>1636</v>
      </c>
      <c r="AK527" t="s">
        <v>1637</v>
      </c>
      <c r="AL527" s="4">
        <v>1</v>
      </c>
      <c r="AM527" t="s">
        <v>185</v>
      </c>
      <c r="AN527">
        <v>1</v>
      </c>
      <c r="AO527" t="s">
        <v>1665</v>
      </c>
      <c r="AP527" t="s">
        <v>1639</v>
      </c>
      <c r="AQ527" t="s">
        <v>1640</v>
      </c>
      <c r="AR527" t="s">
        <v>1641</v>
      </c>
      <c r="AS527">
        <v>1</v>
      </c>
      <c r="AT527">
        <v>0</v>
      </c>
      <c r="AU527">
        <v>0</v>
      </c>
      <c r="AV527">
        <v>1</v>
      </c>
      <c r="AW527">
        <v>0</v>
      </c>
      <c r="AX527">
        <v>0</v>
      </c>
      <c r="AY527" t="s">
        <v>1642</v>
      </c>
    </row>
    <row r="528" spans="1:51">
      <c r="A528" t="s">
        <v>1066</v>
      </c>
      <c r="B528" t="s">
        <v>1080</v>
      </c>
      <c r="C528" t="s">
        <v>655</v>
      </c>
      <c r="D528" t="s">
        <v>1068</v>
      </c>
      <c r="E528" t="s">
        <v>96</v>
      </c>
      <c r="F528">
        <v>10</v>
      </c>
      <c r="G528" t="s">
        <v>185</v>
      </c>
      <c r="H528" t="s">
        <v>675</v>
      </c>
      <c r="I528" t="s">
        <v>377</v>
      </c>
      <c r="J528" t="s">
        <v>1069</v>
      </c>
      <c r="K528" t="s">
        <v>29</v>
      </c>
      <c r="L528" t="s">
        <v>30</v>
      </c>
      <c r="M528" t="s">
        <v>1070</v>
      </c>
      <c r="N528" s="7">
        <v>2050</v>
      </c>
      <c r="O528" s="7">
        <v>100</v>
      </c>
      <c r="P528" s="7">
        <v>4</v>
      </c>
      <c r="Q528" s="7">
        <v>1950</v>
      </c>
      <c r="R528" s="7">
        <v>100</v>
      </c>
      <c r="S528" s="7">
        <v>4</v>
      </c>
      <c r="T528" s="7">
        <v>200</v>
      </c>
      <c r="U528" s="7">
        <v>200</v>
      </c>
      <c r="V528" s="7">
        <v>-5.0010420574661422E-2</v>
      </c>
      <c r="W528" s="7">
        <v>5.0093847741767943E-3</v>
      </c>
      <c r="X528" t="s">
        <v>550</v>
      </c>
      <c r="Y528" t="s">
        <v>89</v>
      </c>
      <c r="Z528" t="s">
        <v>515</v>
      </c>
      <c r="AA528" t="s">
        <v>1079</v>
      </c>
      <c r="AB528" t="s">
        <v>92</v>
      </c>
      <c r="AC528" t="s">
        <v>1066</v>
      </c>
      <c r="AD528" t="s">
        <v>1066</v>
      </c>
      <c r="AE528" t="s">
        <v>1815</v>
      </c>
      <c r="AF528" t="s">
        <v>1817</v>
      </c>
      <c r="AG528" t="s">
        <v>1815</v>
      </c>
      <c r="AI528" t="s">
        <v>30</v>
      </c>
      <c r="AJ528" t="s">
        <v>1636</v>
      </c>
      <c r="AK528" t="s">
        <v>1637</v>
      </c>
      <c r="AL528" s="4">
        <v>10</v>
      </c>
      <c r="AM528" t="s">
        <v>185</v>
      </c>
      <c r="AN528">
        <v>10</v>
      </c>
      <c r="AO528" t="s">
        <v>1665</v>
      </c>
      <c r="AP528" t="s">
        <v>1639</v>
      </c>
      <c r="AQ528" t="s">
        <v>1640</v>
      </c>
      <c r="AR528" t="s">
        <v>1641</v>
      </c>
      <c r="AS528">
        <v>1</v>
      </c>
      <c r="AT528">
        <v>0</v>
      </c>
      <c r="AU528">
        <v>0</v>
      </c>
      <c r="AV528">
        <v>1</v>
      </c>
      <c r="AW528">
        <v>0</v>
      </c>
      <c r="AX528">
        <v>0</v>
      </c>
      <c r="AY528" t="s">
        <v>1642</v>
      </c>
    </row>
    <row r="529" spans="1:51">
      <c r="A529" t="s">
        <v>1066</v>
      </c>
      <c r="B529" t="s">
        <v>1081</v>
      </c>
      <c r="C529" t="s">
        <v>655</v>
      </c>
      <c r="D529" t="s">
        <v>1068</v>
      </c>
      <c r="E529" t="s">
        <v>96</v>
      </c>
      <c r="F529">
        <v>20</v>
      </c>
      <c r="G529" t="s">
        <v>185</v>
      </c>
      <c r="H529" t="s">
        <v>675</v>
      </c>
      <c r="I529" t="s">
        <v>377</v>
      </c>
      <c r="J529" t="s">
        <v>1069</v>
      </c>
      <c r="K529" t="s">
        <v>29</v>
      </c>
      <c r="L529" t="s">
        <v>30</v>
      </c>
      <c r="M529" t="s">
        <v>1070</v>
      </c>
      <c r="N529" s="7">
        <v>2050</v>
      </c>
      <c r="O529" s="7">
        <v>100</v>
      </c>
      <c r="P529" s="7">
        <v>4</v>
      </c>
      <c r="Q529" s="7">
        <v>1950</v>
      </c>
      <c r="R529" s="7">
        <v>100</v>
      </c>
      <c r="S529" s="7">
        <v>4</v>
      </c>
      <c r="T529" s="7">
        <v>200</v>
      </c>
      <c r="U529" s="7">
        <v>200</v>
      </c>
      <c r="V529" s="7">
        <v>-5.0010420574661422E-2</v>
      </c>
      <c r="W529" s="7">
        <v>5.0093847741767943E-3</v>
      </c>
      <c r="X529" t="s">
        <v>550</v>
      </c>
      <c r="Y529" t="s">
        <v>89</v>
      </c>
      <c r="Z529" t="s">
        <v>515</v>
      </c>
      <c r="AA529" t="s">
        <v>1079</v>
      </c>
      <c r="AB529" t="s">
        <v>92</v>
      </c>
      <c r="AC529" t="s">
        <v>1066</v>
      </c>
      <c r="AD529" t="s">
        <v>1066</v>
      </c>
      <c r="AE529" t="s">
        <v>1815</v>
      </c>
      <c r="AF529" t="s">
        <v>1818</v>
      </c>
      <c r="AG529" t="s">
        <v>1815</v>
      </c>
      <c r="AI529" t="s">
        <v>30</v>
      </c>
      <c r="AJ529" t="s">
        <v>1636</v>
      </c>
      <c r="AK529" t="s">
        <v>1637</v>
      </c>
      <c r="AL529" s="4">
        <v>20</v>
      </c>
      <c r="AM529" t="s">
        <v>185</v>
      </c>
      <c r="AN529">
        <v>20</v>
      </c>
      <c r="AO529" t="s">
        <v>1665</v>
      </c>
      <c r="AP529" t="s">
        <v>1639</v>
      </c>
      <c r="AQ529" t="s">
        <v>1640</v>
      </c>
      <c r="AR529" t="s">
        <v>1641</v>
      </c>
      <c r="AS529">
        <v>1</v>
      </c>
      <c r="AT529">
        <v>0</v>
      </c>
      <c r="AU529">
        <v>0</v>
      </c>
      <c r="AV529">
        <v>1</v>
      </c>
      <c r="AW529">
        <v>0</v>
      </c>
      <c r="AX529">
        <v>0</v>
      </c>
      <c r="AY529" t="s">
        <v>1642</v>
      </c>
    </row>
    <row r="530" spans="1:51">
      <c r="A530" t="s">
        <v>1066</v>
      </c>
      <c r="B530" t="s">
        <v>1082</v>
      </c>
      <c r="C530" t="s">
        <v>655</v>
      </c>
      <c r="D530" t="s">
        <v>1068</v>
      </c>
      <c r="E530" t="s">
        <v>96</v>
      </c>
      <c r="F530">
        <v>1</v>
      </c>
      <c r="G530" t="s">
        <v>185</v>
      </c>
      <c r="H530" t="s">
        <v>675</v>
      </c>
      <c r="I530" t="s">
        <v>377</v>
      </c>
      <c r="J530" t="s">
        <v>1069</v>
      </c>
      <c r="K530" t="s">
        <v>41</v>
      </c>
      <c r="L530" t="s">
        <v>30</v>
      </c>
      <c r="M530" t="s">
        <v>1070</v>
      </c>
      <c r="N530" s="7">
        <v>1750</v>
      </c>
      <c r="O530" s="7">
        <v>90</v>
      </c>
      <c r="P530" s="7">
        <v>4</v>
      </c>
      <c r="Q530" s="7">
        <v>1750</v>
      </c>
      <c r="R530" s="7">
        <v>90</v>
      </c>
      <c r="S530" s="7">
        <v>4</v>
      </c>
      <c r="T530" s="7">
        <v>180</v>
      </c>
      <c r="U530" s="7">
        <v>180</v>
      </c>
      <c r="V530" s="7">
        <v>0</v>
      </c>
      <c r="W530" s="7">
        <v>5.2897959183673474E-3</v>
      </c>
      <c r="X530" t="s">
        <v>550</v>
      </c>
      <c r="Y530" t="s">
        <v>89</v>
      </c>
      <c r="Z530" t="s">
        <v>515</v>
      </c>
      <c r="AA530" t="s">
        <v>1083</v>
      </c>
      <c r="AB530" t="s">
        <v>92</v>
      </c>
      <c r="AC530" t="s">
        <v>1066</v>
      </c>
      <c r="AD530" t="s">
        <v>1066</v>
      </c>
      <c r="AE530" t="s">
        <v>1815</v>
      </c>
      <c r="AF530" t="s">
        <v>1816</v>
      </c>
      <c r="AG530" t="s">
        <v>1815</v>
      </c>
      <c r="AI530" t="s">
        <v>30</v>
      </c>
      <c r="AJ530" t="s">
        <v>1636</v>
      </c>
      <c r="AK530" t="s">
        <v>1637</v>
      </c>
      <c r="AL530" s="4">
        <v>1</v>
      </c>
      <c r="AM530" t="s">
        <v>185</v>
      </c>
      <c r="AN530">
        <v>1</v>
      </c>
      <c r="AO530" t="s">
        <v>1665</v>
      </c>
      <c r="AP530" t="s">
        <v>1639</v>
      </c>
      <c r="AQ530" t="s">
        <v>1640</v>
      </c>
      <c r="AR530" t="s">
        <v>1641</v>
      </c>
      <c r="AS530">
        <v>1</v>
      </c>
      <c r="AT530">
        <v>0</v>
      </c>
      <c r="AU530">
        <v>0</v>
      </c>
      <c r="AV530">
        <v>1</v>
      </c>
      <c r="AW530">
        <v>0</v>
      </c>
      <c r="AX530">
        <v>0</v>
      </c>
      <c r="AY530" t="s">
        <v>1642</v>
      </c>
    </row>
    <row r="531" spans="1:51">
      <c r="A531" t="s">
        <v>1066</v>
      </c>
      <c r="B531" t="s">
        <v>1084</v>
      </c>
      <c r="C531" t="s">
        <v>655</v>
      </c>
      <c r="D531" t="s">
        <v>1068</v>
      </c>
      <c r="E531" t="s">
        <v>96</v>
      </c>
      <c r="F531">
        <v>10</v>
      </c>
      <c r="G531" t="s">
        <v>185</v>
      </c>
      <c r="H531" t="s">
        <v>675</v>
      </c>
      <c r="I531" t="s">
        <v>377</v>
      </c>
      <c r="J531" t="s">
        <v>1069</v>
      </c>
      <c r="K531" t="s">
        <v>41</v>
      </c>
      <c r="L531" t="s">
        <v>30</v>
      </c>
      <c r="M531" t="s">
        <v>1070</v>
      </c>
      <c r="N531" s="7">
        <v>1750</v>
      </c>
      <c r="O531" s="7">
        <v>90</v>
      </c>
      <c r="P531" s="7">
        <v>4</v>
      </c>
      <c r="Q531" s="7">
        <v>1800</v>
      </c>
      <c r="R531" s="7">
        <v>90</v>
      </c>
      <c r="S531" s="7">
        <v>4</v>
      </c>
      <c r="T531" s="7">
        <v>180</v>
      </c>
      <c r="U531" s="7">
        <v>180</v>
      </c>
      <c r="V531" s="7">
        <v>2.8170876966696224E-2</v>
      </c>
      <c r="W531" s="7">
        <v>5.1448979591836742E-3</v>
      </c>
      <c r="X531" t="s">
        <v>550</v>
      </c>
      <c r="Y531" t="s">
        <v>89</v>
      </c>
      <c r="Z531" t="s">
        <v>515</v>
      </c>
      <c r="AA531" t="s">
        <v>1083</v>
      </c>
      <c r="AB531" t="s">
        <v>92</v>
      </c>
      <c r="AC531" t="s">
        <v>1066</v>
      </c>
      <c r="AD531" t="s">
        <v>1066</v>
      </c>
      <c r="AE531" t="s">
        <v>1815</v>
      </c>
      <c r="AF531" t="s">
        <v>1817</v>
      </c>
      <c r="AG531" t="s">
        <v>1815</v>
      </c>
      <c r="AI531" t="s">
        <v>30</v>
      </c>
      <c r="AJ531" t="s">
        <v>1636</v>
      </c>
      <c r="AK531" t="s">
        <v>1637</v>
      </c>
      <c r="AL531" s="4">
        <v>10</v>
      </c>
      <c r="AM531" t="s">
        <v>185</v>
      </c>
      <c r="AN531">
        <v>10</v>
      </c>
      <c r="AO531" t="s">
        <v>1665</v>
      </c>
      <c r="AP531" t="s">
        <v>1639</v>
      </c>
      <c r="AQ531" t="s">
        <v>1640</v>
      </c>
      <c r="AR531" t="s">
        <v>1641</v>
      </c>
      <c r="AS531">
        <v>1</v>
      </c>
      <c r="AT531">
        <v>0</v>
      </c>
      <c r="AU531">
        <v>0</v>
      </c>
      <c r="AV531">
        <v>1</v>
      </c>
      <c r="AW531">
        <v>0</v>
      </c>
      <c r="AX531">
        <v>0</v>
      </c>
      <c r="AY531" t="s">
        <v>1642</v>
      </c>
    </row>
    <row r="532" spans="1:51">
      <c r="A532" t="s">
        <v>1066</v>
      </c>
      <c r="B532" t="s">
        <v>1085</v>
      </c>
      <c r="C532" t="s">
        <v>655</v>
      </c>
      <c r="D532" t="s">
        <v>1068</v>
      </c>
      <c r="E532" t="s">
        <v>96</v>
      </c>
      <c r="F532">
        <v>20</v>
      </c>
      <c r="G532" t="s">
        <v>185</v>
      </c>
      <c r="H532" t="s">
        <v>675</v>
      </c>
      <c r="I532" t="s">
        <v>377</v>
      </c>
      <c r="J532" t="s">
        <v>1069</v>
      </c>
      <c r="K532" t="s">
        <v>41</v>
      </c>
      <c r="L532" t="s">
        <v>30</v>
      </c>
      <c r="M532" t="s">
        <v>1070</v>
      </c>
      <c r="N532" s="7">
        <v>1750</v>
      </c>
      <c r="O532" s="7">
        <v>90</v>
      </c>
      <c r="P532" s="7">
        <v>4</v>
      </c>
      <c r="Q532" s="7">
        <v>1750</v>
      </c>
      <c r="R532" s="7">
        <v>90</v>
      </c>
      <c r="S532" s="7">
        <v>4</v>
      </c>
      <c r="T532" s="7">
        <v>180</v>
      </c>
      <c r="U532" s="7">
        <v>180</v>
      </c>
      <c r="V532" s="7">
        <v>0</v>
      </c>
      <c r="W532" s="7">
        <v>5.2897959183673474E-3</v>
      </c>
      <c r="X532" t="s">
        <v>550</v>
      </c>
      <c r="Y532" t="s">
        <v>89</v>
      </c>
      <c r="Z532" t="s">
        <v>515</v>
      </c>
      <c r="AA532" t="s">
        <v>1083</v>
      </c>
      <c r="AB532" t="s">
        <v>92</v>
      </c>
      <c r="AC532" t="s">
        <v>1066</v>
      </c>
      <c r="AD532" t="s">
        <v>1066</v>
      </c>
      <c r="AE532" t="s">
        <v>1815</v>
      </c>
      <c r="AF532" t="s">
        <v>1818</v>
      </c>
      <c r="AG532" t="s">
        <v>1815</v>
      </c>
      <c r="AI532" t="s">
        <v>30</v>
      </c>
      <c r="AJ532" t="s">
        <v>1636</v>
      </c>
      <c r="AK532" t="s">
        <v>1637</v>
      </c>
      <c r="AL532" s="4">
        <v>20</v>
      </c>
      <c r="AM532" t="s">
        <v>185</v>
      </c>
      <c r="AN532">
        <v>20</v>
      </c>
      <c r="AO532" t="s">
        <v>1665</v>
      </c>
      <c r="AP532" t="s">
        <v>1639</v>
      </c>
      <c r="AQ532" t="s">
        <v>1640</v>
      </c>
      <c r="AR532" t="s">
        <v>1641</v>
      </c>
      <c r="AS532">
        <v>1</v>
      </c>
      <c r="AT532">
        <v>0</v>
      </c>
      <c r="AU532">
        <v>0</v>
      </c>
      <c r="AV532">
        <v>1</v>
      </c>
      <c r="AW532">
        <v>0</v>
      </c>
      <c r="AX532">
        <v>0</v>
      </c>
      <c r="AY532" t="s">
        <v>1642</v>
      </c>
    </row>
    <row r="533" spans="1:51">
      <c r="A533" t="s">
        <v>1066</v>
      </c>
      <c r="B533" t="s">
        <v>1086</v>
      </c>
      <c r="C533" t="s">
        <v>655</v>
      </c>
      <c r="D533" t="s">
        <v>1068</v>
      </c>
      <c r="E533" t="s">
        <v>96</v>
      </c>
      <c r="F533">
        <v>1</v>
      </c>
      <c r="G533" t="s">
        <v>185</v>
      </c>
      <c r="H533" t="s">
        <v>675</v>
      </c>
      <c r="I533" t="s">
        <v>377</v>
      </c>
      <c r="J533" t="s">
        <v>1069</v>
      </c>
      <c r="K533" t="s">
        <v>29</v>
      </c>
      <c r="L533" t="s">
        <v>337</v>
      </c>
      <c r="M533" t="s">
        <v>1070</v>
      </c>
      <c r="N533" s="7">
        <v>1850</v>
      </c>
      <c r="O533" s="7">
        <v>100</v>
      </c>
      <c r="P533" s="7">
        <v>4</v>
      </c>
      <c r="Q533" s="7">
        <v>1950</v>
      </c>
      <c r="R533" s="7">
        <v>100</v>
      </c>
      <c r="S533" s="7">
        <v>4</v>
      </c>
      <c r="T533" s="7">
        <v>200</v>
      </c>
      <c r="U533" s="7">
        <v>200</v>
      </c>
      <c r="V533" s="7">
        <v>5.2643733485421881E-2</v>
      </c>
      <c r="W533" s="7">
        <v>5.5516895433735357E-3</v>
      </c>
      <c r="X533" t="s">
        <v>550</v>
      </c>
      <c r="Y533" t="s">
        <v>89</v>
      </c>
      <c r="Z533" t="s">
        <v>515</v>
      </c>
      <c r="AA533" t="s">
        <v>1087</v>
      </c>
      <c r="AB533" t="s">
        <v>92</v>
      </c>
      <c r="AC533" t="s">
        <v>1066</v>
      </c>
      <c r="AD533" t="s">
        <v>1066</v>
      </c>
      <c r="AE533" t="s">
        <v>1815</v>
      </c>
      <c r="AF533" t="s">
        <v>1816</v>
      </c>
      <c r="AG533" t="s">
        <v>1815</v>
      </c>
      <c r="AI533" t="s">
        <v>337</v>
      </c>
      <c r="AJ533" t="s">
        <v>1636</v>
      </c>
      <c r="AK533" t="s">
        <v>1637</v>
      </c>
      <c r="AL533" s="4">
        <v>1</v>
      </c>
      <c r="AM533" t="s">
        <v>185</v>
      </c>
      <c r="AN533">
        <v>1</v>
      </c>
      <c r="AO533" t="s">
        <v>1665</v>
      </c>
      <c r="AP533" t="s">
        <v>1639</v>
      </c>
      <c r="AQ533" t="s">
        <v>1640</v>
      </c>
      <c r="AR533" t="s">
        <v>1641</v>
      </c>
      <c r="AS533">
        <v>1</v>
      </c>
      <c r="AT533">
        <v>0</v>
      </c>
      <c r="AU533">
        <v>0</v>
      </c>
      <c r="AV533">
        <v>1</v>
      </c>
      <c r="AW533">
        <v>0</v>
      </c>
      <c r="AX533">
        <v>0</v>
      </c>
      <c r="AY533" t="s">
        <v>1642</v>
      </c>
    </row>
    <row r="534" spans="1:51">
      <c r="A534" t="s">
        <v>1066</v>
      </c>
      <c r="B534" t="s">
        <v>1088</v>
      </c>
      <c r="C534" t="s">
        <v>655</v>
      </c>
      <c r="D534" t="s">
        <v>1068</v>
      </c>
      <c r="E534" t="s">
        <v>96</v>
      </c>
      <c r="F534">
        <v>10</v>
      </c>
      <c r="G534" t="s">
        <v>185</v>
      </c>
      <c r="H534" t="s">
        <v>675</v>
      </c>
      <c r="I534" t="s">
        <v>377</v>
      </c>
      <c r="J534" t="s">
        <v>1069</v>
      </c>
      <c r="K534" t="s">
        <v>29</v>
      </c>
      <c r="L534" t="s">
        <v>337</v>
      </c>
      <c r="M534" t="s">
        <v>1070</v>
      </c>
      <c r="N534" s="7">
        <v>1850</v>
      </c>
      <c r="O534" s="7">
        <v>100</v>
      </c>
      <c r="P534" s="7">
        <v>4</v>
      </c>
      <c r="Q534" s="7">
        <v>2050</v>
      </c>
      <c r="R534" s="7">
        <v>110</v>
      </c>
      <c r="S534" s="7">
        <v>4</v>
      </c>
      <c r="T534" s="7">
        <v>200</v>
      </c>
      <c r="U534" s="7">
        <v>220</v>
      </c>
      <c r="V534" s="7">
        <v>0.10265415406008337</v>
      </c>
      <c r="W534" s="7">
        <v>5.8010793081616436E-3</v>
      </c>
      <c r="X534" t="s">
        <v>550</v>
      </c>
      <c r="Y534" t="s">
        <v>89</v>
      </c>
      <c r="Z534" t="s">
        <v>515</v>
      </c>
      <c r="AA534" t="s">
        <v>1087</v>
      </c>
      <c r="AB534" t="s">
        <v>92</v>
      </c>
      <c r="AC534" t="s">
        <v>1066</v>
      </c>
      <c r="AD534" t="s">
        <v>1066</v>
      </c>
      <c r="AE534" t="s">
        <v>1815</v>
      </c>
      <c r="AF534" t="s">
        <v>1817</v>
      </c>
      <c r="AG534" t="s">
        <v>1815</v>
      </c>
      <c r="AI534" t="s">
        <v>337</v>
      </c>
      <c r="AJ534" t="s">
        <v>1636</v>
      </c>
      <c r="AK534" t="s">
        <v>1637</v>
      </c>
      <c r="AL534" s="4">
        <v>10</v>
      </c>
      <c r="AM534" t="s">
        <v>185</v>
      </c>
      <c r="AN534">
        <v>10</v>
      </c>
      <c r="AO534" t="s">
        <v>1665</v>
      </c>
      <c r="AP534" t="s">
        <v>1639</v>
      </c>
      <c r="AQ534" t="s">
        <v>1640</v>
      </c>
      <c r="AR534" t="s">
        <v>1641</v>
      </c>
      <c r="AS534">
        <v>1</v>
      </c>
      <c r="AT534">
        <v>0</v>
      </c>
      <c r="AU534">
        <v>0</v>
      </c>
      <c r="AV534">
        <v>1</v>
      </c>
      <c r="AW534">
        <v>0</v>
      </c>
      <c r="AX534">
        <v>0</v>
      </c>
      <c r="AY534" t="s">
        <v>1642</v>
      </c>
    </row>
    <row r="535" spans="1:51">
      <c r="A535" t="s">
        <v>1066</v>
      </c>
      <c r="B535" t="s">
        <v>1089</v>
      </c>
      <c r="C535" t="s">
        <v>655</v>
      </c>
      <c r="D535" t="s">
        <v>1068</v>
      </c>
      <c r="E535" t="s">
        <v>96</v>
      </c>
      <c r="F535">
        <v>20</v>
      </c>
      <c r="G535" t="s">
        <v>185</v>
      </c>
      <c r="H535" t="s">
        <v>675</v>
      </c>
      <c r="I535" t="s">
        <v>377</v>
      </c>
      <c r="J535" t="s">
        <v>1069</v>
      </c>
      <c r="K535" t="s">
        <v>29</v>
      </c>
      <c r="L535" t="s">
        <v>337</v>
      </c>
      <c r="M535" t="s">
        <v>1070</v>
      </c>
      <c r="N535" s="7">
        <v>1850</v>
      </c>
      <c r="O535" s="7">
        <v>100</v>
      </c>
      <c r="P535" s="7">
        <v>4</v>
      </c>
      <c r="Q535" s="7">
        <v>2050</v>
      </c>
      <c r="R535" s="7">
        <v>100</v>
      </c>
      <c r="S535" s="7">
        <v>4</v>
      </c>
      <c r="T535" s="7">
        <v>200</v>
      </c>
      <c r="U535" s="7">
        <v>200</v>
      </c>
      <c r="V535" s="7">
        <v>0.10265415406008337</v>
      </c>
      <c r="W535" s="7">
        <v>5.3013767501604537E-3</v>
      </c>
      <c r="X535" t="s">
        <v>550</v>
      </c>
      <c r="Y535" t="s">
        <v>89</v>
      </c>
      <c r="Z535" t="s">
        <v>515</v>
      </c>
      <c r="AA535" t="s">
        <v>1087</v>
      </c>
      <c r="AB535" t="s">
        <v>92</v>
      </c>
      <c r="AC535" t="s">
        <v>1066</v>
      </c>
      <c r="AD535" t="s">
        <v>1066</v>
      </c>
      <c r="AE535" t="s">
        <v>1815</v>
      </c>
      <c r="AF535" t="s">
        <v>1818</v>
      </c>
      <c r="AG535" t="s">
        <v>1815</v>
      </c>
      <c r="AI535" t="s">
        <v>337</v>
      </c>
      <c r="AJ535" t="s">
        <v>1636</v>
      </c>
      <c r="AK535" t="s">
        <v>1637</v>
      </c>
      <c r="AL535" s="4">
        <v>20</v>
      </c>
      <c r="AM535" t="s">
        <v>185</v>
      </c>
      <c r="AN535">
        <v>20</v>
      </c>
      <c r="AO535" t="s">
        <v>1665</v>
      </c>
      <c r="AP535" t="s">
        <v>1639</v>
      </c>
      <c r="AQ535" t="s">
        <v>1640</v>
      </c>
      <c r="AR535" t="s">
        <v>1641</v>
      </c>
      <c r="AS535">
        <v>1</v>
      </c>
      <c r="AT535">
        <v>0</v>
      </c>
      <c r="AU535">
        <v>0</v>
      </c>
      <c r="AV535">
        <v>1</v>
      </c>
      <c r="AW535">
        <v>0</v>
      </c>
      <c r="AX535">
        <v>0</v>
      </c>
      <c r="AY535" t="s">
        <v>1642</v>
      </c>
    </row>
    <row r="536" spans="1:51">
      <c r="A536" t="s">
        <v>1066</v>
      </c>
      <c r="B536" t="s">
        <v>1090</v>
      </c>
      <c r="C536" t="s">
        <v>655</v>
      </c>
      <c r="D536" t="s">
        <v>1068</v>
      </c>
      <c r="E536" t="s">
        <v>96</v>
      </c>
      <c r="F536">
        <v>1</v>
      </c>
      <c r="G536" t="s">
        <v>185</v>
      </c>
      <c r="H536" t="s">
        <v>675</v>
      </c>
      <c r="I536" t="s">
        <v>377</v>
      </c>
      <c r="J536" t="s">
        <v>1069</v>
      </c>
      <c r="K536" t="s">
        <v>41</v>
      </c>
      <c r="L536" t="s">
        <v>337</v>
      </c>
      <c r="M536" t="s">
        <v>1070</v>
      </c>
      <c r="N536" s="7">
        <v>2250</v>
      </c>
      <c r="O536" s="7">
        <v>120</v>
      </c>
      <c r="P536" s="7">
        <v>4</v>
      </c>
      <c r="Q536" s="7">
        <v>2250</v>
      </c>
      <c r="R536" s="7">
        <v>120</v>
      </c>
      <c r="S536" s="7">
        <v>4</v>
      </c>
      <c r="T536" s="7">
        <v>240</v>
      </c>
      <c r="U536" s="7">
        <v>240</v>
      </c>
      <c r="V536" s="7">
        <v>0</v>
      </c>
      <c r="W536" s="7">
        <v>5.6888888888888892E-3</v>
      </c>
      <c r="X536" t="s">
        <v>550</v>
      </c>
      <c r="Y536" t="s">
        <v>89</v>
      </c>
      <c r="Z536" t="s">
        <v>515</v>
      </c>
      <c r="AA536" t="s">
        <v>1091</v>
      </c>
      <c r="AB536" t="s">
        <v>92</v>
      </c>
      <c r="AC536" t="s">
        <v>1066</v>
      </c>
      <c r="AD536" t="s">
        <v>1066</v>
      </c>
      <c r="AE536" t="s">
        <v>1815</v>
      </c>
      <c r="AF536" t="s">
        <v>1816</v>
      </c>
      <c r="AG536" t="s">
        <v>1815</v>
      </c>
      <c r="AI536" t="s">
        <v>337</v>
      </c>
      <c r="AJ536" t="s">
        <v>1636</v>
      </c>
      <c r="AK536" t="s">
        <v>1637</v>
      </c>
      <c r="AL536" s="4">
        <v>1</v>
      </c>
      <c r="AM536" t="s">
        <v>185</v>
      </c>
      <c r="AN536">
        <v>1</v>
      </c>
      <c r="AO536" t="s">
        <v>1665</v>
      </c>
      <c r="AP536" t="s">
        <v>1639</v>
      </c>
      <c r="AQ536" t="s">
        <v>1640</v>
      </c>
      <c r="AR536" t="s">
        <v>1641</v>
      </c>
      <c r="AS536">
        <v>1</v>
      </c>
      <c r="AT536">
        <v>0</v>
      </c>
      <c r="AU536">
        <v>0</v>
      </c>
      <c r="AV536">
        <v>1</v>
      </c>
      <c r="AW536">
        <v>0</v>
      </c>
      <c r="AX536">
        <v>0</v>
      </c>
      <c r="AY536" t="s">
        <v>1642</v>
      </c>
    </row>
    <row r="537" spans="1:51">
      <c r="A537" t="s">
        <v>1066</v>
      </c>
      <c r="B537" t="s">
        <v>1092</v>
      </c>
      <c r="C537" t="s">
        <v>655</v>
      </c>
      <c r="D537" t="s">
        <v>1068</v>
      </c>
      <c r="E537" t="s">
        <v>96</v>
      </c>
      <c r="F537">
        <v>10</v>
      </c>
      <c r="G537" t="s">
        <v>185</v>
      </c>
      <c r="H537" t="s">
        <v>675</v>
      </c>
      <c r="I537" t="s">
        <v>377</v>
      </c>
      <c r="J537" t="s">
        <v>1069</v>
      </c>
      <c r="K537" t="s">
        <v>41</v>
      </c>
      <c r="L537" t="s">
        <v>337</v>
      </c>
      <c r="M537" t="s">
        <v>1070</v>
      </c>
      <c r="N537" s="7">
        <v>2250</v>
      </c>
      <c r="O537" s="7">
        <v>120</v>
      </c>
      <c r="P537" s="7">
        <v>4</v>
      </c>
      <c r="Q537" s="7">
        <v>2200</v>
      </c>
      <c r="R537" s="7">
        <v>120</v>
      </c>
      <c r="S537" s="7">
        <v>4</v>
      </c>
      <c r="T537" s="7">
        <v>240</v>
      </c>
      <c r="U537" s="7">
        <v>240</v>
      </c>
      <c r="V537" s="7">
        <v>-2.2472855852058628E-2</v>
      </c>
      <c r="W537" s="7">
        <v>5.8196510560146924E-3</v>
      </c>
      <c r="X537" t="s">
        <v>550</v>
      </c>
      <c r="Y537" t="s">
        <v>89</v>
      </c>
      <c r="Z537" t="s">
        <v>515</v>
      </c>
      <c r="AA537" t="s">
        <v>1091</v>
      </c>
      <c r="AB537" t="s">
        <v>92</v>
      </c>
      <c r="AC537" t="s">
        <v>1066</v>
      </c>
      <c r="AD537" t="s">
        <v>1066</v>
      </c>
      <c r="AE537" t="s">
        <v>1815</v>
      </c>
      <c r="AF537" t="s">
        <v>1817</v>
      </c>
      <c r="AG537" t="s">
        <v>1815</v>
      </c>
      <c r="AI537" t="s">
        <v>337</v>
      </c>
      <c r="AJ537" t="s">
        <v>1636</v>
      </c>
      <c r="AK537" t="s">
        <v>1637</v>
      </c>
      <c r="AL537" s="4">
        <v>10</v>
      </c>
      <c r="AM537" t="s">
        <v>185</v>
      </c>
      <c r="AN537">
        <v>10</v>
      </c>
      <c r="AO537" t="s">
        <v>1665</v>
      </c>
      <c r="AP537" t="s">
        <v>1639</v>
      </c>
      <c r="AQ537" t="s">
        <v>1640</v>
      </c>
      <c r="AR537" t="s">
        <v>1641</v>
      </c>
      <c r="AS537">
        <v>1</v>
      </c>
      <c r="AT537">
        <v>0</v>
      </c>
      <c r="AU537">
        <v>0</v>
      </c>
      <c r="AV537">
        <v>1</v>
      </c>
      <c r="AW537">
        <v>0</v>
      </c>
      <c r="AX537">
        <v>0</v>
      </c>
      <c r="AY537" t="s">
        <v>1642</v>
      </c>
    </row>
    <row r="538" spans="1:51">
      <c r="A538" t="s">
        <v>1066</v>
      </c>
      <c r="B538" t="s">
        <v>1093</v>
      </c>
      <c r="C538" t="s">
        <v>655</v>
      </c>
      <c r="D538" t="s">
        <v>1068</v>
      </c>
      <c r="E538" t="s">
        <v>96</v>
      </c>
      <c r="F538">
        <v>20</v>
      </c>
      <c r="G538" t="s">
        <v>185</v>
      </c>
      <c r="H538" t="s">
        <v>675</v>
      </c>
      <c r="I538" t="s">
        <v>377</v>
      </c>
      <c r="J538" t="s">
        <v>1069</v>
      </c>
      <c r="K538" t="s">
        <v>41</v>
      </c>
      <c r="L538" t="s">
        <v>337</v>
      </c>
      <c r="M538" t="s">
        <v>1070</v>
      </c>
      <c r="N538" s="7">
        <v>2250</v>
      </c>
      <c r="O538" s="7">
        <v>120</v>
      </c>
      <c r="P538" s="7">
        <v>4</v>
      </c>
      <c r="Q538" s="7">
        <v>2000</v>
      </c>
      <c r="R538" s="7">
        <v>110</v>
      </c>
      <c r="S538" s="7">
        <v>4</v>
      </c>
      <c r="T538" s="7">
        <v>240</v>
      </c>
      <c r="U538" s="7">
        <v>220</v>
      </c>
      <c r="V538" s="7">
        <v>-0.11778303565638351</v>
      </c>
      <c r="W538" s="7">
        <v>5.8694444444444445E-3</v>
      </c>
      <c r="X538" t="s">
        <v>550</v>
      </c>
      <c r="Y538" t="s">
        <v>89</v>
      </c>
      <c r="Z538" t="s">
        <v>515</v>
      </c>
      <c r="AA538" t="s">
        <v>1091</v>
      </c>
      <c r="AB538" t="s">
        <v>92</v>
      </c>
      <c r="AC538" t="s">
        <v>1066</v>
      </c>
      <c r="AD538" t="s">
        <v>1066</v>
      </c>
      <c r="AE538" t="s">
        <v>1815</v>
      </c>
      <c r="AF538" t="s">
        <v>1818</v>
      </c>
      <c r="AG538" t="s">
        <v>1815</v>
      </c>
      <c r="AI538" t="s">
        <v>337</v>
      </c>
      <c r="AJ538" t="s">
        <v>1636</v>
      </c>
      <c r="AK538" t="s">
        <v>1637</v>
      </c>
      <c r="AL538" s="4">
        <v>20</v>
      </c>
      <c r="AM538" t="s">
        <v>185</v>
      </c>
      <c r="AN538">
        <v>20</v>
      </c>
      <c r="AO538" t="s">
        <v>1665</v>
      </c>
      <c r="AP538" t="s">
        <v>1639</v>
      </c>
      <c r="AQ538" t="s">
        <v>1640</v>
      </c>
      <c r="AR538" t="s">
        <v>1641</v>
      </c>
      <c r="AS538">
        <v>1</v>
      </c>
      <c r="AT538">
        <v>0</v>
      </c>
      <c r="AU538">
        <v>0</v>
      </c>
      <c r="AV538">
        <v>1</v>
      </c>
      <c r="AW538">
        <v>0</v>
      </c>
      <c r="AX538">
        <v>0</v>
      </c>
      <c r="AY538" t="s">
        <v>1642</v>
      </c>
    </row>
    <row r="539" spans="1:51">
      <c r="A539" t="s">
        <v>1094</v>
      </c>
      <c r="B539" t="s">
        <v>1095</v>
      </c>
      <c r="C539" t="s">
        <v>1096</v>
      </c>
      <c r="D539" t="s">
        <v>1097</v>
      </c>
      <c r="E539" t="s">
        <v>750</v>
      </c>
      <c r="F539">
        <v>150</v>
      </c>
      <c r="G539" t="s">
        <v>83</v>
      </c>
      <c r="H539" t="s">
        <v>84</v>
      </c>
      <c r="I539" t="s">
        <v>186</v>
      </c>
      <c r="J539" t="s">
        <v>1098</v>
      </c>
      <c r="K539" t="s">
        <v>149</v>
      </c>
      <c r="L539" t="s">
        <v>40</v>
      </c>
      <c r="M539" t="s">
        <v>423</v>
      </c>
      <c r="N539" s="7">
        <v>1.2529999999999999</v>
      </c>
      <c r="O539" s="7"/>
      <c r="P539" s="7">
        <v>3</v>
      </c>
      <c r="Q539" s="7">
        <v>0.52500000000000002</v>
      </c>
      <c r="R539" s="7"/>
      <c r="S539" s="7">
        <v>3</v>
      </c>
      <c r="T539" s="7">
        <v>0.1</v>
      </c>
      <c r="U539" s="7">
        <v>0.1</v>
      </c>
      <c r="V539" s="7">
        <v>-0.86989769230444447</v>
      </c>
      <c r="W539" s="7">
        <v>1.421685645916208E-2</v>
      </c>
      <c r="X539" t="s">
        <v>1099</v>
      </c>
      <c r="Y539" t="s">
        <v>1100</v>
      </c>
      <c r="Z539" t="s">
        <v>1101</v>
      </c>
      <c r="AA539" t="s">
        <v>1102</v>
      </c>
      <c r="AB539" t="s">
        <v>92</v>
      </c>
      <c r="AC539" t="s">
        <v>1094</v>
      </c>
      <c r="AD539" t="s">
        <v>1094</v>
      </c>
      <c r="AE539" t="s">
        <v>1819</v>
      </c>
      <c r="AF539" t="s">
        <v>1820</v>
      </c>
      <c r="AG539" t="s">
        <v>1819</v>
      </c>
      <c r="AI539" t="s">
        <v>40</v>
      </c>
      <c r="AJ539" t="s">
        <v>1636</v>
      </c>
      <c r="AK539" t="s">
        <v>1637</v>
      </c>
      <c r="AL539" s="4">
        <v>150</v>
      </c>
      <c r="AM539" t="s">
        <v>83</v>
      </c>
      <c r="AN539">
        <v>1.1353315168029063</v>
      </c>
      <c r="AO539" t="s">
        <v>1638</v>
      </c>
      <c r="AP539" t="s">
        <v>1639</v>
      </c>
      <c r="AQ539" t="s">
        <v>1716</v>
      </c>
      <c r="AR539" t="s">
        <v>1755</v>
      </c>
      <c r="AS539">
        <v>1</v>
      </c>
      <c r="AT539">
        <v>0</v>
      </c>
      <c r="AU539">
        <v>1</v>
      </c>
      <c r="AV539">
        <v>0</v>
      </c>
      <c r="AW539">
        <v>0</v>
      </c>
      <c r="AX539">
        <v>0</v>
      </c>
      <c r="AY539" t="s">
        <v>1642</v>
      </c>
    </row>
    <row r="540" spans="1:51">
      <c r="A540" t="s">
        <v>1094</v>
      </c>
      <c r="B540" t="s">
        <v>1103</v>
      </c>
      <c r="C540" t="s">
        <v>1096</v>
      </c>
      <c r="D540" t="s">
        <v>1097</v>
      </c>
      <c r="E540" t="s">
        <v>750</v>
      </c>
      <c r="F540">
        <v>300</v>
      </c>
      <c r="G540" t="s">
        <v>83</v>
      </c>
      <c r="H540" t="s">
        <v>84</v>
      </c>
      <c r="I540" t="s">
        <v>186</v>
      </c>
      <c r="J540" t="s">
        <v>1098</v>
      </c>
      <c r="K540" t="s">
        <v>149</v>
      </c>
      <c r="L540" t="s">
        <v>40</v>
      </c>
      <c r="M540" t="s">
        <v>423</v>
      </c>
      <c r="N540" s="7">
        <v>1.2529999999999999</v>
      </c>
      <c r="O540" s="7"/>
      <c r="P540" s="7">
        <v>3</v>
      </c>
      <c r="Q540" s="7">
        <v>1.1379999999999999</v>
      </c>
      <c r="R540" s="7"/>
      <c r="S540" s="7">
        <v>3</v>
      </c>
      <c r="T540" s="7">
        <v>0.1</v>
      </c>
      <c r="U540" s="7">
        <v>0.1</v>
      </c>
      <c r="V540" s="7">
        <v>-9.6268340209792108E-2</v>
      </c>
      <c r="W540" s="7">
        <v>4.6970452002372664E-3</v>
      </c>
      <c r="X540" t="s">
        <v>1099</v>
      </c>
      <c r="Y540" t="s">
        <v>1100</v>
      </c>
      <c r="Z540" t="s">
        <v>1101</v>
      </c>
      <c r="AA540" t="s">
        <v>1102</v>
      </c>
      <c r="AB540" t="s">
        <v>92</v>
      </c>
      <c r="AC540" t="s">
        <v>1094</v>
      </c>
      <c r="AD540" t="s">
        <v>1094</v>
      </c>
      <c r="AE540" t="s">
        <v>1819</v>
      </c>
      <c r="AF540" t="s">
        <v>1821</v>
      </c>
      <c r="AG540" t="s">
        <v>1819</v>
      </c>
      <c r="AI540" t="s">
        <v>40</v>
      </c>
      <c r="AJ540" t="s">
        <v>1636</v>
      </c>
      <c r="AK540" t="s">
        <v>1637</v>
      </c>
      <c r="AL540" s="4">
        <v>300</v>
      </c>
      <c r="AM540" t="s">
        <v>83</v>
      </c>
      <c r="AN540">
        <v>2.2706630336058127</v>
      </c>
      <c r="AO540" t="s">
        <v>1638</v>
      </c>
      <c r="AP540" t="s">
        <v>1639</v>
      </c>
      <c r="AQ540" t="s">
        <v>1716</v>
      </c>
      <c r="AR540" t="s">
        <v>1755</v>
      </c>
      <c r="AS540">
        <v>1</v>
      </c>
      <c r="AT540">
        <v>0</v>
      </c>
      <c r="AU540">
        <v>1</v>
      </c>
      <c r="AV540">
        <v>0</v>
      </c>
      <c r="AW540">
        <v>0</v>
      </c>
      <c r="AX540">
        <v>0</v>
      </c>
      <c r="AY540" t="s">
        <v>1642</v>
      </c>
    </row>
    <row r="541" spans="1:51">
      <c r="A541" t="s">
        <v>1094</v>
      </c>
      <c r="B541" t="s">
        <v>1104</v>
      </c>
      <c r="C541" t="s">
        <v>1096</v>
      </c>
      <c r="D541" t="s">
        <v>1097</v>
      </c>
      <c r="E541" t="s">
        <v>1105</v>
      </c>
      <c r="F541">
        <v>150</v>
      </c>
      <c r="G541" t="s">
        <v>83</v>
      </c>
      <c r="H541" t="s">
        <v>84</v>
      </c>
      <c r="I541" t="s">
        <v>186</v>
      </c>
      <c r="J541" t="s">
        <v>1098</v>
      </c>
      <c r="K541" t="s">
        <v>149</v>
      </c>
      <c r="L541" t="s">
        <v>40</v>
      </c>
      <c r="M541" t="s">
        <v>423</v>
      </c>
      <c r="N541" s="7">
        <v>1.2529999999999999</v>
      </c>
      <c r="O541" s="7"/>
      <c r="P541" s="7">
        <v>3</v>
      </c>
      <c r="Q541" s="7">
        <v>1.288</v>
      </c>
      <c r="R541" s="7"/>
      <c r="S541" s="7">
        <v>3</v>
      </c>
      <c r="T541" s="7">
        <v>0.1</v>
      </c>
      <c r="U541" s="7">
        <v>0.1</v>
      </c>
      <c r="V541" s="7">
        <v>2.7549951768230649E-2</v>
      </c>
      <c r="W541" s="7">
        <v>4.1324404201146586E-3</v>
      </c>
      <c r="X541" t="s">
        <v>1099</v>
      </c>
      <c r="Y541" t="s">
        <v>1100</v>
      </c>
      <c r="Z541" t="s">
        <v>1101</v>
      </c>
      <c r="AA541" t="s">
        <v>1102</v>
      </c>
      <c r="AB541" t="s">
        <v>92</v>
      </c>
      <c r="AC541" t="s">
        <v>1094</v>
      </c>
      <c r="AD541" t="s">
        <v>1094</v>
      </c>
      <c r="AE541" t="s">
        <v>1819</v>
      </c>
      <c r="AF541" t="s">
        <v>1822</v>
      </c>
      <c r="AG541" t="s">
        <v>1819</v>
      </c>
      <c r="AI541" t="s">
        <v>40</v>
      </c>
      <c r="AJ541" t="s">
        <v>1636</v>
      </c>
      <c r="AK541" t="s">
        <v>1637</v>
      </c>
      <c r="AL541" s="4">
        <v>150</v>
      </c>
      <c r="AM541" t="s">
        <v>83</v>
      </c>
      <c r="AN541">
        <v>1.0264130286027098</v>
      </c>
      <c r="AO541" t="s">
        <v>1638</v>
      </c>
      <c r="AP541" t="s">
        <v>1639</v>
      </c>
      <c r="AQ541" t="s">
        <v>1716</v>
      </c>
      <c r="AR541" t="s">
        <v>1755</v>
      </c>
      <c r="AS541">
        <v>1</v>
      </c>
      <c r="AT541">
        <v>0</v>
      </c>
      <c r="AU541">
        <v>1</v>
      </c>
      <c r="AV541">
        <v>0</v>
      </c>
      <c r="AW541">
        <v>0</v>
      </c>
      <c r="AX541">
        <v>0</v>
      </c>
      <c r="AY541" t="s">
        <v>1642</v>
      </c>
    </row>
    <row r="542" spans="1:51">
      <c r="A542" t="s">
        <v>1094</v>
      </c>
      <c r="B542" t="s">
        <v>1106</v>
      </c>
      <c r="C542" t="s">
        <v>1096</v>
      </c>
      <c r="D542" t="s">
        <v>1097</v>
      </c>
      <c r="E542" t="s">
        <v>1107</v>
      </c>
      <c r="F542" t="s">
        <v>1108</v>
      </c>
      <c r="G542" t="s">
        <v>1109</v>
      </c>
      <c r="H542" t="s">
        <v>84</v>
      </c>
      <c r="I542" t="s">
        <v>186</v>
      </c>
      <c r="J542" t="s">
        <v>1098</v>
      </c>
      <c r="K542" t="s">
        <v>149</v>
      </c>
      <c r="L542" t="s">
        <v>40</v>
      </c>
      <c r="M542" t="s">
        <v>423</v>
      </c>
      <c r="N542" s="7">
        <v>1.2529999999999999</v>
      </c>
      <c r="O542" s="7"/>
      <c r="P542" s="7">
        <v>3</v>
      </c>
      <c r="Q542" s="7">
        <v>0.995</v>
      </c>
      <c r="R542" s="7"/>
      <c r="S542" s="7">
        <v>3</v>
      </c>
      <c r="T542" s="7">
        <v>0.1</v>
      </c>
      <c r="U542" s="7">
        <v>0.1</v>
      </c>
      <c r="V542" s="7">
        <v>-0.23055321773747545</v>
      </c>
      <c r="W542" s="7">
        <v>5.4900484235342797E-3</v>
      </c>
      <c r="X542" t="s">
        <v>1099</v>
      </c>
      <c r="Y542" t="s">
        <v>1100</v>
      </c>
      <c r="Z542" t="s">
        <v>1101</v>
      </c>
      <c r="AA542" t="s">
        <v>1102</v>
      </c>
      <c r="AB542" t="s">
        <v>92</v>
      </c>
      <c r="AC542" t="s">
        <v>1094</v>
      </c>
      <c r="AD542" t="s">
        <v>1094</v>
      </c>
      <c r="AE542" t="s">
        <v>1819</v>
      </c>
      <c r="AF542" t="s">
        <v>1823</v>
      </c>
      <c r="AG542" t="s">
        <v>1819</v>
      </c>
      <c r="AI542" t="s">
        <v>40</v>
      </c>
      <c r="AJ542" t="s">
        <v>1636</v>
      </c>
      <c r="AK542" t="s">
        <v>1637</v>
      </c>
      <c r="AL542" s="4" t="s">
        <v>1108</v>
      </c>
      <c r="AM542" t="s">
        <v>1109</v>
      </c>
      <c r="AO542" t="s">
        <v>1647</v>
      </c>
      <c r="AP542" t="s">
        <v>1639</v>
      </c>
      <c r="AQ542" t="s">
        <v>1716</v>
      </c>
      <c r="AR542" t="s">
        <v>1755</v>
      </c>
      <c r="AS542">
        <v>1</v>
      </c>
      <c r="AT542">
        <v>0</v>
      </c>
      <c r="AU542">
        <v>1</v>
      </c>
      <c r="AV542">
        <v>0</v>
      </c>
      <c r="AW542">
        <v>0</v>
      </c>
      <c r="AX542">
        <v>0</v>
      </c>
      <c r="AY542" t="s">
        <v>1642</v>
      </c>
    </row>
    <row r="543" spans="1:51">
      <c r="A543" t="s">
        <v>1094</v>
      </c>
      <c r="B543" t="s">
        <v>1110</v>
      </c>
      <c r="C543" t="s">
        <v>1096</v>
      </c>
      <c r="D543" t="s">
        <v>1097</v>
      </c>
      <c r="E543" t="s">
        <v>1107</v>
      </c>
      <c r="F543" t="s">
        <v>1111</v>
      </c>
      <c r="G543" t="s">
        <v>1109</v>
      </c>
      <c r="H543" t="s">
        <v>84</v>
      </c>
      <c r="I543" t="s">
        <v>186</v>
      </c>
      <c r="J543" t="s">
        <v>1098</v>
      </c>
      <c r="K543" t="s">
        <v>149</v>
      </c>
      <c r="L543" t="s">
        <v>40</v>
      </c>
      <c r="M543" t="s">
        <v>423</v>
      </c>
      <c r="N543" s="7">
        <v>1.2529999999999999</v>
      </c>
      <c r="O543" s="7"/>
      <c r="P543" s="7">
        <v>3</v>
      </c>
      <c r="Q543" s="7">
        <v>1.373</v>
      </c>
      <c r="R543" s="7"/>
      <c r="S543" s="7">
        <v>3</v>
      </c>
      <c r="T543" s="7">
        <v>0.1</v>
      </c>
      <c r="U543" s="7">
        <v>0.1</v>
      </c>
      <c r="V543" s="7">
        <v>9.1457450871902921E-2</v>
      </c>
      <c r="W543" s="7">
        <v>3.8913556671126906E-3</v>
      </c>
      <c r="X543" t="s">
        <v>1099</v>
      </c>
      <c r="Y543" t="s">
        <v>1100</v>
      </c>
      <c r="Z543" t="s">
        <v>1101</v>
      </c>
      <c r="AA543" t="s">
        <v>1102</v>
      </c>
      <c r="AB543" t="s">
        <v>92</v>
      </c>
      <c r="AC543" t="s">
        <v>1094</v>
      </c>
      <c r="AD543" t="s">
        <v>1094</v>
      </c>
      <c r="AE543" t="s">
        <v>1819</v>
      </c>
      <c r="AF543" t="s">
        <v>1824</v>
      </c>
      <c r="AG543" t="s">
        <v>1819</v>
      </c>
      <c r="AI543" t="s">
        <v>40</v>
      </c>
      <c r="AJ543" t="s">
        <v>1636</v>
      </c>
      <c r="AK543" t="s">
        <v>1637</v>
      </c>
      <c r="AL543" s="4" t="s">
        <v>1111</v>
      </c>
      <c r="AM543" t="s">
        <v>1109</v>
      </c>
      <c r="AO543" t="s">
        <v>1647</v>
      </c>
      <c r="AP543" t="s">
        <v>1639</v>
      </c>
      <c r="AQ543" t="s">
        <v>1716</v>
      </c>
      <c r="AR543" t="s">
        <v>1755</v>
      </c>
      <c r="AS543">
        <v>1</v>
      </c>
      <c r="AT543">
        <v>0</v>
      </c>
      <c r="AU543">
        <v>1</v>
      </c>
      <c r="AV543">
        <v>0</v>
      </c>
      <c r="AW543">
        <v>0</v>
      </c>
      <c r="AX543">
        <v>0</v>
      </c>
      <c r="AY543" t="s">
        <v>1642</v>
      </c>
    </row>
    <row r="544" spans="1:51">
      <c r="A544" t="s">
        <v>1094</v>
      </c>
      <c r="B544" t="s">
        <v>1112</v>
      </c>
      <c r="C544" t="s">
        <v>1096</v>
      </c>
      <c r="D544" t="s">
        <v>1097</v>
      </c>
      <c r="E544" t="s">
        <v>1105</v>
      </c>
      <c r="F544">
        <v>300</v>
      </c>
      <c r="G544" t="s">
        <v>83</v>
      </c>
      <c r="H544" t="s">
        <v>84</v>
      </c>
      <c r="I544" t="s">
        <v>186</v>
      </c>
      <c r="J544" t="s">
        <v>1098</v>
      </c>
      <c r="K544" t="s">
        <v>149</v>
      </c>
      <c r="L544" t="s">
        <v>40</v>
      </c>
      <c r="M544" t="s">
        <v>423</v>
      </c>
      <c r="N544" s="7">
        <v>1.2529999999999999</v>
      </c>
      <c r="O544" s="7"/>
      <c r="P544" s="7">
        <v>3</v>
      </c>
      <c r="Q544" s="7">
        <v>1.093</v>
      </c>
      <c r="R544" s="7"/>
      <c r="S544" s="7">
        <v>3</v>
      </c>
      <c r="T544" s="7">
        <v>0.1</v>
      </c>
      <c r="U544" s="7">
        <v>0.1</v>
      </c>
      <c r="V544" s="7">
        <v>-0.13661446671952965</v>
      </c>
      <c r="W544" s="7">
        <v>4.9133499127713993E-3</v>
      </c>
      <c r="X544" t="s">
        <v>1099</v>
      </c>
      <c r="Y544" t="s">
        <v>1100</v>
      </c>
      <c r="Z544" t="s">
        <v>1101</v>
      </c>
      <c r="AA544" t="s">
        <v>1102</v>
      </c>
      <c r="AB544" t="s">
        <v>92</v>
      </c>
      <c r="AC544" t="s">
        <v>1094</v>
      </c>
      <c r="AD544" t="s">
        <v>1094</v>
      </c>
      <c r="AE544" t="s">
        <v>1819</v>
      </c>
      <c r="AF544" t="s">
        <v>1825</v>
      </c>
      <c r="AG544" t="s">
        <v>1819</v>
      </c>
      <c r="AI544" t="s">
        <v>40</v>
      </c>
      <c r="AJ544" t="s">
        <v>1636</v>
      </c>
      <c r="AK544" t="s">
        <v>1637</v>
      </c>
      <c r="AL544" s="4">
        <v>300</v>
      </c>
      <c r="AM544" t="s">
        <v>83</v>
      </c>
      <c r="AN544">
        <v>2.0528260572054196</v>
      </c>
      <c r="AO544" t="s">
        <v>1638</v>
      </c>
      <c r="AP544" t="s">
        <v>1639</v>
      </c>
      <c r="AQ544" t="s">
        <v>1716</v>
      </c>
      <c r="AR544" t="s">
        <v>1755</v>
      </c>
      <c r="AS544">
        <v>1</v>
      </c>
      <c r="AT544">
        <v>0</v>
      </c>
      <c r="AU544">
        <v>1</v>
      </c>
      <c r="AV544">
        <v>0</v>
      </c>
      <c r="AW544">
        <v>0</v>
      </c>
      <c r="AX544">
        <v>0</v>
      </c>
      <c r="AY544" t="s">
        <v>1642</v>
      </c>
    </row>
    <row r="545" spans="1:51">
      <c r="A545" t="s">
        <v>1094</v>
      </c>
      <c r="B545" t="s">
        <v>1113</v>
      </c>
      <c r="C545" t="s">
        <v>1096</v>
      </c>
      <c r="D545" t="s">
        <v>1097</v>
      </c>
      <c r="E545" t="s">
        <v>1107</v>
      </c>
      <c r="F545" t="s">
        <v>1114</v>
      </c>
      <c r="G545" t="s">
        <v>1109</v>
      </c>
      <c r="H545" t="s">
        <v>84</v>
      </c>
      <c r="I545" t="s">
        <v>186</v>
      </c>
      <c r="J545" t="s">
        <v>1098</v>
      </c>
      <c r="K545" t="s">
        <v>149</v>
      </c>
      <c r="L545" t="s">
        <v>40</v>
      </c>
      <c r="M545" t="s">
        <v>423</v>
      </c>
      <c r="N545" s="7">
        <v>1.2529999999999999</v>
      </c>
      <c r="O545" s="7"/>
      <c r="P545" s="7">
        <v>3</v>
      </c>
      <c r="Q545" s="7">
        <v>1.198</v>
      </c>
      <c r="R545" s="7"/>
      <c r="S545" s="7">
        <v>3</v>
      </c>
      <c r="T545" s="7">
        <v>0.1</v>
      </c>
      <c r="U545" s="7">
        <v>0.1</v>
      </c>
      <c r="V545" s="7">
        <v>-4.4887176220673584E-2</v>
      </c>
      <c r="W545" s="7">
        <v>4.4456802769988263E-3</v>
      </c>
      <c r="X545" t="s">
        <v>1099</v>
      </c>
      <c r="Y545" t="s">
        <v>1100</v>
      </c>
      <c r="Z545" t="s">
        <v>1101</v>
      </c>
      <c r="AA545" t="s">
        <v>1102</v>
      </c>
      <c r="AB545" t="s">
        <v>92</v>
      </c>
      <c r="AC545" t="s">
        <v>1094</v>
      </c>
      <c r="AD545" t="s">
        <v>1094</v>
      </c>
      <c r="AE545" t="s">
        <v>1819</v>
      </c>
      <c r="AF545" t="s">
        <v>1826</v>
      </c>
      <c r="AG545" t="s">
        <v>1819</v>
      </c>
      <c r="AI545" t="s">
        <v>40</v>
      </c>
      <c r="AJ545" t="s">
        <v>1636</v>
      </c>
      <c r="AK545" t="s">
        <v>1637</v>
      </c>
      <c r="AL545" s="4" t="s">
        <v>1114</v>
      </c>
      <c r="AM545" t="s">
        <v>1109</v>
      </c>
      <c r="AO545" t="s">
        <v>1647</v>
      </c>
      <c r="AP545" t="s">
        <v>1639</v>
      </c>
      <c r="AQ545" t="s">
        <v>1716</v>
      </c>
      <c r="AR545" t="s">
        <v>1755</v>
      </c>
      <c r="AS545">
        <v>1</v>
      </c>
      <c r="AT545">
        <v>0</v>
      </c>
      <c r="AU545">
        <v>1</v>
      </c>
      <c r="AV545">
        <v>0</v>
      </c>
      <c r="AW545">
        <v>0</v>
      </c>
      <c r="AX545">
        <v>0</v>
      </c>
      <c r="AY545" t="s">
        <v>1642</v>
      </c>
    </row>
    <row r="546" spans="1:51">
      <c r="A546" t="s">
        <v>1094</v>
      </c>
      <c r="B546" t="s">
        <v>1115</v>
      </c>
      <c r="C546" t="s">
        <v>1096</v>
      </c>
      <c r="D546" t="s">
        <v>1097</v>
      </c>
      <c r="E546" t="s">
        <v>1107</v>
      </c>
      <c r="F546" t="s">
        <v>1116</v>
      </c>
      <c r="G546" t="s">
        <v>1109</v>
      </c>
      <c r="H546" t="s">
        <v>84</v>
      </c>
      <c r="I546" t="s">
        <v>186</v>
      </c>
      <c r="J546" t="s">
        <v>1098</v>
      </c>
      <c r="K546" t="s">
        <v>149</v>
      </c>
      <c r="L546" t="s">
        <v>40</v>
      </c>
      <c r="M546" t="s">
        <v>423</v>
      </c>
      <c r="N546" s="7">
        <v>1.2529999999999999</v>
      </c>
      <c r="O546" s="7"/>
      <c r="P546" s="7">
        <v>3</v>
      </c>
      <c r="Q546" s="7">
        <v>1.07</v>
      </c>
      <c r="R546" s="7"/>
      <c r="S546" s="7">
        <v>3</v>
      </c>
      <c r="T546" s="7">
        <v>0.1</v>
      </c>
      <c r="U546" s="7">
        <v>0.1</v>
      </c>
      <c r="V546" s="7">
        <v>-0.15788202744011628</v>
      </c>
      <c r="W546" s="7">
        <v>5.0345925072987846E-3</v>
      </c>
      <c r="X546" t="s">
        <v>1099</v>
      </c>
      <c r="Y546" t="s">
        <v>1100</v>
      </c>
      <c r="Z546" t="s">
        <v>1101</v>
      </c>
      <c r="AA546" t="s">
        <v>1102</v>
      </c>
      <c r="AB546" t="s">
        <v>92</v>
      </c>
      <c r="AC546" t="s">
        <v>1094</v>
      </c>
      <c r="AD546" t="s">
        <v>1094</v>
      </c>
      <c r="AE546" t="s">
        <v>1819</v>
      </c>
      <c r="AF546" t="s">
        <v>1827</v>
      </c>
      <c r="AG546" t="s">
        <v>1819</v>
      </c>
      <c r="AI546" t="s">
        <v>40</v>
      </c>
      <c r="AJ546" t="s">
        <v>1636</v>
      </c>
      <c r="AK546" t="s">
        <v>1637</v>
      </c>
      <c r="AL546" s="4" t="s">
        <v>1116</v>
      </c>
      <c r="AM546" t="s">
        <v>1109</v>
      </c>
      <c r="AO546" t="s">
        <v>1647</v>
      </c>
      <c r="AP546" t="s">
        <v>1639</v>
      </c>
      <c r="AQ546" t="s">
        <v>1716</v>
      </c>
      <c r="AR546" t="s">
        <v>1755</v>
      </c>
      <c r="AS546">
        <v>1</v>
      </c>
      <c r="AT546">
        <v>0</v>
      </c>
      <c r="AU546">
        <v>1</v>
      </c>
      <c r="AV546">
        <v>0</v>
      </c>
      <c r="AW546">
        <v>0</v>
      </c>
      <c r="AX546">
        <v>0</v>
      </c>
      <c r="AY546" t="s">
        <v>1642</v>
      </c>
    </row>
    <row r="547" spans="1:51">
      <c r="A547" t="s">
        <v>1094</v>
      </c>
      <c r="B547" t="s">
        <v>1117</v>
      </c>
      <c r="C547" t="s">
        <v>1096</v>
      </c>
      <c r="D547" t="s">
        <v>1097</v>
      </c>
      <c r="E547" t="s">
        <v>750</v>
      </c>
      <c r="F547">
        <v>150</v>
      </c>
      <c r="G547" t="s">
        <v>83</v>
      </c>
      <c r="H547" t="s">
        <v>84</v>
      </c>
      <c r="I547" t="s">
        <v>186</v>
      </c>
      <c r="J547" t="s">
        <v>1118</v>
      </c>
      <c r="K547" t="s">
        <v>149</v>
      </c>
      <c r="L547" t="s">
        <v>40</v>
      </c>
      <c r="M547" t="s">
        <v>423</v>
      </c>
      <c r="N547" s="7">
        <v>0.88300000000000001</v>
      </c>
      <c r="O547" s="7"/>
      <c r="P547" s="7">
        <v>3</v>
      </c>
      <c r="Q547" s="7">
        <v>0.36499999999999999</v>
      </c>
      <c r="R547" s="7"/>
      <c r="S547" s="7">
        <v>3</v>
      </c>
      <c r="T547" s="7">
        <v>0.1</v>
      </c>
      <c r="U547" s="7">
        <v>0.1</v>
      </c>
      <c r="V547" s="7">
        <v>-0.88342784702146848</v>
      </c>
      <c r="W547" s="7">
        <v>2.9295537893344246E-2</v>
      </c>
      <c r="X547" t="s">
        <v>1099</v>
      </c>
      <c r="Y547" t="s">
        <v>1100</v>
      </c>
      <c r="Z547" t="s">
        <v>1101</v>
      </c>
      <c r="AA547" t="s">
        <v>1119</v>
      </c>
      <c r="AB547" t="s">
        <v>92</v>
      </c>
      <c r="AC547" t="s">
        <v>1094</v>
      </c>
      <c r="AD547" t="s">
        <v>1094</v>
      </c>
      <c r="AE547" t="s">
        <v>1828</v>
      </c>
      <c r="AF547" t="s">
        <v>1829</v>
      </c>
      <c r="AG547" t="s">
        <v>1828</v>
      </c>
      <c r="AI547" t="s">
        <v>40</v>
      </c>
      <c r="AJ547" t="s">
        <v>1636</v>
      </c>
      <c r="AK547" t="s">
        <v>1637</v>
      </c>
      <c r="AL547" s="4">
        <v>150</v>
      </c>
      <c r="AM547" t="s">
        <v>83</v>
      </c>
      <c r="AN547">
        <v>1.1353315168029063</v>
      </c>
      <c r="AO547" t="s">
        <v>1638</v>
      </c>
      <c r="AP547" t="s">
        <v>1639</v>
      </c>
      <c r="AQ547" t="s">
        <v>1716</v>
      </c>
      <c r="AR547" t="s">
        <v>1755</v>
      </c>
      <c r="AS547">
        <v>1</v>
      </c>
      <c r="AT547">
        <v>0</v>
      </c>
      <c r="AU547">
        <v>1</v>
      </c>
      <c r="AV547">
        <v>0</v>
      </c>
      <c r="AW547">
        <v>0</v>
      </c>
      <c r="AX547">
        <v>0</v>
      </c>
      <c r="AY547" t="s">
        <v>1642</v>
      </c>
    </row>
    <row r="548" spans="1:51">
      <c r="A548" t="s">
        <v>1094</v>
      </c>
      <c r="B548" t="s">
        <v>1120</v>
      </c>
      <c r="C548" t="s">
        <v>1096</v>
      </c>
      <c r="D548" t="s">
        <v>1097</v>
      </c>
      <c r="E548" t="s">
        <v>750</v>
      </c>
      <c r="F548">
        <v>300</v>
      </c>
      <c r="G548" t="s">
        <v>83</v>
      </c>
      <c r="H548" t="s">
        <v>84</v>
      </c>
      <c r="I548" t="s">
        <v>186</v>
      </c>
      <c r="J548" t="s">
        <v>1118</v>
      </c>
      <c r="K548" t="s">
        <v>149</v>
      </c>
      <c r="L548" t="s">
        <v>40</v>
      </c>
      <c r="M548" t="s">
        <v>423</v>
      </c>
      <c r="N548" s="7">
        <v>0.88300000000000001</v>
      </c>
      <c r="O548" s="7"/>
      <c r="P548" s="7">
        <v>3</v>
      </c>
      <c r="Q548" s="7">
        <v>0.51</v>
      </c>
      <c r="R548" s="7"/>
      <c r="S548" s="7">
        <v>3</v>
      </c>
      <c r="T548" s="7">
        <v>0.1</v>
      </c>
      <c r="U548" s="7">
        <v>0.1</v>
      </c>
      <c r="V548" s="7">
        <v>-0.54891447488558853</v>
      </c>
      <c r="W548" s="7">
        <v>1.709079262585747E-2</v>
      </c>
      <c r="X548" t="s">
        <v>1099</v>
      </c>
      <c r="Y548" t="s">
        <v>1100</v>
      </c>
      <c r="Z548" t="s">
        <v>1101</v>
      </c>
      <c r="AA548" t="s">
        <v>1119</v>
      </c>
      <c r="AB548" t="s">
        <v>92</v>
      </c>
      <c r="AC548" t="s">
        <v>1094</v>
      </c>
      <c r="AD548" t="s">
        <v>1094</v>
      </c>
      <c r="AE548" t="s">
        <v>1828</v>
      </c>
      <c r="AF548" t="s">
        <v>1830</v>
      </c>
      <c r="AG548" t="s">
        <v>1828</v>
      </c>
      <c r="AI548" t="s">
        <v>40</v>
      </c>
      <c r="AJ548" t="s">
        <v>1636</v>
      </c>
      <c r="AK548" t="s">
        <v>1637</v>
      </c>
      <c r="AL548" s="4">
        <v>300</v>
      </c>
      <c r="AM548" t="s">
        <v>83</v>
      </c>
      <c r="AN548">
        <v>2.2706630336058127</v>
      </c>
      <c r="AO548" t="s">
        <v>1638</v>
      </c>
      <c r="AP548" t="s">
        <v>1639</v>
      </c>
      <c r="AQ548" t="s">
        <v>1716</v>
      </c>
      <c r="AR548" t="s">
        <v>1755</v>
      </c>
      <c r="AS548">
        <v>1</v>
      </c>
      <c r="AT548">
        <v>0</v>
      </c>
      <c r="AU548">
        <v>1</v>
      </c>
      <c r="AV548">
        <v>0</v>
      </c>
      <c r="AW548">
        <v>0</v>
      </c>
      <c r="AX548">
        <v>0</v>
      </c>
      <c r="AY548" t="s">
        <v>1642</v>
      </c>
    </row>
    <row r="549" spans="1:51">
      <c r="A549" t="s">
        <v>1094</v>
      </c>
      <c r="B549" t="s">
        <v>1121</v>
      </c>
      <c r="C549" t="s">
        <v>1096</v>
      </c>
      <c r="D549" t="s">
        <v>1097</v>
      </c>
      <c r="E549" t="s">
        <v>1105</v>
      </c>
      <c r="F549">
        <v>150</v>
      </c>
      <c r="G549" t="s">
        <v>83</v>
      </c>
      <c r="H549" t="s">
        <v>84</v>
      </c>
      <c r="I549" t="s">
        <v>186</v>
      </c>
      <c r="J549" t="s">
        <v>1118</v>
      </c>
      <c r="K549" t="s">
        <v>149</v>
      </c>
      <c r="L549" t="s">
        <v>40</v>
      </c>
      <c r="M549" t="s">
        <v>423</v>
      </c>
      <c r="N549" s="7">
        <v>0.88300000000000001</v>
      </c>
      <c r="O549" s="7"/>
      <c r="P549" s="7">
        <v>3</v>
      </c>
      <c r="Q549" s="7">
        <v>0.48299999999999998</v>
      </c>
      <c r="R549" s="7"/>
      <c r="S549" s="7">
        <v>3</v>
      </c>
      <c r="T549" s="7">
        <v>0.1</v>
      </c>
      <c r="U549" s="7">
        <v>0.1</v>
      </c>
      <c r="V549" s="7">
        <v>-0.60330854695138736</v>
      </c>
      <c r="W549" s="7">
        <v>1.8563637963258526E-2</v>
      </c>
      <c r="X549" t="s">
        <v>1099</v>
      </c>
      <c r="Y549" t="s">
        <v>1100</v>
      </c>
      <c r="Z549" t="s">
        <v>1101</v>
      </c>
      <c r="AA549" t="s">
        <v>1119</v>
      </c>
      <c r="AB549" t="s">
        <v>92</v>
      </c>
      <c r="AC549" t="s">
        <v>1094</v>
      </c>
      <c r="AD549" t="s">
        <v>1094</v>
      </c>
      <c r="AE549" t="s">
        <v>1828</v>
      </c>
      <c r="AF549" t="s">
        <v>1831</v>
      </c>
      <c r="AG549" t="s">
        <v>1828</v>
      </c>
      <c r="AI549" t="s">
        <v>40</v>
      </c>
      <c r="AJ549" t="s">
        <v>1636</v>
      </c>
      <c r="AK549" t="s">
        <v>1637</v>
      </c>
      <c r="AL549" s="4">
        <v>150</v>
      </c>
      <c r="AM549" t="s">
        <v>83</v>
      </c>
      <c r="AN549">
        <v>1.0264130286027098</v>
      </c>
      <c r="AO549" t="s">
        <v>1638</v>
      </c>
      <c r="AP549" t="s">
        <v>1639</v>
      </c>
      <c r="AQ549" t="s">
        <v>1716</v>
      </c>
      <c r="AR549" t="s">
        <v>1755</v>
      </c>
      <c r="AS549">
        <v>1</v>
      </c>
      <c r="AT549">
        <v>0</v>
      </c>
      <c r="AU549">
        <v>1</v>
      </c>
      <c r="AV549">
        <v>0</v>
      </c>
      <c r="AW549">
        <v>0</v>
      </c>
      <c r="AX549">
        <v>0</v>
      </c>
      <c r="AY549" t="s">
        <v>1642</v>
      </c>
    </row>
    <row r="550" spans="1:51">
      <c r="A550" t="s">
        <v>1094</v>
      </c>
      <c r="B550" t="s">
        <v>1122</v>
      </c>
      <c r="C550" t="s">
        <v>1096</v>
      </c>
      <c r="D550" t="s">
        <v>1097</v>
      </c>
      <c r="E550" t="s">
        <v>1107</v>
      </c>
      <c r="F550" t="s">
        <v>1108</v>
      </c>
      <c r="G550" t="s">
        <v>1109</v>
      </c>
      <c r="H550" t="s">
        <v>84</v>
      </c>
      <c r="I550" t="s">
        <v>186</v>
      </c>
      <c r="J550" t="s">
        <v>1118</v>
      </c>
      <c r="K550" t="s">
        <v>149</v>
      </c>
      <c r="L550" t="s">
        <v>40</v>
      </c>
      <c r="M550" t="s">
        <v>423</v>
      </c>
      <c r="N550" s="7">
        <v>0.88300000000000001</v>
      </c>
      <c r="O550" s="7"/>
      <c r="P550" s="7">
        <v>3</v>
      </c>
      <c r="Q550" s="7">
        <v>0.48299999999999998</v>
      </c>
      <c r="R550" s="7"/>
      <c r="S550" s="7">
        <v>3</v>
      </c>
      <c r="T550" s="7">
        <v>0.1</v>
      </c>
      <c r="U550" s="7">
        <v>0.1</v>
      </c>
      <c r="V550" s="7">
        <v>-0.60330854695138736</v>
      </c>
      <c r="W550" s="7">
        <v>1.8563637963258526E-2</v>
      </c>
      <c r="X550" t="s">
        <v>1099</v>
      </c>
      <c r="Y550" t="s">
        <v>1100</v>
      </c>
      <c r="Z550" t="s">
        <v>1101</v>
      </c>
      <c r="AA550" t="s">
        <v>1119</v>
      </c>
      <c r="AB550" t="s">
        <v>92</v>
      </c>
      <c r="AC550" t="s">
        <v>1094</v>
      </c>
      <c r="AD550" t="s">
        <v>1094</v>
      </c>
      <c r="AE550" t="s">
        <v>1828</v>
      </c>
      <c r="AF550" t="s">
        <v>1832</v>
      </c>
      <c r="AG550" t="s">
        <v>1828</v>
      </c>
      <c r="AI550" t="s">
        <v>40</v>
      </c>
      <c r="AJ550" t="s">
        <v>1636</v>
      </c>
      <c r="AK550" t="s">
        <v>1637</v>
      </c>
      <c r="AL550" s="4" t="s">
        <v>1108</v>
      </c>
      <c r="AM550" t="s">
        <v>1109</v>
      </c>
      <c r="AO550" t="s">
        <v>1647</v>
      </c>
      <c r="AP550" t="s">
        <v>1639</v>
      </c>
      <c r="AQ550" t="s">
        <v>1716</v>
      </c>
      <c r="AR550" t="s">
        <v>1755</v>
      </c>
      <c r="AS550">
        <v>1</v>
      </c>
      <c r="AT550">
        <v>0</v>
      </c>
      <c r="AU550">
        <v>1</v>
      </c>
      <c r="AV550">
        <v>0</v>
      </c>
      <c r="AW550">
        <v>0</v>
      </c>
      <c r="AX550">
        <v>0</v>
      </c>
      <c r="AY550" t="s">
        <v>1642</v>
      </c>
    </row>
    <row r="551" spans="1:51">
      <c r="A551" t="s">
        <v>1094</v>
      </c>
      <c r="B551" t="s">
        <v>1123</v>
      </c>
      <c r="C551" t="s">
        <v>1096</v>
      </c>
      <c r="D551" t="s">
        <v>1097</v>
      </c>
      <c r="E551" t="s">
        <v>1107</v>
      </c>
      <c r="F551" t="s">
        <v>1111</v>
      </c>
      <c r="G551" t="s">
        <v>1109</v>
      </c>
      <c r="H551" t="s">
        <v>84</v>
      </c>
      <c r="I551" t="s">
        <v>186</v>
      </c>
      <c r="J551" t="s">
        <v>1118</v>
      </c>
      <c r="K551" t="s">
        <v>149</v>
      </c>
      <c r="L551" t="s">
        <v>40</v>
      </c>
      <c r="M551" t="s">
        <v>423</v>
      </c>
      <c r="N551" s="7">
        <v>0.88300000000000001</v>
      </c>
      <c r="O551" s="7"/>
      <c r="P551" s="7">
        <v>3</v>
      </c>
      <c r="Q551" s="7">
        <v>0.46</v>
      </c>
      <c r="R551" s="7"/>
      <c r="S551" s="7">
        <v>3</v>
      </c>
      <c r="T551" s="7">
        <v>0.1</v>
      </c>
      <c r="U551" s="7">
        <v>0.1</v>
      </c>
      <c r="V551" s="7">
        <v>-0.65209871112081941</v>
      </c>
      <c r="W551" s="7">
        <v>2.0028201944700712E-2</v>
      </c>
      <c r="X551" t="s">
        <v>1099</v>
      </c>
      <c r="Y551" t="s">
        <v>1100</v>
      </c>
      <c r="Z551" t="s">
        <v>1101</v>
      </c>
      <c r="AA551" t="s">
        <v>1119</v>
      </c>
      <c r="AB551" t="s">
        <v>92</v>
      </c>
      <c r="AC551" t="s">
        <v>1094</v>
      </c>
      <c r="AD551" t="s">
        <v>1094</v>
      </c>
      <c r="AE551" t="s">
        <v>1828</v>
      </c>
      <c r="AF551" t="s">
        <v>1833</v>
      </c>
      <c r="AG551" t="s">
        <v>1828</v>
      </c>
      <c r="AI551" t="s">
        <v>40</v>
      </c>
      <c r="AJ551" t="s">
        <v>1636</v>
      </c>
      <c r="AK551" t="s">
        <v>1637</v>
      </c>
      <c r="AL551" s="4" t="s">
        <v>1111</v>
      </c>
      <c r="AM551" t="s">
        <v>1109</v>
      </c>
      <c r="AO551" t="s">
        <v>1647</v>
      </c>
      <c r="AP551" t="s">
        <v>1639</v>
      </c>
      <c r="AQ551" t="s">
        <v>1716</v>
      </c>
      <c r="AR551" t="s">
        <v>1755</v>
      </c>
      <c r="AS551">
        <v>1</v>
      </c>
      <c r="AT551">
        <v>0</v>
      </c>
      <c r="AU551">
        <v>1</v>
      </c>
      <c r="AV551">
        <v>0</v>
      </c>
      <c r="AW551">
        <v>0</v>
      </c>
      <c r="AX551">
        <v>0</v>
      </c>
      <c r="AY551" t="s">
        <v>1642</v>
      </c>
    </row>
    <row r="552" spans="1:51">
      <c r="A552" t="s">
        <v>1094</v>
      </c>
      <c r="B552" t="s">
        <v>1124</v>
      </c>
      <c r="C552" t="s">
        <v>1096</v>
      </c>
      <c r="D552" t="s">
        <v>1097</v>
      </c>
      <c r="E552" t="s">
        <v>1105</v>
      </c>
      <c r="F552">
        <v>300</v>
      </c>
      <c r="G552" t="s">
        <v>83</v>
      </c>
      <c r="H552" t="s">
        <v>84</v>
      </c>
      <c r="I552" t="s">
        <v>186</v>
      </c>
      <c r="J552" t="s">
        <v>1118</v>
      </c>
      <c r="K552" t="s">
        <v>149</v>
      </c>
      <c r="L552" t="s">
        <v>40</v>
      </c>
      <c r="M552" t="s">
        <v>423</v>
      </c>
      <c r="N552" s="7">
        <v>0.88300000000000001</v>
      </c>
      <c r="O552" s="7"/>
      <c r="P552" s="7">
        <v>3</v>
      </c>
      <c r="Q552" s="7">
        <v>0.66500000000000004</v>
      </c>
      <c r="R552" s="7"/>
      <c r="S552" s="7">
        <v>3</v>
      </c>
      <c r="T552" s="7">
        <v>0.1</v>
      </c>
      <c r="U552" s="7">
        <v>0.1</v>
      </c>
      <c r="V552" s="7">
        <v>-0.28353815994810583</v>
      </c>
      <c r="W552" s="7">
        <v>1.1812849971236914E-2</v>
      </c>
      <c r="X552" t="s">
        <v>1099</v>
      </c>
      <c r="Y552" t="s">
        <v>1100</v>
      </c>
      <c r="Z552" t="s">
        <v>1101</v>
      </c>
      <c r="AA552" t="s">
        <v>1119</v>
      </c>
      <c r="AB552" t="s">
        <v>92</v>
      </c>
      <c r="AC552" t="s">
        <v>1094</v>
      </c>
      <c r="AD552" t="s">
        <v>1094</v>
      </c>
      <c r="AE552" t="s">
        <v>1828</v>
      </c>
      <c r="AF552" t="s">
        <v>1834</v>
      </c>
      <c r="AG552" t="s">
        <v>1828</v>
      </c>
      <c r="AI552" t="s">
        <v>40</v>
      </c>
      <c r="AJ552" t="s">
        <v>1636</v>
      </c>
      <c r="AK552" t="s">
        <v>1637</v>
      </c>
      <c r="AL552" s="4">
        <v>300</v>
      </c>
      <c r="AM552" t="s">
        <v>83</v>
      </c>
      <c r="AN552">
        <v>2.0528260572054196</v>
      </c>
      <c r="AO552" t="s">
        <v>1638</v>
      </c>
      <c r="AP552" t="s">
        <v>1639</v>
      </c>
      <c r="AQ552" t="s">
        <v>1716</v>
      </c>
      <c r="AR552" t="s">
        <v>1755</v>
      </c>
      <c r="AS552">
        <v>1</v>
      </c>
      <c r="AT552">
        <v>0</v>
      </c>
      <c r="AU552">
        <v>1</v>
      </c>
      <c r="AV552">
        <v>0</v>
      </c>
      <c r="AW552">
        <v>0</v>
      </c>
      <c r="AX552">
        <v>0</v>
      </c>
      <c r="AY552" t="s">
        <v>1642</v>
      </c>
    </row>
    <row r="553" spans="1:51">
      <c r="A553" t="s">
        <v>1094</v>
      </c>
      <c r="B553" t="s">
        <v>1125</v>
      </c>
      <c r="C553" t="s">
        <v>1096</v>
      </c>
      <c r="D553" t="s">
        <v>1097</v>
      </c>
      <c r="E553" t="s">
        <v>1107</v>
      </c>
      <c r="F553" t="s">
        <v>1114</v>
      </c>
      <c r="G553" t="s">
        <v>1109</v>
      </c>
      <c r="H553" t="s">
        <v>84</v>
      </c>
      <c r="I553" t="s">
        <v>186</v>
      </c>
      <c r="J553" t="s">
        <v>1118</v>
      </c>
      <c r="K553" t="s">
        <v>149</v>
      </c>
      <c r="L553" t="s">
        <v>40</v>
      </c>
      <c r="M553" t="s">
        <v>423</v>
      </c>
      <c r="N553" s="7">
        <v>0.88300000000000001</v>
      </c>
      <c r="O553" s="7"/>
      <c r="P553" s="7">
        <v>3</v>
      </c>
      <c r="Q553" s="7">
        <v>0.56799999999999995</v>
      </c>
      <c r="R553" s="7"/>
      <c r="S553" s="7">
        <v>3</v>
      </c>
      <c r="T553" s="7">
        <v>0.1</v>
      </c>
      <c r="U553" s="7">
        <v>0.1</v>
      </c>
      <c r="V553" s="7">
        <v>-0.44120378188280873</v>
      </c>
      <c r="W553" s="7">
        <v>1.4607153595980634E-2</v>
      </c>
      <c r="X553" t="s">
        <v>1099</v>
      </c>
      <c r="Y553" t="s">
        <v>1100</v>
      </c>
      <c r="Z553" t="s">
        <v>1101</v>
      </c>
      <c r="AA553" t="s">
        <v>1119</v>
      </c>
      <c r="AB553" t="s">
        <v>92</v>
      </c>
      <c r="AC553" t="s">
        <v>1094</v>
      </c>
      <c r="AD553" t="s">
        <v>1094</v>
      </c>
      <c r="AE553" t="s">
        <v>1828</v>
      </c>
      <c r="AF553" t="s">
        <v>1835</v>
      </c>
      <c r="AG553" t="s">
        <v>1828</v>
      </c>
      <c r="AI553" t="s">
        <v>40</v>
      </c>
      <c r="AJ553" t="s">
        <v>1636</v>
      </c>
      <c r="AK553" t="s">
        <v>1637</v>
      </c>
      <c r="AL553" s="4" t="s">
        <v>1114</v>
      </c>
      <c r="AM553" t="s">
        <v>1109</v>
      </c>
      <c r="AO553" t="s">
        <v>1647</v>
      </c>
      <c r="AP553" t="s">
        <v>1639</v>
      </c>
      <c r="AQ553" t="s">
        <v>1716</v>
      </c>
      <c r="AR553" t="s">
        <v>1755</v>
      </c>
      <c r="AS553">
        <v>1</v>
      </c>
      <c r="AT553">
        <v>0</v>
      </c>
      <c r="AU553">
        <v>1</v>
      </c>
      <c r="AV553">
        <v>0</v>
      </c>
      <c r="AW553">
        <v>0</v>
      </c>
      <c r="AX553">
        <v>0</v>
      </c>
      <c r="AY553" t="s">
        <v>1642</v>
      </c>
    </row>
    <row r="554" spans="1:51">
      <c r="A554" t="s">
        <v>1094</v>
      </c>
      <c r="B554" t="s">
        <v>1126</v>
      </c>
      <c r="C554" t="s">
        <v>1096</v>
      </c>
      <c r="D554" t="s">
        <v>1097</v>
      </c>
      <c r="E554" t="s">
        <v>1107</v>
      </c>
      <c r="F554" t="s">
        <v>1116</v>
      </c>
      <c r="G554" t="s">
        <v>1109</v>
      </c>
      <c r="H554" t="s">
        <v>84</v>
      </c>
      <c r="I554" t="s">
        <v>186</v>
      </c>
      <c r="J554" t="s">
        <v>1118</v>
      </c>
      <c r="K554" t="s">
        <v>149</v>
      </c>
      <c r="L554" t="s">
        <v>40</v>
      </c>
      <c r="M554" t="s">
        <v>423</v>
      </c>
      <c r="N554" s="7">
        <v>0.88300000000000001</v>
      </c>
      <c r="O554" s="7"/>
      <c r="P554" s="7">
        <v>3</v>
      </c>
      <c r="Q554" s="7">
        <v>0.86799999999999999</v>
      </c>
      <c r="R554" s="7"/>
      <c r="S554" s="7">
        <v>3</v>
      </c>
      <c r="T554" s="7">
        <v>0.1</v>
      </c>
      <c r="U554" s="7">
        <v>0.1</v>
      </c>
      <c r="V554" s="7">
        <v>-1.7133485943609812E-2</v>
      </c>
      <c r="W554" s="7">
        <v>8.6994551614204794E-3</v>
      </c>
      <c r="X554" t="s">
        <v>1099</v>
      </c>
      <c r="Y554" t="s">
        <v>1100</v>
      </c>
      <c r="Z554" t="s">
        <v>1101</v>
      </c>
      <c r="AA554" t="s">
        <v>1119</v>
      </c>
      <c r="AB554" t="s">
        <v>92</v>
      </c>
      <c r="AC554" t="s">
        <v>1094</v>
      </c>
      <c r="AD554" t="s">
        <v>1094</v>
      </c>
      <c r="AE554" t="s">
        <v>1828</v>
      </c>
      <c r="AF554" t="s">
        <v>1836</v>
      </c>
      <c r="AG554" t="s">
        <v>1828</v>
      </c>
      <c r="AI554" t="s">
        <v>40</v>
      </c>
      <c r="AJ554" t="s">
        <v>1636</v>
      </c>
      <c r="AK554" t="s">
        <v>1637</v>
      </c>
      <c r="AL554" s="4" t="s">
        <v>1116</v>
      </c>
      <c r="AM554" t="s">
        <v>1109</v>
      </c>
      <c r="AO554" t="s">
        <v>1647</v>
      </c>
      <c r="AP554" t="s">
        <v>1639</v>
      </c>
      <c r="AQ554" t="s">
        <v>1716</v>
      </c>
      <c r="AR554" t="s">
        <v>1755</v>
      </c>
      <c r="AS554">
        <v>1</v>
      </c>
      <c r="AT554">
        <v>0</v>
      </c>
      <c r="AU554">
        <v>1</v>
      </c>
      <c r="AV554">
        <v>0</v>
      </c>
      <c r="AW554">
        <v>0</v>
      </c>
      <c r="AX554">
        <v>0</v>
      </c>
      <c r="AY554" t="s">
        <v>1642</v>
      </c>
    </row>
    <row r="555" spans="1:51">
      <c r="A555" t="s">
        <v>1127</v>
      </c>
      <c r="B555" t="s">
        <v>1128</v>
      </c>
      <c r="C555" t="s">
        <v>1129</v>
      </c>
      <c r="D555" t="s">
        <v>1130</v>
      </c>
      <c r="E555" t="s">
        <v>96</v>
      </c>
      <c r="F555">
        <v>10</v>
      </c>
      <c r="G555" t="s">
        <v>185</v>
      </c>
      <c r="H555" t="s">
        <v>84</v>
      </c>
      <c r="I555" t="s">
        <v>186</v>
      </c>
      <c r="J555" t="s">
        <v>1131</v>
      </c>
      <c r="K555" t="s">
        <v>149</v>
      </c>
      <c r="L555" t="s">
        <v>42</v>
      </c>
      <c r="M555" t="s">
        <v>482</v>
      </c>
      <c r="N555" s="7">
        <v>14500</v>
      </c>
      <c r="O555" s="7">
        <v>1200</v>
      </c>
      <c r="P555" s="7">
        <v>3</v>
      </c>
      <c r="Q555" s="7">
        <v>20500</v>
      </c>
      <c r="R555" s="7">
        <v>1200</v>
      </c>
      <c r="S555" s="7">
        <v>3</v>
      </c>
      <c r="T555" s="7">
        <v>2078.4609690826528</v>
      </c>
      <c r="U555" s="7">
        <v>2078.4609690826528</v>
      </c>
      <c r="V555" s="7">
        <v>0.34627623671783375</v>
      </c>
      <c r="W555" s="7">
        <v>1.0275521124748093E-2</v>
      </c>
      <c r="X555" t="s">
        <v>1132</v>
      </c>
      <c r="Y555" t="s">
        <v>89</v>
      </c>
      <c r="Z555" t="s">
        <v>515</v>
      </c>
      <c r="AA555" t="s">
        <v>1133</v>
      </c>
      <c r="AB555" t="s">
        <v>92</v>
      </c>
      <c r="AC555" t="s">
        <v>1127</v>
      </c>
      <c r="AD555" t="s">
        <v>1127</v>
      </c>
      <c r="AE555" t="s">
        <v>1837</v>
      </c>
      <c r="AF555" t="s">
        <v>1838</v>
      </c>
      <c r="AG555" t="s">
        <v>1837</v>
      </c>
      <c r="AI555" t="s">
        <v>42</v>
      </c>
      <c r="AJ555" t="s">
        <v>1636</v>
      </c>
      <c r="AK555" t="s">
        <v>1637</v>
      </c>
      <c r="AL555" s="4">
        <v>10</v>
      </c>
      <c r="AM555" t="s">
        <v>185</v>
      </c>
      <c r="AN555">
        <v>10</v>
      </c>
      <c r="AO555" t="s">
        <v>1665</v>
      </c>
      <c r="AP555" t="s">
        <v>1544</v>
      </c>
      <c r="AQ555" t="s">
        <v>1640</v>
      </c>
      <c r="AR555" t="s">
        <v>1641</v>
      </c>
      <c r="AS555">
        <v>1</v>
      </c>
      <c r="AT555">
        <v>0</v>
      </c>
      <c r="AU555">
        <v>0</v>
      </c>
      <c r="AV555">
        <v>1</v>
      </c>
      <c r="AW555">
        <v>0</v>
      </c>
      <c r="AX555">
        <v>0</v>
      </c>
      <c r="AY555" t="s">
        <v>1642</v>
      </c>
    </row>
    <row r="556" spans="1:51">
      <c r="A556" t="s">
        <v>1127</v>
      </c>
      <c r="B556" t="s">
        <v>1134</v>
      </c>
      <c r="C556" t="s">
        <v>1129</v>
      </c>
      <c r="D556" t="s">
        <v>1130</v>
      </c>
      <c r="E556" t="s">
        <v>96</v>
      </c>
      <c r="F556">
        <v>10</v>
      </c>
      <c r="G556" t="s">
        <v>185</v>
      </c>
      <c r="H556" t="s">
        <v>84</v>
      </c>
      <c r="I556" t="s">
        <v>186</v>
      </c>
      <c r="J556" t="s">
        <v>1131</v>
      </c>
      <c r="K556" t="s">
        <v>149</v>
      </c>
      <c r="L556" t="s">
        <v>53</v>
      </c>
      <c r="M556" t="s">
        <v>482</v>
      </c>
      <c r="N556" s="7">
        <v>2800</v>
      </c>
      <c r="O556" s="7">
        <v>220</v>
      </c>
      <c r="P556" s="7">
        <v>3</v>
      </c>
      <c r="Q556" s="7">
        <v>2850</v>
      </c>
      <c r="R556" s="7">
        <v>220</v>
      </c>
      <c r="S556" s="7">
        <v>3</v>
      </c>
      <c r="T556" s="7">
        <v>381.05117766515298</v>
      </c>
      <c r="U556" s="7">
        <v>381.05117766515298</v>
      </c>
      <c r="V556" s="7">
        <v>1.7699577099400857E-2</v>
      </c>
      <c r="W556" s="7">
        <v>1.2132225928229091E-2</v>
      </c>
      <c r="X556" t="s">
        <v>1132</v>
      </c>
      <c r="Y556" t="s">
        <v>89</v>
      </c>
      <c r="Z556" t="s">
        <v>515</v>
      </c>
      <c r="AA556" t="s">
        <v>1135</v>
      </c>
      <c r="AB556" t="s">
        <v>92</v>
      </c>
      <c r="AC556" t="s">
        <v>1127</v>
      </c>
      <c r="AD556" t="s">
        <v>1127</v>
      </c>
      <c r="AE556" t="s">
        <v>1837</v>
      </c>
      <c r="AF556" t="s">
        <v>1838</v>
      </c>
      <c r="AG556" t="s">
        <v>1837</v>
      </c>
      <c r="AI556" t="s">
        <v>53</v>
      </c>
      <c r="AJ556" t="s">
        <v>1636</v>
      </c>
      <c r="AK556" t="s">
        <v>1637</v>
      </c>
      <c r="AL556" s="4">
        <v>10</v>
      </c>
      <c r="AM556" t="s">
        <v>185</v>
      </c>
      <c r="AN556">
        <v>10</v>
      </c>
      <c r="AO556" t="s">
        <v>1665</v>
      </c>
      <c r="AP556" t="s">
        <v>1544</v>
      </c>
      <c r="AQ556" t="s">
        <v>1640</v>
      </c>
      <c r="AR556" t="s">
        <v>1641</v>
      </c>
      <c r="AS556">
        <v>1</v>
      </c>
      <c r="AT556">
        <v>0</v>
      </c>
      <c r="AU556">
        <v>0</v>
      </c>
      <c r="AV556">
        <v>1</v>
      </c>
      <c r="AW556">
        <v>0</v>
      </c>
      <c r="AX556">
        <v>0</v>
      </c>
      <c r="AY556" t="s">
        <v>1642</v>
      </c>
    </row>
    <row r="557" spans="1:51">
      <c r="A557" t="s">
        <v>1127</v>
      </c>
      <c r="B557" t="s">
        <v>1136</v>
      </c>
      <c r="C557" t="s">
        <v>1129</v>
      </c>
      <c r="D557" t="s">
        <v>1130</v>
      </c>
      <c r="E557" t="s">
        <v>96</v>
      </c>
      <c r="F557">
        <v>10</v>
      </c>
      <c r="G557" t="s">
        <v>185</v>
      </c>
      <c r="H557" t="s">
        <v>84</v>
      </c>
      <c r="I557" t="s">
        <v>186</v>
      </c>
      <c r="J557" t="s">
        <v>1131</v>
      </c>
      <c r="K557" t="s">
        <v>149</v>
      </c>
      <c r="L557" t="s">
        <v>40</v>
      </c>
      <c r="M557" t="s">
        <v>482</v>
      </c>
      <c r="N557" s="7">
        <v>40000</v>
      </c>
      <c r="O557" s="7">
        <v>2500</v>
      </c>
      <c r="P557" s="7">
        <v>3</v>
      </c>
      <c r="Q557" s="7">
        <v>55000</v>
      </c>
      <c r="R557" s="7">
        <v>2500</v>
      </c>
      <c r="S557" s="7">
        <v>3</v>
      </c>
      <c r="T557" s="7">
        <v>4330.1270189221932</v>
      </c>
      <c r="U557" s="7">
        <v>4330.1270189221932</v>
      </c>
      <c r="V557" s="7">
        <v>0.31845373111853459</v>
      </c>
      <c r="W557" s="7">
        <v>5.9723657024793389E-3</v>
      </c>
      <c r="X557" t="s">
        <v>1132</v>
      </c>
      <c r="Y557" t="s">
        <v>89</v>
      </c>
      <c r="Z557" t="s">
        <v>515</v>
      </c>
      <c r="AA557" t="s">
        <v>1137</v>
      </c>
      <c r="AB557" t="s">
        <v>92</v>
      </c>
      <c r="AC557" t="s">
        <v>1127</v>
      </c>
      <c r="AD557" t="s">
        <v>1127</v>
      </c>
      <c r="AE557" t="s">
        <v>1837</v>
      </c>
      <c r="AF557" t="s">
        <v>1838</v>
      </c>
      <c r="AG557" t="s">
        <v>1837</v>
      </c>
      <c r="AI557" t="s">
        <v>40</v>
      </c>
      <c r="AJ557" t="s">
        <v>1636</v>
      </c>
      <c r="AK557" t="s">
        <v>1637</v>
      </c>
      <c r="AL557" s="4">
        <v>10</v>
      </c>
      <c r="AM557" t="s">
        <v>185</v>
      </c>
      <c r="AN557">
        <v>10</v>
      </c>
      <c r="AO557" t="s">
        <v>1665</v>
      </c>
      <c r="AP557" t="s">
        <v>1544</v>
      </c>
      <c r="AQ557" t="s">
        <v>1640</v>
      </c>
      <c r="AR557" t="s">
        <v>1641</v>
      </c>
      <c r="AS557">
        <v>1</v>
      </c>
      <c r="AT557">
        <v>0</v>
      </c>
      <c r="AU557">
        <v>0</v>
      </c>
      <c r="AV557">
        <v>1</v>
      </c>
      <c r="AW557">
        <v>0</v>
      </c>
      <c r="AX557">
        <v>0</v>
      </c>
      <c r="AY557" t="s">
        <v>1642</v>
      </c>
    </row>
    <row r="558" spans="1:51">
      <c r="A558" t="s">
        <v>1127</v>
      </c>
      <c r="B558" t="s">
        <v>1138</v>
      </c>
      <c r="C558" t="s">
        <v>1129</v>
      </c>
      <c r="D558" t="s">
        <v>1130</v>
      </c>
      <c r="E558" t="s">
        <v>96</v>
      </c>
      <c r="F558">
        <v>10</v>
      </c>
      <c r="G558" t="s">
        <v>185</v>
      </c>
      <c r="H558" t="s">
        <v>84</v>
      </c>
      <c r="I558" t="s">
        <v>186</v>
      </c>
      <c r="J558" t="s">
        <v>1131</v>
      </c>
      <c r="K558" t="s">
        <v>149</v>
      </c>
      <c r="L558" t="s">
        <v>30</v>
      </c>
      <c r="M558" t="s">
        <v>482</v>
      </c>
      <c r="N558" s="7">
        <v>19500</v>
      </c>
      <c r="O558" s="7">
        <v>1000</v>
      </c>
      <c r="P558" s="7">
        <v>3</v>
      </c>
      <c r="Q558" s="7">
        <v>25000</v>
      </c>
      <c r="R558" s="7">
        <v>1200</v>
      </c>
      <c r="S558" s="7">
        <v>3</v>
      </c>
      <c r="T558" s="7">
        <v>1732.0508075688772</v>
      </c>
      <c r="U558" s="7">
        <v>2078.4609690826528</v>
      </c>
      <c r="V558" s="7">
        <v>0.24846135929849972</v>
      </c>
      <c r="W558" s="7">
        <v>4.9338487836949373E-3</v>
      </c>
      <c r="X558" t="s">
        <v>1132</v>
      </c>
      <c r="Y558" t="s">
        <v>89</v>
      </c>
      <c r="Z558" t="s">
        <v>515</v>
      </c>
      <c r="AA558" t="s">
        <v>1139</v>
      </c>
      <c r="AB558" t="s">
        <v>92</v>
      </c>
      <c r="AC558" t="s">
        <v>1127</v>
      </c>
      <c r="AD558" t="s">
        <v>1127</v>
      </c>
      <c r="AE558" t="s">
        <v>1837</v>
      </c>
      <c r="AF558" t="s">
        <v>1838</v>
      </c>
      <c r="AG558" t="s">
        <v>1837</v>
      </c>
      <c r="AI558" t="s">
        <v>30</v>
      </c>
      <c r="AJ558" t="s">
        <v>1636</v>
      </c>
      <c r="AK558" t="s">
        <v>1637</v>
      </c>
      <c r="AL558" s="4">
        <v>10</v>
      </c>
      <c r="AM558" t="s">
        <v>185</v>
      </c>
      <c r="AN558">
        <v>10</v>
      </c>
      <c r="AO558" t="s">
        <v>1665</v>
      </c>
      <c r="AP558" t="s">
        <v>1544</v>
      </c>
      <c r="AQ558" t="s">
        <v>1640</v>
      </c>
      <c r="AR558" t="s">
        <v>1641</v>
      </c>
      <c r="AS558">
        <v>1</v>
      </c>
      <c r="AT558">
        <v>0</v>
      </c>
      <c r="AU558">
        <v>0</v>
      </c>
      <c r="AV558">
        <v>1</v>
      </c>
      <c r="AW558">
        <v>0</v>
      </c>
      <c r="AX558">
        <v>0</v>
      </c>
      <c r="AY558" t="s">
        <v>1642</v>
      </c>
    </row>
    <row r="559" spans="1:51">
      <c r="A559" t="s">
        <v>1127</v>
      </c>
      <c r="B559" t="s">
        <v>1140</v>
      </c>
      <c r="C559" t="s">
        <v>1129</v>
      </c>
      <c r="D559" t="s">
        <v>1130</v>
      </c>
      <c r="E559" t="s">
        <v>96</v>
      </c>
      <c r="F559">
        <v>10</v>
      </c>
      <c r="G559" t="s">
        <v>185</v>
      </c>
      <c r="H559" t="s">
        <v>84</v>
      </c>
      <c r="I559" t="s">
        <v>186</v>
      </c>
      <c r="J559" t="s">
        <v>1131</v>
      </c>
      <c r="K559" t="s">
        <v>149</v>
      </c>
      <c r="L559" t="s">
        <v>337</v>
      </c>
      <c r="M559" t="s">
        <v>482</v>
      </c>
      <c r="N559" s="7">
        <v>8200</v>
      </c>
      <c r="O559" s="7">
        <v>700</v>
      </c>
      <c r="P559" s="7">
        <v>3</v>
      </c>
      <c r="Q559" s="7">
        <v>16500</v>
      </c>
      <c r="R559" s="7">
        <v>1400</v>
      </c>
      <c r="S559" s="7">
        <v>3</v>
      </c>
      <c r="T559" s="7">
        <v>1212.435565298214</v>
      </c>
      <c r="U559" s="7">
        <v>2424.871130596428</v>
      </c>
      <c r="V559" s="7">
        <v>0.6992262266363275</v>
      </c>
      <c r="W559" s="7">
        <v>1.4486594351934244E-2</v>
      </c>
      <c r="X559" t="s">
        <v>1132</v>
      </c>
      <c r="Y559" t="s">
        <v>89</v>
      </c>
      <c r="Z559" t="s">
        <v>515</v>
      </c>
      <c r="AA559" t="s">
        <v>1141</v>
      </c>
      <c r="AB559" t="s">
        <v>92</v>
      </c>
      <c r="AC559" t="s">
        <v>1127</v>
      </c>
      <c r="AD559" t="s">
        <v>1127</v>
      </c>
      <c r="AE559" t="s">
        <v>1837</v>
      </c>
      <c r="AF559" t="s">
        <v>1838</v>
      </c>
      <c r="AG559" t="s">
        <v>1837</v>
      </c>
      <c r="AI559" t="s">
        <v>337</v>
      </c>
      <c r="AJ559" t="s">
        <v>1636</v>
      </c>
      <c r="AK559" t="s">
        <v>1637</v>
      </c>
      <c r="AL559" s="4">
        <v>10</v>
      </c>
      <c r="AM559" t="s">
        <v>185</v>
      </c>
      <c r="AN559">
        <v>10</v>
      </c>
      <c r="AO559" t="s">
        <v>1665</v>
      </c>
      <c r="AP559" t="s">
        <v>1544</v>
      </c>
      <c r="AQ559" t="s">
        <v>1640</v>
      </c>
      <c r="AR559" t="s">
        <v>1641</v>
      </c>
      <c r="AS559">
        <v>1</v>
      </c>
      <c r="AT559">
        <v>0</v>
      </c>
      <c r="AU559">
        <v>0</v>
      </c>
      <c r="AV559">
        <v>1</v>
      </c>
      <c r="AW559">
        <v>0</v>
      </c>
      <c r="AX559">
        <v>0</v>
      </c>
      <c r="AY559" t="s">
        <v>1642</v>
      </c>
    </row>
    <row r="560" spans="1:51">
      <c r="A560" t="s">
        <v>1127</v>
      </c>
      <c r="B560" t="s">
        <v>1142</v>
      </c>
      <c r="C560" t="s">
        <v>1129</v>
      </c>
      <c r="D560" t="s">
        <v>1130</v>
      </c>
      <c r="E560" t="s">
        <v>96</v>
      </c>
      <c r="F560">
        <v>10</v>
      </c>
      <c r="G560" t="s">
        <v>185</v>
      </c>
      <c r="H560" t="s">
        <v>84</v>
      </c>
      <c r="I560" t="s">
        <v>186</v>
      </c>
      <c r="J560" t="s">
        <v>1131</v>
      </c>
      <c r="K560" t="s">
        <v>149</v>
      </c>
      <c r="L560" t="s">
        <v>34</v>
      </c>
      <c r="M560" t="s">
        <v>482</v>
      </c>
      <c r="N560" s="7">
        <v>4300</v>
      </c>
      <c r="O560" s="7">
        <v>350</v>
      </c>
      <c r="P560" s="7">
        <v>3</v>
      </c>
      <c r="Q560" s="7">
        <v>5200</v>
      </c>
      <c r="R560" s="7">
        <v>400</v>
      </c>
      <c r="S560" s="7">
        <v>3</v>
      </c>
      <c r="T560" s="7">
        <v>606.21778264910699</v>
      </c>
      <c r="U560" s="7">
        <v>692.8203230275509</v>
      </c>
      <c r="V560" s="7">
        <v>0.19004360288786487</v>
      </c>
      <c r="W560" s="7">
        <v>1.2542362575644599E-2</v>
      </c>
      <c r="X560" t="s">
        <v>1132</v>
      </c>
      <c r="Y560" t="s">
        <v>89</v>
      </c>
      <c r="Z560" t="s">
        <v>515</v>
      </c>
      <c r="AA560" t="s">
        <v>1143</v>
      </c>
      <c r="AB560" t="s">
        <v>92</v>
      </c>
      <c r="AC560" t="s">
        <v>1127</v>
      </c>
      <c r="AD560" t="s">
        <v>1127</v>
      </c>
      <c r="AE560" t="s">
        <v>1837</v>
      </c>
      <c r="AF560" t="s">
        <v>1838</v>
      </c>
      <c r="AG560" t="s">
        <v>1837</v>
      </c>
      <c r="AI560" t="s">
        <v>34</v>
      </c>
      <c r="AJ560" t="s">
        <v>1636</v>
      </c>
      <c r="AK560" t="s">
        <v>1637</v>
      </c>
      <c r="AL560" s="4">
        <v>10</v>
      </c>
      <c r="AM560" t="s">
        <v>185</v>
      </c>
      <c r="AN560">
        <v>10</v>
      </c>
      <c r="AO560" t="s">
        <v>1665</v>
      </c>
      <c r="AP560" t="s">
        <v>1544</v>
      </c>
      <c r="AQ560" t="s">
        <v>1640</v>
      </c>
      <c r="AR560" t="s">
        <v>1641</v>
      </c>
      <c r="AS560">
        <v>1</v>
      </c>
      <c r="AT560">
        <v>0</v>
      </c>
      <c r="AU560">
        <v>0</v>
      </c>
      <c r="AV560">
        <v>1</v>
      </c>
      <c r="AW560">
        <v>0</v>
      </c>
      <c r="AX560">
        <v>0</v>
      </c>
      <c r="AY560" t="s">
        <v>1642</v>
      </c>
    </row>
    <row r="561" spans="1:51">
      <c r="A561" t="s">
        <v>1127</v>
      </c>
      <c r="B561" t="s">
        <v>1144</v>
      </c>
      <c r="C561" t="s">
        <v>1129</v>
      </c>
      <c r="D561" t="s">
        <v>1130</v>
      </c>
      <c r="E561" t="s">
        <v>96</v>
      </c>
      <c r="F561">
        <v>10</v>
      </c>
      <c r="G561" t="s">
        <v>185</v>
      </c>
      <c r="H561" t="s">
        <v>84</v>
      </c>
      <c r="I561" t="s">
        <v>186</v>
      </c>
      <c r="J561" t="s">
        <v>1131</v>
      </c>
      <c r="K561" t="s">
        <v>149</v>
      </c>
      <c r="L561" t="s">
        <v>1145</v>
      </c>
      <c r="M561" t="s">
        <v>482</v>
      </c>
      <c r="N561" s="7">
        <v>125</v>
      </c>
      <c r="O561" s="7">
        <v>7</v>
      </c>
      <c r="P561" s="7">
        <v>3</v>
      </c>
      <c r="Q561" s="7">
        <v>140</v>
      </c>
      <c r="R561" s="7">
        <v>7</v>
      </c>
      <c r="S561" s="7">
        <v>3</v>
      </c>
      <c r="T561" s="7">
        <v>12.124355652982141</v>
      </c>
      <c r="U561" s="7">
        <v>12.124355652982141</v>
      </c>
      <c r="V561" s="7">
        <v>0.11332868530700327</v>
      </c>
      <c r="W561" s="7">
        <v>5.6360000000000004E-3</v>
      </c>
      <c r="X561" t="s">
        <v>1132</v>
      </c>
      <c r="Y561" t="s">
        <v>89</v>
      </c>
      <c r="Z561" t="s">
        <v>515</v>
      </c>
      <c r="AA561" t="s">
        <v>1146</v>
      </c>
      <c r="AB561" t="s">
        <v>92</v>
      </c>
      <c r="AC561" t="s">
        <v>1127</v>
      </c>
      <c r="AD561" t="s">
        <v>1127</v>
      </c>
      <c r="AE561" t="s">
        <v>1837</v>
      </c>
      <c r="AF561" t="s">
        <v>1838</v>
      </c>
      <c r="AG561" t="s">
        <v>1837</v>
      </c>
      <c r="AI561" t="s">
        <v>1145</v>
      </c>
      <c r="AJ561" t="s">
        <v>1636</v>
      </c>
      <c r="AK561" t="s">
        <v>1637</v>
      </c>
      <c r="AL561" s="4">
        <v>10</v>
      </c>
      <c r="AM561" t="s">
        <v>185</v>
      </c>
      <c r="AN561">
        <v>10</v>
      </c>
      <c r="AO561" t="s">
        <v>1665</v>
      </c>
      <c r="AP561" t="s">
        <v>1544</v>
      </c>
      <c r="AQ561" t="s">
        <v>1640</v>
      </c>
      <c r="AR561" t="s">
        <v>1641</v>
      </c>
      <c r="AS561">
        <v>1</v>
      </c>
      <c r="AT561">
        <v>0</v>
      </c>
      <c r="AU561">
        <v>0</v>
      </c>
      <c r="AV561">
        <v>1</v>
      </c>
      <c r="AW561">
        <v>0</v>
      </c>
      <c r="AX561">
        <v>0</v>
      </c>
      <c r="AY561" t="s">
        <v>1642</v>
      </c>
    </row>
    <row r="562" spans="1:51">
      <c r="A562" t="s">
        <v>1127</v>
      </c>
      <c r="B562" t="s">
        <v>1147</v>
      </c>
      <c r="C562" t="s">
        <v>1129</v>
      </c>
      <c r="D562" t="s">
        <v>1130</v>
      </c>
      <c r="E562" t="s">
        <v>96</v>
      </c>
      <c r="F562">
        <v>10</v>
      </c>
      <c r="G562" t="s">
        <v>185</v>
      </c>
      <c r="H562" t="s">
        <v>84</v>
      </c>
      <c r="I562" t="s">
        <v>186</v>
      </c>
      <c r="J562" t="s">
        <v>1131</v>
      </c>
      <c r="K562" t="s">
        <v>149</v>
      </c>
      <c r="L562" t="s">
        <v>481</v>
      </c>
      <c r="M562" t="s">
        <v>482</v>
      </c>
      <c r="N562" s="7">
        <v>43</v>
      </c>
      <c r="O562" s="7">
        <v>4</v>
      </c>
      <c r="P562" s="7">
        <v>3</v>
      </c>
      <c r="Q562" s="7">
        <v>38</v>
      </c>
      <c r="R562" s="7">
        <v>3</v>
      </c>
      <c r="S562" s="7">
        <v>3</v>
      </c>
      <c r="T562" s="7">
        <v>6.9282032302755088</v>
      </c>
      <c r="U562" s="7">
        <v>5.196152422706632</v>
      </c>
      <c r="V562" s="7">
        <v>-0.12361395596717664</v>
      </c>
      <c r="W562" s="7">
        <v>1.4886013102837648E-2</v>
      </c>
      <c r="X562" t="s">
        <v>1132</v>
      </c>
      <c r="Y562" t="s">
        <v>89</v>
      </c>
      <c r="Z562" t="s">
        <v>515</v>
      </c>
      <c r="AA562" t="s">
        <v>1148</v>
      </c>
      <c r="AB562" t="s">
        <v>92</v>
      </c>
      <c r="AC562" t="s">
        <v>1127</v>
      </c>
      <c r="AD562" t="s">
        <v>1127</v>
      </c>
      <c r="AE562" t="s">
        <v>1837</v>
      </c>
      <c r="AF562" t="s">
        <v>1838</v>
      </c>
      <c r="AG562" t="s">
        <v>1837</v>
      </c>
      <c r="AI562" t="s">
        <v>481</v>
      </c>
      <c r="AJ562" t="s">
        <v>1636</v>
      </c>
      <c r="AK562" t="s">
        <v>1637</v>
      </c>
      <c r="AL562" s="4">
        <v>10</v>
      </c>
      <c r="AM562" t="s">
        <v>185</v>
      </c>
      <c r="AN562">
        <v>10</v>
      </c>
      <c r="AO562" t="s">
        <v>1665</v>
      </c>
      <c r="AP562" t="s">
        <v>1544</v>
      </c>
      <c r="AQ562" t="s">
        <v>1640</v>
      </c>
      <c r="AR562" t="s">
        <v>1641</v>
      </c>
      <c r="AS562">
        <v>1</v>
      </c>
      <c r="AT562">
        <v>0</v>
      </c>
      <c r="AU562">
        <v>0</v>
      </c>
      <c r="AV562">
        <v>1</v>
      </c>
      <c r="AW562">
        <v>0</v>
      </c>
      <c r="AX562">
        <v>0</v>
      </c>
      <c r="AY562" t="s">
        <v>1642</v>
      </c>
    </row>
    <row r="563" spans="1:51">
      <c r="A563" t="s">
        <v>1127</v>
      </c>
      <c r="B563" t="s">
        <v>1149</v>
      </c>
      <c r="C563" t="s">
        <v>1129</v>
      </c>
      <c r="D563" t="s">
        <v>1130</v>
      </c>
      <c r="E563" t="s">
        <v>96</v>
      </c>
      <c r="F563">
        <v>10</v>
      </c>
      <c r="G563" t="s">
        <v>185</v>
      </c>
      <c r="H563" t="s">
        <v>84</v>
      </c>
      <c r="I563" t="s">
        <v>186</v>
      </c>
      <c r="J563" t="s">
        <v>1131</v>
      </c>
      <c r="K563" t="s">
        <v>149</v>
      </c>
      <c r="L563" t="s">
        <v>489</v>
      </c>
      <c r="M563" t="s">
        <v>482</v>
      </c>
      <c r="N563" s="7">
        <v>92</v>
      </c>
      <c r="O563" s="7">
        <v>7</v>
      </c>
      <c r="P563" s="7">
        <v>3</v>
      </c>
      <c r="Q563" s="7">
        <v>122</v>
      </c>
      <c r="R563" s="7">
        <v>8</v>
      </c>
      <c r="S563" s="7">
        <v>3</v>
      </c>
      <c r="T563" s="7">
        <v>12.124355652982141</v>
      </c>
      <c r="U563" s="7">
        <v>13.856406460551018</v>
      </c>
      <c r="V563" s="7">
        <v>0.28223246768421617</v>
      </c>
      <c r="W563" s="7">
        <v>1.008914432925271E-2</v>
      </c>
      <c r="X563" t="s">
        <v>1132</v>
      </c>
      <c r="Y563" t="s">
        <v>89</v>
      </c>
      <c r="Z563" t="s">
        <v>515</v>
      </c>
      <c r="AA563" t="s">
        <v>1150</v>
      </c>
      <c r="AB563" t="s">
        <v>92</v>
      </c>
      <c r="AC563" t="s">
        <v>1127</v>
      </c>
      <c r="AD563" t="s">
        <v>1127</v>
      </c>
      <c r="AE563" t="s">
        <v>1837</v>
      </c>
      <c r="AF563" t="s">
        <v>1838</v>
      </c>
      <c r="AG563" t="s">
        <v>1837</v>
      </c>
      <c r="AI563" t="s">
        <v>489</v>
      </c>
      <c r="AJ563" t="s">
        <v>1636</v>
      </c>
      <c r="AK563" t="s">
        <v>1637</v>
      </c>
      <c r="AL563" s="4">
        <v>10</v>
      </c>
      <c r="AM563" t="s">
        <v>185</v>
      </c>
      <c r="AN563">
        <v>10</v>
      </c>
      <c r="AO563" t="s">
        <v>1665</v>
      </c>
      <c r="AP563" t="s">
        <v>1544</v>
      </c>
      <c r="AQ563" t="s">
        <v>1640</v>
      </c>
      <c r="AR563" t="s">
        <v>1641</v>
      </c>
      <c r="AS563">
        <v>1</v>
      </c>
      <c r="AT563">
        <v>0</v>
      </c>
      <c r="AU563">
        <v>0</v>
      </c>
      <c r="AV563">
        <v>1</v>
      </c>
      <c r="AW563">
        <v>0</v>
      </c>
      <c r="AX563">
        <v>0</v>
      </c>
      <c r="AY563" t="s">
        <v>1642</v>
      </c>
    </row>
    <row r="564" spans="1:51">
      <c r="A564" t="s">
        <v>1127</v>
      </c>
      <c r="B564" t="s">
        <v>1151</v>
      </c>
      <c r="C564" t="s">
        <v>1129</v>
      </c>
      <c r="D564" t="s">
        <v>1130</v>
      </c>
      <c r="E564" t="s">
        <v>96</v>
      </c>
      <c r="F564">
        <v>10</v>
      </c>
      <c r="G564" t="s">
        <v>185</v>
      </c>
      <c r="H564" t="s">
        <v>84</v>
      </c>
      <c r="I564" t="s">
        <v>186</v>
      </c>
      <c r="J564" t="s">
        <v>1131</v>
      </c>
      <c r="K564" t="s">
        <v>149</v>
      </c>
      <c r="L564" t="s">
        <v>496</v>
      </c>
      <c r="M564" t="s">
        <v>482</v>
      </c>
      <c r="N564" s="7">
        <v>23</v>
      </c>
      <c r="O564" s="7">
        <v>2</v>
      </c>
      <c r="P564" s="7">
        <v>3</v>
      </c>
      <c r="Q564" s="7">
        <v>45</v>
      </c>
      <c r="R564" s="7">
        <v>4</v>
      </c>
      <c r="S564" s="7">
        <v>3</v>
      </c>
      <c r="T564" s="7">
        <v>3.4641016151377544</v>
      </c>
      <c r="U564" s="7">
        <v>6.9282032302755088</v>
      </c>
      <c r="V564" s="7">
        <v>0.67116827384117006</v>
      </c>
      <c r="W564" s="7">
        <v>1.5462671240869096E-2</v>
      </c>
      <c r="X564" t="s">
        <v>1132</v>
      </c>
      <c r="Y564" t="s">
        <v>89</v>
      </c>
      <c r="Z564" t="s">
        <v>515</v>
      </c>
      <c r="AA564" t="s">
        <v>1152</v>
      </c>
      <c r="AB564" t="s">
        <v>92</v>
      </c>
      <c r="AC564" t="s">
        <v>1127</v>
      </c>
      <c r="AD564" t="s">
        <v>1127</v>
      </c>
      <c r="AE564" t="s">
        <v>1837</v>
      </c>
      <c r="AF564" t="s">
        <v>1838</v>
      </c>
      <c r="AG564" t="s">
        <v>1837</v>
      </c>
      <c r="AI564" t="s">
        <v>496</v>
      </c>
      <c r="AJ564" t="s">
        <v>1636</v>
      </c>
      <c r="AK564" t="s">
        <v>1637</v>
      </c>
      <c r="AL564" s="4">
        <v>10</v>
      </c>
      <c r="AM564" t="s">
        <v>185</v>
      </c>
      <c r="AN564">
        <v>10</v>
      </c>
      <c r="AO564" t="s">
        <v>1665</v>
      </c>
      <c r="AP564" t="s">
        <v>1544</v>
      </c>
      <c r="AQ564" t="s">
        <v>1640</v>
      </c>
      <c r="AR564" t="s">
        <v>1641</v>
      </c>
      <c r="AS564">
        <v>1</v>
      </c>
      <c r="AT564">
        <v>0</v>
      </c>
      <c r="AU564">
        <v>0</v>
      </c>
      <c r="AV564">
        <v>1</v>
      </c>
      <c r="AW564">
        <v>0</v>
      </c>
      <c r="AX564">
        <v>0</v>
      </c>
      <c r="AY564" t="s">
        <v>1642</v>
      </c>
    </row>
    <row r="565" spans="1:51">
      <c r="A565" t="s">
        <v>1127</v>
      </c>
      <c r="B565" t="s">
        <v>1153</v>
      </c>
      <c r="C565" t="s">
        <v>1129</v>
      </c>
      <c r="D565" t="s">
        <v>1130</v>
      </c>
      <c r="E565" t="s">
        <v>96</v>
      </c>
      <c r="F565">
        <v>10</v>
      </c>
      <c r="G565" t="s">
        <v>185</v>
      </c>
      <c r="H565" t="s">
        <v>84</v>
      </c>
      <c r="I565" t="s">
        <v>186</v>
      </c>
      <c r="J565" t="s">
        <v>1131</v>
      </c>
      <c r="K565" t="s">
        <v>149</v>
      </c>
      <c r="L565" t="s">
        <v>503</v>
      </c>
      <c r="M565" t="s">
        <v>482</v>
      </c>
      <c r="N565" s="7">
        <v>62</v>
      </c>
      <c r="O565" s="7">
        <v>5</v>
      </c>
      <c r="P565" s="7">
        <v>3</v>
      </c>
      <c r="Q565" s="7">
        <v>32</v>
      </c>
      <c r="R565" s="7">
        <v>4</v>
      </c>
      <c r="S565" s="7">
        <v>3</v>
      </c>
      <c r="T565" s="7">
        <v>8.6602540378443855</v>
      </c>
      <c r="U565" s="7">
        <v>6.9282032302755088</v>
      </c>
      <c r="V565" s="7">
        <v>-0.66139848224536502</v>
      </c>
      <c r="W565" s="7">
        <v>2.2128642039542141E-2</v>
      </c>
      <c r="X565" t="s">
        <v>1132</v>
      </c>
      <c r="Y565" t="s">
        <v>89</v>
      </c>
      <c r="Z565" t="s">
        <v>515</v>
      </c>
      <c r="AA565" t="s">
        <v>1154</v>
      </c>
      <c r="AB565" t="s">
        <v>92</v>
      </c>
      <c r="AC565" t="s">
        <v>1127</v>
      </c>
      <c r="AD565" t="s">
        <v>1127</v>
      </c>
      <c r="AE565" t="s">
        <v>1837</v>
      </c>
      <c r="AF565" t="s">
        <v>1838</v>
      </c>
      <c r="AG565" t="s">
        <v>1837</v>
      </c>
      <c r="AI565" t="s">
        <v>503</v>
      </c>
      <c r="AJ565" t="s">
        <v>1636</v>
      </c>
      <c r="AK565" t="s">
        <v>1637</v>
      </c>
      <c r="AL565" s="4">
        <v>10</v>
      </c>
      <c r="AM565" t="s">
        <v>185</v>
      </c>
      <c r="AN565">
        <v>10</v>
      </c>
      <c r="AO565" t="s">
        <v>1665</v>
      </c>
      <c r="AP565" t="s">
        <v>1544</v>
      </c>
      <c r="AQ565" t="s">
        <v>1640</v>
      </c>
      <c r="AR565" t="s">
        <v>1641</v>
      </c>
      <c r="AS565">
        <v>1</v>
      </c>
      <c r="AT565">
        <v>0</v>
      </c>
      <c r="AU565">
        <v>0</v>
      </c>
      <c r="AV565">
        <v>1</v>
      </c>
      <c r="AW565">
        <v>0</v>
      </c>
      <c r="AX565">
        <v>0</v>
      </c>
      <c r="AY565" t="s">
        <v>1642</v>
      </c>
    </row>
    <row r="566" spans="1:51">
      <c r="A566" t="s">
        <v>1127</v>
      </c>
      <c r="B566" t="s">
        <v>1155</v>
      </c>
      <c r="C566" t="s">
        <v>1129</v>
      </c>
      <c r="D566" t="s">
        <v>1156</v>
      </c>
      <c r="E566" t="s">
        <v>96</v>
      </c>
      <c r="F566">
        <v>10</v>
      </c>
      <c r="G566" t="s">
        <v>185</v>
      </c>
      <c r="H566" t="s">
        <v>84</v>
      </c>
      <c r="I566" t="s">
        <v>186</v>
      </c>
      <c r="J566" t="s">
        <v>1131</v>
      </c>
      <c r="K566" t="s">
        <v>149</v>
      </c>
      <c r="L566" t="s">
        <v>42</v>
      </c>
      <c r="M566" t="s">
        <v>482</v>
      </c>
      <c r="N566" s="7">
        <v>15000</v>
      </c>
      <c r="O566" s="7">
        <v>1200</v>
      </c>
      <c r="P566" s="7">
        <v>3</v>
      </c>
      <c r="Q566" s="7">
        <v>19000</v>
      </c>
      <c r="R566" s="7">
        <v>900</v>
      </c>
      <c r="S566" s="7">
        <v>3</v>
      </c>
      <c r="T566" s="7">
        <v>2078.4609690826528</v>
      </c>
      <c r="U566" s="7">
        <v>1558.8457268119894</v>
      </c>
      <c r="V566" s="7">
        <v>0.23638877806423034</v>
      </c>
      <c r="W566" s="7">
        <v>8.64376731301939E-3</v>
      </c>
      <c r="X566" t="s">
        <v>1132</v>
      </c>
      <c r="Y566" t="s">
        <v>89</v>
      </c>
      <c r="Z566" t="s">
        <v>515</v>
      </c>
      <c r="AA566" t="s">
        <v>1157</v>
      </c>
      <c r="AB566" t="s">
        <v>92</v>
      </c>
      <c r="AC566" t="s">
        <v>1127</v>
      </c>
      <c r="AD566" t="s">
        <v>1127</v>
      </c>
      <c r="AE566" t="s">
        <v>1839</v>
      </c>
      <c r="AF566" t="s">
        <v>1840</v>
      </c>
      <c r="AG566" t="s">
        <v>1839</v>
      </c>
      <c r="AI566" t="s">
        <v>42</v>
      </c>
      <c r="AJ566" t="s">
        <v>1636</v>
      </c>
      <c r="AK566" t="s">
        <v>1637</v>
      </c>
      <c r="AL566" s="4">
        <v>10</v>
      </c>
      <c r="AM566" t="s">
        <v>185</v>
      </c>
      <c r="AN566">
        <v>10</v>
      </c>
      <c r="AO566" t="s">
        <v>1665</v>
      </c>
      <c r="AP566" t="s">
        <v>1841</v>
      </c>
      <c r="AQ566" t="s">
        <v>1640</v>
      </c>
      <c r="AR566" t="s">
        <v>1641</v>
      </c>
      <c r="AS566">
        <v>1</v>
      </c>
      <c r="AT566">
        <v>0</v>
      </c>
      <c r="AU566">
        <v>0</v>
      </c>
      <c r="AV566">
        <v>1</v>
      </c>
      <c r="AW566">
        <v>1</v>
      </c>
      <c r="AX566">
        <v>0</v>
      </c>
      <c r="AY566" t="s">
        <v>1642</v>
      </c>
    </row>
    <row r="567" spans="1:51">
      <c r="A567" t="s">
        <v>1127</v>
      </c>
      <c r="B567" t="s">
        <v>1158</v>
      </c>
      <c r="C567" t="s">
        <v>1129</v>
      </c>
      <c r="D567" t="s">
        <v>1156</v>
      </c>
      <c r="E567" t="s">
        <v>96</v>
      </c>
      <c r="F567">
        <v>10</v>
      </c>
      <c r="G567" t="s">
        <v>185</v>
      </c>
      <c r="H567" t="s">
        <v>84</v>
      </c>
      <c r="I567" t="s">
        <v>186</v>
      </c>
      <c r="J567" t="s">
        <v>1131</v>
      </c>
      <c r="K567" t="s">
        <v>149</v>
      </c>
      <c r="L567" t="s">
        <v>53</v>
      </c>
      <c r="M567" t="s">
        <v>482</v>
      </c>
      <c r="N567" s="7">
        <v>2700</v>
      </c>
      <c r="O567" s="7">
        <v>220</v>
      </c>
      <c r="P567" s="7">
        <v>3</v>
      </c>
      <c r="Q567" s="7">
        <v>2800</v>
      </c>
      <c r="R567" s="7">
        <v>220</v>
      </c>
      <c r="S567" s="7">
        <v>3</v>
      </c>
      <c r="T567" s="7">
        <v>381.05117766515298</v>
      </c>
      <c r="U567" s="7">
        <v>381.05117766515298</v>
      </c>
      <c r="V567" s="7">
        <v>3.6367644170874791E-2</v>
      </c>
      <c r="W567" s="7">
        <v>1.2812701212172109E-2</v>
      </c>
      <c r="X567" t="s">
        <v>1132</v>
      </c>
      <c r="Y567" t="s">
        <v>89</v>
      </c>
      <c r="Z567" t="s">
        <v>515</v>
      </c>
      <c r="AA567" t="s">
        <v>1159</v>
      </c>
      <c r="AB567" t="s">
        <v>92</v>
      </c>
      <c r="AC567" t="s">
        <v>1127</v>
      </c>
      <c r="AD567" t="s">
        <v>1127</v>
      </c>
      <c r="AE567" t="s">
        <v>1839</v>
      </c>
      <c r="AF567" t="s">
        <v>1840</v>
      </c>
      <c r="AG567" t="s">
        <v>1839</v>
      </c>
      <c r="AI567" t="s">
        <v>53</v>
      </c>
      <c r="AJ567" t="s">
        <v>1636</v>
      </c>
      <c r="AK567" t="s">
        <v>1637</v>
      </c>
      <c r="AL567" s="4">
        <v>10</v>
      </c>
      <c r="AM567" t="s">
        <v>185</v>
      </c>
      <c r="AN567">
        <v>10</v>
      </c>
      <c r="AO567" t="s">
        <v>1665</v>
      </c>
      <c r="AP567" t="s">
        <v>1841</v>
      </c>
      <c r="AQ567" t="s">
        <v>1640</v>
      </c>
      <c r="AR567" t="s">
        <v>1641</v>
      </c>
      <c r="AS567">
        <v>1</v>
      </c>
      <c r="AT567">
        <v>0</v>
      </c>
      <c r="AU567">
        <v>0</v>
      </c>
      <c r="AV567">
        <v>1</v>
      </c>
      <c r="AW567">
        <v>1</v>
      </c>
      <c r="AX567">
        <v>0</v>
      </c>
      <c r="AY567" t="s">
        <v>1642</v>
      </c>
    </row>
    <row r="568" spans="1:51">
      <c r="A568" t="s">
        <v>1127</v>
      </c>
      <c r="B568" t="s">
        <v>1160</v>
      </c>
      <c r="C568" t="s">
        <v>1129</v>
      </c>
      <c r="D568" t="s">
        <v>1156</v>
      </c>
      <c r="E568" t="s">
        <v>96</v>
      </c>
      <c r="F568">
        <v>10</v>
      </c>
      <c r="G568" t="s">
        <v>185</v>
      </c>
      <c r="H568" t="s">
        <v>84</v>
      </c>
      <c r="I568" t="s">
        <v>186</v>
      </c>
      <c r="J568" t="s">
        <v>1131</v>
      </c>
      <c r="K568" t="s">
        <v>149</v>
      </c>
      <c r="L568" t="s">
        <v>40</v>
      </c>
      <c r="M568" t="s">
        <v>482</v>
      </c>
      <c r="N568" s="7">
        <v>27000</v>
      </c>
      <c r="O568" s="7">
        <v>1700</v>
      </c>
      <c r="P568" s="7">
        <v>3</v>
      </c>
      <c r="Q568" s="7">
        <v>39000</v>
      </c>
      <c r="R568" s="7">
        <v>2200</v>
      </c>
      <c r="S568" s="7">
        <v>3</v>
      </c>
      <c r="T568" s="7">
        <v>2944.4863728670912</v>
      </c>
      <c r="U568" s="7">
        <v>3810.51177665153</v>
      </c>
      <c r="V568" s="7">
        <v>0.36772478012531734</v>
      </c>
      <c r="W568" s="7">
        <v>7.1464517333463193E-3</v>
      </c>
      <c r="X568" t="s">
        <v>1132</v>
      </c>
      <c r="Y568" t="s">
        <v>89</v>
      </c>
      <c r="Z568" t="s">
        <v>515</v>
      </c>
      <c r="AA568" t="s">
        <v>1161</v>
      </c>
      <c r="AB568" t="s">
        <v>92</v>
      </c>
      <c r="AC568" t="s">
        <v>1127</v>
      </c>
      <c r="AD568" t="s">
        <v>1127</v>
      </c>
      <c r="AE568" t="s">
        <v>1839</v>
      </c>
      <c r="AF568" t="s">
        <v>1840</v>
      </c>
      <c r="AG568" t="s">
        <v>1839</v>
      </c>
      <c r="AI568" t="s">
        <v>40</v>
      </c>
      <c r="AJ568" t="s">
        <v>1636</v>
      </c>
      <c r="AK568" t="s">
        <v>1637</v>
      </c>
      <c r="AL568" s="4">
        <v>10</v>
      </c>
      <c r="AM568" t="s">
        <v>185</v>
      </c>
      <c r="AN568">
        <v>10</v>
      </c>
      <c r="AO568" t="s">
        <v>1665</v>
      </c>
      <c r="AP568" t="s">
        <v>1841</v>
      </c>
      <c r="AQ568" t="s">
        <v>1640</v>
      </c>
      <c r="AR568" t="s">
        <v>1641</v>
      </c>
      <c r="AS568">
        <v>1</v>
      </c>
      <c r="AT568">
        <v>0</v>
      </c>
      <c r="AU568">
        <v>0</v>
      </c>
      <c r="AV568">
        <v>1</v>
      </c>
      <c r="AW568">
        <v>1</v>
      </c>
      <c r="AX568">
        <v>0</v>
      </c>
      <c r="AY568" t="s">
        <v>1642</v>
      </c>
    </row>
    <row r="569" spans="1:51">
      <c r="A569" t="s">
        <v>1127</v>
      </c>
      <c r="B569" t="s">
        <v>1162</v>
      </c>
      <c r="C569" t="s">
        <v>1129</v>
      </c>
      <c r="D569" t="s">
        <v>1156</v>
      </c>
      <c r="E569" t="s">
        <v>96</v>
      </c>
      <c r="F569">
        <v>10</v>
      </c>
      <c r="G569" t="s">
        <v>185</v>
      </c>
      <c r="H569" t="s">
        <v>84</v>
      </c>
      <c r="I569" t="s">
        <v>186</v>
      </c>
      <c r="J569" t="s">
        <v>1131</v>
      </c>
      <c r="K569" t="s">
        <v>149</v>
      </c>
      <c r="L569" t="s">
        <v>30</v>
      </c>
      <c r="M569" t="s">
        <v>482</v>
      </c>
      <c r="N569" s="7">
        <v>20000</v>
      </c>
      <c r="O569" s="7">
        <v>900</v>
      </c>
      <c r="P569" s="7">
        <v>3</v>
      </c>
      <c r="Q569" s="7">
        <v>23500</v>
      </c>
      <c r="R569" s="7">
        <v>1100</v>
      </c>
      <c r="S569" s="7">
        <v>3</v>
      </c>
      <c r="T569" s="7">
        <v>1558.8457268119894</v>
      </c>
      <c r="U569" s="7">
        <v>1905.255888325765</v>
      </c>
      <c r="V569" s="7">
        <v>0.16126814759612232</v>
      </c>
      <c r="W569" s="7">
        <v>4.2160366681756444E-3</v>
      </c>
      <c r="X569" t="s">
        <v>1132</v>
      </c>
      <c r="Y569" t="s">
        <v>89</v>
      </c>
      <c r="Z569" t="s">
        <v>515</v>
      </c>
      <c r="AA569" t="s">
        <v>1163</v>
      </c>
      <c r="AB569" t="s">
        <v>92</v>
      </c>
      <c r="AC569" t="s">
        <v>1127</v>
      </c>
      <c r="AD569" t="s">
        <v>1127</v>
      </c>
      <c r="AE569" t="s">
        <v>1839</v>
      </c>
      <c r="AF569" t="s">
        <v>1840</v>
      </c>
      <c r="AG569" t="s">
        <v>1839</v>
      </c>
      <c r="AI569" t="s">
        <v>30</v>
      </c>
      <c r="AJ569" t="s">
        <v>1636</v>
      </c>
      <c r="AK569" t="s">
        <v>1637</v>
      </c>
      <c r="AL569" s="4">
        <v>10</v>
      </c>
      <c r="AM569" t="s">
        <v>185</v>
      </c>
      <c r="AN569">
        <v>10</v>
      </c>
      <c r="AO569" t="s">
        <v>1665</v>
      </c>
      <c r="AP569" t="s">
        <v>1841</v>
      </c>
      <c r="AQ569" t="s">
        <v>1640</v>
      </c>
      <c r="AR569" t="s">
        <v>1641</v>
      </c>
      <c r="AS569">
        <v>1</v>
      </c>
      <c r="AT569">
        <v>0</v>
      </c>
      <c r="AU569">
        <v>0</v>
      </c>
      <c r="AV569">
        <v>1</v>
      </c>
      <c r="AW569">
        <v>1</v>
      </c>
      <c r="AX569">
        <v>0</v>
      </c>
      <c r="AY569" t="s">
        <v>1642</v>
      </c>
    </row>
    <row r="570" spans="1:51">
      <c r="A570" t="s">
        <v>1127</v>
      </c>
      <c r="B570" t="s">
        <v>1164</v>
      </c>
      <c r="C570" t="s">
        <v>1129</v>
      </c>
      <c r="D570" t="s">
        <v>1156</v>
      </c>
      <c r="E570" t="s">
        <v>96</v>
      </c>
      <c r="F570">
        <v>10</v>
      </c>
      <c r="G570" t="s">
        <v>185</v>
      </c>
      <c r="H570" t="s">
        <v>84</v>
      </c>
      <c r="I570" t="s">
        <v>186</v>
      </c>
      <c r="J570" t="s">
        <v>1131</v>
      </c>
      <c r="K570" t="s">
        <v>149</v>
      </c>
      <c r="L570" t="s">
        <v>337</v>
      </c>
      <c r="M570" t="s">
        <v>482</v>
      </c>
      <c r="N570" s="7">
        <v>9500</v>
      </c>
      <c r="O570" s="7">
        <v>800</v>
      </c>
      <c r="P570" s="7">
        <v>3</v>
      </c>
      <c r="Q570" s="7">
        <v>10800</v>
      </c>
      <c r="R570" s="7">
        <v>900</v>
      </c>
      <c r="S570" s="7">
        <v>3</v>
      </c>
      <c r="T570" s="7">
        <v>1385.6406460551018</v>
      </c>
      <c r="U570" s="7">
        <v>1558.8457268119894</v>
      </c>
      <c r="V570" s="7">
        <v>0.12825433552367885</v>
      </c>
      <c r="W570" s="7">
        <v>1.4035857186826714E-2</v>
      </c>
      <c r="X570" t="s">
        <v>1132</v>
      </c>
      <c r="Y570" t="s">
        <v>89</v>
      </c>
      <c r="Z570" t="s">
        <v>515</v>
      </c>
      <c r="AA570" t="s">
        <v>1165</v>
      </c>
      <c r="AB570" t="s">
        <v>92</v>
      </c>
      <c r="AC570" t="s">
        <v>1127</v>
      </c>
      <c r="AD570" t="s">
        <v>1127</v>
      </c>
      <c r="AE570" t="s">
        <v>1839</v>
      </c>
      <c r="AF570" t="s">
        <v>1840</v>
      </c>
      <c r="AG570" t="s">
        <v>1839</v>
      </c>
      <c r="AI570" t="s">
        <v>337</v>
      </c>
      <c r="AJ570" t="s">
        <v>1636</v>
      </c>
      <c r="AK570" t="s">
        <v>1637</v>
      </c>
      <c r="AL570" s="4">
        <v>10</v>
      </c>
      <c r="AM570" t="s">
        <v>185</v>
      </c>
      <c r="AN570">
        <v>10</v>
      </c>
      <c r="AO570" t="s">
        <v>1665</v>
      </c>
      <c r="AP570" t="s">
        <v>1841</v>
      </c>
      <c r="AQ570" t="s">
        <v>1640</v>
      </c>
      <c r="AR570" t="s">
        <v>1641</v>
      </c>
      <c r="AS570">
        <v>1</v>
      </c>
      <c r="AT570">
        <v>0</v>
      </c>
      <c r="AU570">
        <v>0</v>
      </c>
      <c r="AV570">
        <v>1</v>
      </c>
      <c r="AW570">
        <v>1</v>
      </c>
      <c r="AX570">
        <v>0</v>
      </c>
      <c r="AY570" t="s">
        <v>1642</v>
      </c>
    </row>
    <row r="571" spans="1:51">
      <c r="A571" t="s">
        <v>1127</v>
      </c>
      <c r="B571" t="s">
        <v>1166</v>
      </c>
      <c r="C571" t="s">
        <v>1129</v>
      </c>
      <c r="D571" t="s">
        <v>1156</v>
      </c>
      <c r="E571" t="s">
        <v>96</v>
      </c>
      <c r="F571">
        <v>10</v>
      </c>
      <c r="G571" t="s">
        <v>185</v>
      </c>
      <c r="H571" t="s">
        <v>84</v>
      </c>
      <c r="I571" t="s">
        <v>186</v>
      </c>
      <c r="J571" t="s">
        <v>1131</v>
      </c>
      <c r="K571" t="s">
        <v>149</v>
      </c>
      <c r="L571" t="s">
        <v>34</v>
      </c>
      <c r="M571" t="s">
        <v>482</v>
      </c>
      <c r="N571" s="7">
        <v>4500</v>
      </c>
      <c r="O571" s="7">
        <v>350</v>
      </c>
      <c r="P571" s="7">
        <v>3</v>
      </c>
      <c r="Q571" s="7">
        <v>4700</v>
      </c>
      <c r="R571" s="7">
        <v>350</v>
      </c>
      <c r="S571" s="7">
        <v>3</v>
      </c>
      <c r="T571" s="7">
        <v>606.21778264910699</v>
      </c>
      <c r="U571" s="7">
        <v>606.21778264910699</v>
      </c>
      <c r="V571" s="7">
        <v>4.3485111939738891E-2</v>
      </c>
      <c r="W571" s="7">
        <v>1.159487841546088E-2</v>
      </c>
      <c r="X571" t="s">
        <v>1132</v>
      </c>
      <c r="Y571" t="s">
        <v>89</v>
      </c>
      <c r="Z571" t="s">
        <v>515</v>
      </c>
      <c r="AA571" t="s">
        <v>1167</v>
      </c>
      <c r="AB571" t="s">
        <v>92</v>
      </c>
      <c r="AC571" t="s">
        <v>1127</v>
      </c>
      <c r="AD571" t="s">
        <v>1127</v>
      </c>
      <c r="AE571" t="s">
        <v>1839</v>
      </c>
      <c r="AF571" t="s">
        <v>1840</v>
      </c>
      <c r="AG571" t="s">
        <v>1839</v>
      </c>
      <c r="AI571" t="s">
        <v>34</v>
      </c>
      <c r="AJ571" t="s">
        <v>1636</v>
      </c>
      <c r="AK571" t="s">
        <v>1637</v>
      </c>
      <c r="AL571" s="4">
        <v>10</v>
      </c>
      <c r="AM571" t="s">
        <v>185</v>
      </c>
      <c r="AN571">
        <v>10</v>
      </c>
      <c r="AO571" t="s">
        <v>1665</v>
      </c>
      <c r="AP571" t="s">
        <v>1841</v>
      </c>
      <c r="AQ571" t="s">
        <v>1640</v>
      </c>
      <c r="AR571" t="s">
        <v>1641</v>
      </c>
      <c r="AS571">
        <v>1</v>
      </c>
      <c r="AT571">
        <v>0</v>
      </c>
      <c r="AU571">
        <v>0</v>
      </c>
      <c r="AV571">
        <v>1</v>
      </c>
      <c r="AW571">
        <v>1</v>
      </c>
      <c r="AX571">
        <v>0</v>
      </c>
      <c r="AY571" t="s">
        <v>1642</v>
      </c>
    </row>
    <row r="572" spans="1:51">
      <c r="A572" t="s">
        <v>1127</v>
      </c>
      <c r="B572" t="s">
        <v>1168</v>
      </c>
      <c r="C572" t="s">
        <v>1129</v>
      </c>
      <c r="D572" t="s">
        <v>1156</v>
      </c>
      <c r="E572" t="s">
        <v>96</v>
      </c>
      <c r="F572">
        <v>10</v>
      </c>
      <c r="G572" t="s">
        <v>185</v>
      </c>
      <c r="H572" t="s">
        <v>84</v>
      </c>
      <c r="I572" t="s">
        <v>186</v>
      </c>
      <c r="J572" t="s">
        <v>1131</v>
      </c>
      <c r="K572" t="s">
        <v>149</v>
      </c>
      <c r="L572" t="s">
        <v>1145</v>
      </c>
      <c r="M572" t="s">
        <v>482</v>
      </c>
      <c r="N572" s="7">
        <v>115</v>
      </c>
      <c r="O572" s="7">
        <v>7</v>
      </c>
      <c r="P572" s="7">
        <v>3</v>
      </c>
      <c r="Q572" s="7">
        <v>140</v>
      </c>
      <c r="R572" s="7">
        <v>7</v>
      </c>
      <c r="S572" s="7">
        <v>3</v>
      </c>
      <c r="T572" s="7">
        <v>12.124355652982141</v>
      </c>
      <c r="U572" s="7">
        <v>12.124355652982141</v>
      </c>
      <c r="V572" s="7">
        <v>0.1967102942460543</v>
      </c>
      <c r="W572" s="7">
        <v>6.2051039697542535E-3</v>
      </c>
      <c r="X572" t="s">
        <v>1132</v>
      </c>
      <c r="Y572" t="s">
        <v>89</v>
      </c>
      <c r="Z572" t="s">
        <v>515</v>
      </c>
      <c r="AA572" t="s">
        <v>1169</v>
      </c>
      <c r="AB572" t="s">
        <v>92</v>
      </c>
      <c r="AC572" t="s">
        <v>1127</v>
      </c>
      <c r="AD572" t="s">
        <v>1127</v>
      </c>
      <c r="AE572" t="s">
        <v>1839</v>
      </c>
      <c r="AF572" t="s">
        <v>1840</v>
      </c>
      <c r="AG572" t="s">
        <v>1839</v>
      </c>
      <c r="AI572" t="s">
        <v>1145</v>
      </c>
      <c r="AJ572" t="s">
        <v>1636</v>
      </c>
      <c r="AK572" t="s">
        <v>1637</v>
      </c>
      <c r="AL572" s="4">
        <v>10</v>
      </c>
      <c r="AM572" t="s">
        <v>185</v>
      </c>
      <c r="AN572">
        <v>10</v>
      </c>
      <c r="AO572" t="s">
        <v>1665</v>
      </c>
      <c r="AP572" t="s">
        <v>1841</v>
      </c>
      <c r="AQ572" t="s">
        <v>1640</v>
      </c>
      <c r="AR572" t="s">
        <v>1641</v>
      </c>
      <c r="AS572">
        <v>1</v>
      </c>
      <c r="AT572">
        <v>0</v>
      </c>
      <c r="AU572">
        <v>0</v>
      </c>
      <c r="AV572">
        <v>1</v>
      </c>
      <c r="AW572">
        <v>1</v>
      </c>
      <c r="AX572">
        <v>0</v>
      </c>
      <c r="AY572" t="s">
        <v>1642</v>
      </c>
    </row>
    <row r="573" spans="1:51">
      <c r="A573" t="s">
        <v>1127</v>
      </c>
      <c r="B573" t="s">
        <v>1170</v>
      </c>
      <c r="C573" t="s">
        <v>1129</v>
      </c>
      <c r="D573" t="s">
        <v>1156</v>
      </c>
      <c r="E573" t="s">
        <v>96</v>
      </c>
      <c r="F573">
        <v>10</v>
      </c>
      <c r="G573" t="s">
        <v>185</v>
      </c>
      <c r="H573" t="s">
        <v>84</v>
      </c>
      <c r="I573" t="s">
        <v>186</v>
      </c>
      <c r="J573" t="s">
        <v>1131</v>
      </c>
      <c r="K573" t="s">
        <v>149</v>
      </c>
      <c r="L573" t="s">
        <v>481</v>
      </c>
      <c r="M573" t="s">
        <v>482</v>
      </c>
      <c r="N573" s="7">
        <v>55</v>
      </c>
      <c r="O573" s="7">
        <v>4</v>
      </c>
      <c r="P573" s="7">
        <v>3</v>
      </c>
      <c r="Q573" s="7">
        <v>78</v>
      </c>
      <c r="R573" s="7">
        <v>5</v>
      </c>
      <c r="S573" s="7">
        <v>3</v>
      </c>
      <c r="T573" s="7">
        <v>6.9282032302755088</v>
      </c>
      <c r="U573" s="7">
        <v>8.6602540378443855</v>
      </c>
      <c r="V573" s="7">
        <v>0.34937564145712086</v>
      </c>
      <c r="W573" s="7">
        <v>9.3983949228704459E-3</v>
      </c>
      <c r="X573" t="s">
        <v>1132</v>
      </c>
      <c r="Y573" t="s">
        <v>89</v>
      </c>
      <c r="Z573" t="s">
        <v>515</v>
      </c>
      <c r="AA573" t="s">
        <v>1171</v>
      </c>
      <c r="AB573" t="s">
        <v>92</v>
      </c>
      <c r="AC573" t="s">
        <v>1127</v>
      </c>
      <c r="AD573" t="s">
        <v>1127</v>
      </c>
      <c r="AE573" t="s">
        <v>1839</v>
      </c>
      <c r="AF573" t="s">
        <v>1840</v>
      </c>
      <c r="AG573" t="s">
        <v>1839</v>
      </c>
      <c r="AI573" t="s">
        <v>481</v>
      </c>
      <c r="AJ573" t="s">
        <v>1636</v>
      </c>
      <c r="AK573" t="s">
        <v>1637</v>
      </c>
      <c r="AL573" s="4">
        <v>10</v>
      </c>
      <c r="AM573" t="s">
        <v>185</v>
      </c>
      <c r="AN573">
        <v>10</v>
      </c>
      <c r="AO573" t="s">
        <v>1665</v>
      </c>
      <c r="AP573" t="s">
        <v>1841</v>
      </c>
      <c r="AQ573" t="s">
        <v>1640</v>
      </c>
      <c r="AR573" t="s">
        <v>1641</v>
      </c>
      <c r="AS573">
        <v>1</v>
      </c>
      <c r="AT573">
        <v>0</v>
      </c>
      <c r="AU573">
        <v>0</v>
      </c>
      <c r="AV573">
        <v>1</v>
      </c>
      <c r="AW573">
        <v>1</v>
      </c>
      <c r="AX573">
        <v>0</v>
      </c>
      <c r="AY573" t="s">
        <v>1642</v>
      </c>
    </row>
    <row r="574" spans="1:51">
      <c r="A574" t="s">
        <v>1127</v>
      </c>
      <c r="B574" t="s">
        <v>1172</v>
      </c>
      <c r="C574" t="s">
        <v>1129</v>
      </c>
      <c r="D574" t="s">
        <v>1156</v>
      </c>
      <c r="E574" t="s">
        <v>96</v>
      </c>
      <c r="F574">
        <v>10</v>
      </c>
      <c r="G574" t="s">
        <v>185</v>
      </c>
      <c r="H574" t="s">
        <v>84</v>
      </c>
      <c r="I574" t="s">
        <v>186</v>
      </c>
      <c r="J574" t="s">
        <v>1131</v>
      </c>
      <c r="K574" t="s">
        <v>149</v>
      </c>
      <c r="L574" t="s">
        <v>489</v>
      </c>
      <c r="M574" t="s">
        <v>482</v>
      </c>
      <c r="N574" s="7">
        <v>28</v>
      </c>
      <c r="O574" s="7">
        <v>3</v>
      </c>
      <c r="P574" s="7">
        <v>3</v>
      </c>
      <c r="Q574" s="7">
        <v>73</v>
      </c>
      <c r="R574" s="7">
        <v>6</v>
      </c>
      <c r="S574" s="7">
        <v>3</v>
      </c>
      <c r="T574" s="7">
        <v>5.196152422706632</v>
      </c>
      <c r="U574" s="7">
        <v>10.392304845413264</v>
      </c>
      <c r="V574" s="7">
        <v>0.95825493097318726</v>
      </c>
      <c r="W574" s="7">
        <v>1.823508067141287E-2</v>
      </c>
      <c r="X574" t="s">
        <v>1132</v>
      </c>
      <c r="Y574" t="s">
        <v>89</v>
      </c>
      <c r="Z574" t="s">
        <v>515</v>
      </c>
      <c r="AA574" t="s">
        <v>1173</v>
      </c>
      <c r="AB574" t="s">
        <v>92</v>
      </c>
      <c r="AC574" t="s">
        <v>1127</v>
      </c>
      <c r="AD574" t="s">
        <v>1127</v>
      </c>
      <c r="AE574" t="s">
        <v>1839</v>
      </c>
      <c r="AF574" t="s">
        <v>1840</v>
      </c>
      <c r="AG574" t="s">
        <v>1839</v>
      </c>
      <c r="AI574" t="s">
        <v>489</v>
      </c>
      <c r="AJ574" t="s">
        <v>1636</v>
      </c>
      <c r="AK574" t="s">
        <v>1637</v>
      </c>
      <c r="AL574" s="4">
        <v>10</v>
      </c>
      <c r="AM574" t="s">
        <v>185</v>
      </c>
      <c r="AN574">
        <v>10</v>
      </c>
      <c r="AO574" t="s">
        <v>1665</v>
      </c>
      <c r="AP574" t="s">
        <v>1841</v>
      </c>
      <c r="AQ574" t="s">
        <v>1640</v>
      </c>
      <c r="AR574" t="s">
        <v>1641</v>
      </c>
      <c r="AS574">
        <v>1</v>
      </c>
      <c r="AT574">
        <v>0</v>
      </c>
      <c r="AU574">
        <v>0</v>
      </c>
      <c r="AV574">
        <v>1</v>
      </c>
      <c r="AW574">
        <v>1</v>
      </c>
      <c r="AX574">
        <v>0</v>
      </c>
      <c r="AY574" t="s">
        <v>1642</v>
      </c>
    </row>
    <row r="575" spans="1:51">
      <c r="A575" t="s">
        <v>1127</v>
      </c>
      <c r="B575" t="s">
        <v>1174</v>
      </c>
      <c r="C575" t="s">
        <v>1129</v>
      </c>
      <c r="D575" t="s">
        <v>1156</v>
      </c>
      <c r="E575" t="s">
        <v>96</v>
      </c>
      <c r="F575">
        <v>10</v>
      </c>
      <c r="G575" t="s">
        <v>185</v>
      </c>
      <c r="H575" t="s">
        <v>84</v>
      </c>
      <c r="I575" t="s">
        <v>186</v>
      </c>
      <c r="J575" t="s">
        <v>1131</v>
      </c>
      <c r="K575" t="s">
        <v>149</v>
      </c>
      <c r="L575" t="s">
        <v>496</v>
      </c>
      <c r="M575" t="s">
        <v>482</v>
      </c>
      <c r="N575" s="7">
        <v>30</v>
      </c>
      <c r="O575" s="7">
        <v>3</v>
      </c>
      <c r="P575" s="7">
        <v>3</v>
      </c>
      <c r="Q575" s="7">
        <v>65</v>
      </c>
      <c r="R575" s="7">
        <v>4</v>
      </c>
      <c r="S575" s="7">
        <v>3</v>
      </c>
      <c r="T575" s="7">
        <v>5.196152422706632</v>
      </c>
      <c r="U575" s="7">
        <v>6.9282032302755088</v>
      </c>
      <c r="V575" s="7">
        <v>0.77318988823348167</v>
      </c>
      <c r="W575" s="7">
        <v>1.3786982248520711E-2</v>
      </c>
      <c r="X575" t="s">
        <v>1132</v>
      </c>
      <c r="Y575" t="s">
        <v>89</v>
      </c>
      <c r="Z575" t="s">
        <v>515</v>
      </c>
      <c r="AA575" t="s">
        <v>1175</v>
      </c>
      <c r="AB575" t="s">
        <v>92</v>
      </c>
      <c r="AC575" t="s">
        <v>1127</v>
      </c>
      <c r="AD575" t="s">
        <v>1127</v>
      </c>
      <c r="AE575" t="s">
        <v>1839</v>
      </c>
      <c r="AF575" t="s">
        <v>1840</v>
      </c>
      <c r="AG575" t="s">
        <v>1839</v>
      </c>
      <c r="AI575" t="s">
        <v>496</v>
      </c>
      <c r="AJ575" t="s">
        <v>1636</v>
      </c>
      <c r="AK575" t="s">
        <v>1637</v>
      </c>
      <c r="AL575" s="4">
        <v>10</v>
      </c>
      <c r="AM575" t="s">
        <v>185</v>
      </c>
      <c r="AN575">
        <v>10</v>
      </c>
      <c r="AO575" t="s">
        <v>1665</v>
      </c>
      <c r="AP575" t="s">
        <v>1841</v>
      </c>
      <c r="AQ575" t="s">
        <v>1640</v>
      </c>
      <c r="AR575" t="s">
        <v>1641</v>
      </c>
      <c r="AS575">
        <v>1</v>
      </c>
      <c r="AT575">
        <v>0</v>
      </c>
      <c r="AU575">
        <v>0</v>
      </c>
      <c r="AV575">
        <v>1</v>
      </c>
      <c r="AW575">
        <v>1</v>
      </c>
      <c r="AX575">
        <v>0</v>
      </c>
      <c r="AY575" t="s">
        <v>1642</v>
      </c>
    </row>
    <row r="576" spans="1:51">
      <c r="A576" t="s">
        <v>1127</v>
      </c>
      <c r="B576" t="s">
        <v>1176</v>
      </c>
      <c r="C576" t="s">
        <v>1129</v>
      </c>
      <c r="D576" t="s">
        <v>1156</v>
      </c>
      <c r="E576" t="s">
        <v>96</v>
      </c>
      <c r="F576">
        <v>10</v>
      </c>
      <c r="G576" t="s">
        <v>185</v>
      </c>
      <c r="H576" t="s">
        <v>84</v>
      </c>
      <c r="I576" t="s">
        <v>186</v>
      </c>
      <c r="J576" t="s">
        <v>1131</v>
      </c>
      <c r="K576" t="s">
        <v>149</v>
      </c>
      <c r="L576" t="s">
        <v>503</v>
      </c>
      <c r="M576" t="s">
        <v>482</v>
      </c>
      <c r="N576" s="7">
        <v>37</v>
      </c>
      <c r="O576" s="7">
        <v>4</v>
      </c>
      <c r="P576" s="7">
        <v>3</v>
      </c>
      <c r="Q576" s="7">
        <v>80</v>
      </c>
      <c r="R576" s="7">
        <v>6</v>
      </c>
      <c r="S576" s="7">
        <v>3</v>
      </c>
      <c r="T576" s="7">
        <v>6.9282032302755088</v>
      </c>
      <c r="U576" s="7">
        <v>10.392304845413264</v>
      </c>
      <c r="V576" s="7">
        <v>0.77110872202965719</v>
      </c>
      <c r="W576" s="7">
        <v>1.731236303871439E-2</v>
      </c>
      <c r="X576" t="s">
        <v>1132</v>
      </c>
      <c r="Y576" t="s">
        <v>89</v>
      </c>
      <c r="Z576" t="s">
        <v>515</v>
      </c>
      <c r="AA576" t="s">
        <v>1177</v>
      </c>
      <c r="AB576" t="s">
        <v>92</v>
      </c>
      <c r="AC576" t="s">
        <v>1127</v>
      </c>
      <c r="AD576" t="s">
        <v>1127</v>
      </c>
      <c r="AE576" t="s">
        <v>1839</v>
      </c>
      <c r="AF576" t="s">
        <v>1840</v>
      </c>
      <c r="AG576" t="s">
        <v>1839</v>
      </c>
      <c r="AI576" t="s">
        <v>503</v>
      </c>
      <c r="AJ576" t="s">
        <v>1636</v>
      </c>
      <c r="AK576" t="s">
        <v>1637</v>
      </c>
      <c r="AL576" s="4">
        <v>10</v>
      </c>
      <c r="AM576" t="s">
        <v>185</v>
      </c>
      <c r="AN576">
        <v>10</v>
      </c>
      <c r="AO576" t="s">
        <v>1665</v>
      </c>
      <c r="AP576" t="s">
        <v>1841</v>
      </c>
      <c r="AQ576" t="s">
        <v>1640</v>
      </c>
      <c r="AR576" t="s">
        <v>1641</v>
      </c>
      <c r="AS576">
        <v>1</v>
      </c>
      <c r="AT576">
        <v>0</v>
      </c>
      <c r="AU576">
        <v>0</v>
      </c>
      <c r="AV576">
        <v>1</v>
      </c>
      <c r="AW576">
        <v>1</v>
      </c>
      <c r="AX576">
        <v>0</v>
      </c>
      <c r="AY576" t="s">
        <v>1642</v>
      </c>
    </row>
    <row r="577" spans="1:51" ht="54">
      <c r="A577" s="2" t="s">
        <v>1178</v>
      </c>
      <c r="B577" s="2" t="s">
        <v>1179</v>
      </c>
      <c r="C577" s="2" t="s">
        <v>1180</v>
      </c>
      <c r="D577" s="2" t="s">
        <v>1181</v>
      </c>
      <c r="E577" s="2" t="s">
        <v>96</v>
      </c>
      <c r="F577" s="2">
        <v>10</v>
      </c>
      <c r="G577" s="2" t="s">
        <v>185</v>
      </c>
      <c r="H577" s="2" t="s">
        <v>376</v>
      </c>
      <c r="I577" s="2" t="s">
        <v>85</v>
      </c>
      <c r="J577" s="2" t="s">
        <v>880</v>
      </c>
      <c r="K577" s="2" t="s">
        <v>41</v>
      </c>
      <c r="L577" s="2" t="s">
        <v>40</v>
      </c>
      <c r="M577" s="2" t="s">
        <v>1182</v>
      </c>
      <c r="N577" s="2">
        <v>20</v>
      </c>
      <c r="O577" s="2"/>
      <c r="P577" s="2">
        <v>5</v>
      </c>
      <c r="Q577" s="2">
        <v>17.5</v>
      </c>
      <c r="R577" s="2"/>
      <c r="S577" s="2">
        <v>5</v>
      </c>
      <c r="T577" s="2">
        <v>1</v>
      </c>
      <c r="U577" s="2">
        <v>0.8</v>
      </c>
      <c r="V577" s="2">
        <f t="shared" ref="V577:V589" si="0">LN(Q577/N577)</f>
        <v>-0.13353139262452263</v>
      </c>
      <c r="W577" s="2">
        <f t="shared" ref="W577:W589" si="1">(T577^2/(P577*N577^2))+(U577^2/(S577*Q577^2))</f>
        <v>9.1795918367346954E-4</v>
      </c>
      <c r="X577" s="2" t="s">
        <v>1183</v>
      </c>
      <c r="Y577" s="2" t="s">
        <v>89</v>
      </c>
      <c r="Z577" s="2" t="s">
        <v>1184</v>
      </c>
      <c r="AA577" s="2" t="s">
        <v>1185</v>
      </c>
      <c r="AB577" s="2" t="s">
        <v>92</v>
      </c>
      <c r="AC577" s="2" t="s">
        <v>1178</v>
      </c>
      <c r="AD577" s="2" t="s">
        <v>1178</v>
      </c>
      <c r="AE577" s="2" t="s">
        <v>1842</v>
      </c>
      <c r="AF577" s="2" t="s">
        <v>1843</v>
      </c>
      <c r="AG577" s="2" t="s">
        <v>1185</v>
      </c>
      <c r="AH577" s="2"/>
      <c r="AI577" s="2" t="s">
        <v>40</v>
      </c>
      <c r="AJ577" s="2" t="s">
        <v>1636</v>
      </c>
      <c r="AK577" s="2" t="s">
        <v>1637</v>
      </c>
      <c r="AL577" s="2">
        <v>10</v>
      </c>
      <c r="AM577" s="2" t="s">
        <v>185</v>
      </c>
      <c r="AN577" s="2">
        <v>10</v>
      </c>
      <c r="AO577" s="2" t="s">
        <v>1844</v>
      </c>
      <c r="AP577" s="2" t="s">
        <v>1639</v>
      </c>
      <c r="AQ577" s="2" t="s">
        <v>1685</v>
      </c>
      <c r="AR577" s="2" t="s">
        <v>1641</v>
      </c>
      <c r="AS577" s="2">
        <v>1</v>
      </c>
      <c r="AT577" s="2">
        <v>0</v>
      </c>
      <c r="AU577" s="2">
        <v>0</v>
      </c>
      <c r="AV577" s="2">
        <v>1</v>
      </c>
      <c r="AW577" s="2">
        <v>0</v>
      </c>
      <c r="AX577" s="2">
        <f t="shared" ref="AX577:AX589" si="2">IF(ABS(V577)&gt;=1,1,0)</f>
        <v>0</v>
      </c>
      <c r="AY577" s="2" t="s">
        <v>1845</v>
      </c>
    </row>
    <row r="578" spans="1:51" ht="54">
      <c r="A578" s="2" t="s">
        <v>1178</v>
      </c>
      <c r="B578" s="2" t="s">
        <v>1186</v>
      </c>
      <c r="C578" s="2" t="s">
        <v>1180</v>
      </c>
      <c r="D578" s="2" t="s">
        <v>1181</v>
      </c>
      <c r="E578" s="2" t="s">
        <v>96</v>
      </c>
      <c r="F578" s="2">
        <v>10</v>
      </c>
      <c r="G578" s="2" t="s">
        <v>185</v>
      </c>
      <c r="H578" s="2" t="s">
        <v>376</v>
      </c>
      <c r="I578" s="2" t="s">
        <v>85</v>
      </c>
      <c r="J578" s="2" t="s">
        <v>880</v>
      </c>
      <c r="K578" s="2" t="s">
        <v>29</v>
      </c>
      <c r="L578" s="2" t="s">
        <v>40</v>
      </c>
      <c r="M578" s="2" t="s">
        <v>1182</v>
      </c>
      <c r="N578" s="2">
        <v>20</v>
      </c>
      <c r="O578" s="2"/>
      <c r="P578" s="2">
        <v>5</v>
      </c>
      <c r="Q578" s="2">
        <v>11</v>
      </c>
      <c r="R578" s="2"/>
      <c r="S578" s="2">
        <v>5</v>
      </c>
      <c r="T578" s="2">
        <v>0.9</v>
      </c>
      <c r="U578" s="2">
        <v>0.7</v>
      </c>
      <c r="V578" s="2">
        <f t="shared" si="0"/>
        <v>-0.59783700075562041</v>
      </c>
      <c r="W578" s="2">
        <f t="shared" si="1"/>
        <v>1.2149173553719008E-3</v>
      </c>
      <c r="X578" s="2" t="s">
        <v>1183</v>
      </c>
      <c r="Y578" s="2" t="s">
        <v>89</v>
      </c>
      <c r="Z578" s="2" t="s">
        <v>1184</v>
      </c>
      <c r="AA578" s="2" t="s">
        <v>1185</v>
      </c>
      <c r="AB578" s="2" t="s">
        <v>92</v>
      </c>
      <c r="AC578" s="2" t="s">
        <v>1178</v>
      </c>
      <c r="AD578" s="2" t="s">
        <v>1178</v>
      </c>
      <c r="AE578" s="2" t="s">
        <v>1842</v>
      </c>
      <c r="AF578" s="2" t="s">
        <v>1843</v>
      </c>
      <c r="AG578" s="2" t="s">
        <v>1185</v>
      </c>
      <c r="AH578" s="2"/>
      <c r="AI578" s="2" t="s">
        <v>40</v>
      </c>
      <c r="AJ578" s="2" t="s">
        <v>1636</v>
      </c>
      <c r="AK578" s="2" t="s">
        <v>1637</v>
      </c>
      <c r="AL578" s="2">
        <v>10</v>
      </c>
      <c r="AM578" s="2" t="s">
        <v>185</v>
      </c>
      <c r="AN578" s="2">
        <v>10</v>
      </c>
      <c r="AO578" s="2" t="s">
        <v>1844</v>
      </c>
      <c r="AP578" s="2" t="s">
        <v>1639</v>
      </c>
      <c r="AQ578" s="2" t="s">
        <v>1685</v>
      </c>
      <c r="AR578" s="2" t="s">
        <v>1641</v>
      </c>
      <c r="AS578" s="2">
        <v>1</v>
      </c>
      <c r="AT578" s="2">
        <v>0</v>
      </c>
      <c r="AU578" s="2">
        <v>0</v>
      </c>
      <c r="AV578" s="2">
        <v>1</v>
      </c>
      <c r="AW578" s="2">
        <v>0</v>
      </c>
      <c r="AX578" s="2">
        <f t="shared" si="2"/>
        <v>0</v>
      </c>
      <c r="AY578" s="2" t="s">
        <v>1845</v>
      </c>
    </row>
    <row r="579" spans="1:51" ht="54">
      <c r="A579" s="2" t="s">
        <v>1178</v>
      </c>
      <c r="B579" s="2" t="s">
        <v>1187</v>
      </c>
      <c r="C579" s="2" t="s">
        <v>1180</v>
      </c>
      <c r="D579" s="2" t="s">
        <v>1188</v>
      </c>
      <c r="E579" s="2" t="s">
        <v>96</v>
      </c>
      <c r="F579" s="2">
        <v>10</v>
      </c>
      <c r="G579" s="2" t="s">
        <v>185</v>
      </c>
      <c r="H579" s="2" t="s">
        <v>376</v>
      </c>
      <c r="I579" s="2" t="s">
        <v>85</v>
      </c>
      <c r="J579" s="2" t="s">
        <v>880</v>
      </c>
      <c r="K579" s="2" t="s">
        <v>41</v>
      </c>
      <c r="L579" s="2" t="s">
        <v>40</v>
      </c>
      <c r="M579" s="2" t="s">
        <v>1182</v>
      </c>
      <c r="N579" s="2">
        <v>14.5</v>
      </c>
      <c r="O579" s="2"/>
      <c r="P579" s="2">
        <v>5</v>
      </c>
      <c r="Q579" s="2">
        <v>21</v>
      </c>
      <c r="R579" s="2"/>
      <c r="S579" s="2">
        <v>5</v>
      </c>
      <c r="T579" s="2">
        <v>0.8</v>
      </c>
      <c r="U579" s="2">
        <v>0.9</v>
      </c>
      <c r="V579" s="2">
        <f t="shared" si="0"/>
        <v>0.37037378829689427</v>
      </c>
      <c r="W579" s="2">
        <f t="shared" si="1"/>
        <v>9.7614598752699669E-4</v>
      </c>
      <c r="X579" s="2" t="s">
        <v>1183</v>
      </c>
      <c r="Y579" s="2" t="s">
        <v>89</v>
      </c>
      <c r="Z579" s="2" t="s">
        <v>1184</v>
      </c>
      <c r="AA579" s="2" t="s">
        <v>1189</v>
      </c>
      <c r="AB579" s="2" t="s">
        <v>92</v>
      </c>
      <c r="AC579" s="2" t="s">
        <v>1178</v>
      </c>
      <c r="AD579" s="2" t="s">
        <v>1178</v>
      </c>
      <c r="AE579" s="2" t="s">
        <v>1846</v>
      </c>
      <c r="AF579" s="2" t="s">
        <v>1847</v>
      </c>
      <c r="AG579" s="2" t="s">
        <v>1189</v>
      </c>
      <c r="AH579" s="2"/>
      <c r="AI579" s="2" t="s">
        <v>40</v>
      </c>
      <c r="AJ579" s="2" t="s">
        <v>1636</v>
      </c>
      <c r="AK579" s="2" t="s">
        <v>1637</v>
      </c>
      <c r="AL579" s="2">
        <v>10</v>
      </c>
      <c r="AM579" s="2" t="s">
        <v>185</v>
      </c>
      <c r="AN579" s="2">
        <v>10</v>
      </c>
      <c r="AO579" s="2" t="s">
        <v>1844</v>
      </c>
      <c r="AP579" s="2" t="s">
        <v>1639</v>
      </c>
      <c r="AQ579" s="2" t="s">
        <v>1685</v>
      </c>
      <c r="AR579" s="2" t="s">
        <v>1641</v>
      </c>
      <c r="AS579" s="2">
        <v>1</v>
      </c>
      <c r="AT579" s="2">
        <v>0</v>
      </c>
      <c r="AU579" s="2">
        <v>0</v>
      </c>
      <c r="AV579" s="2">
        <v>1</v>
      </c>
      <c r="AW579" s="2">
        <v>0</v>
      </c>
      <c r="AX579" s="2">
        <f t="shared" si="2"/>
        <v>0</v>
      </c>
      <c r="AY579" s="2" t="s">
        <v>1845</v>
      </c>
    </row>
    <row r="580" spans="1:51" ht="54">
      <c r="A580" s="2" t="s">
        <v>1178</v>
      </c>
      <c r="B580" s="2" t="s">
        <v>1190</v>
      </c>
      <c r="C580" s="2" t="s">
        <v>1180</v>
      </c>
      <c r="D580" s="2" t="s">
        <v>1188</v>
      </c>
      <c r="E580" s="2" t="s">
        <v>96</v>
      </c>
      <c r="F580" s="2">
        <v>10</v>
      </c>
      <c r="G580" s="2" t="s">
        <v>185</v>
      </c>
      <c r="H580" s="2" t="s">
        <v>376</v>
      </c>
      <c r="I580" s="2" t="s">
        <v>85</v>
      </c>
      <c r="J580" s="2" t="s">
        <v>880</v>
      </c>
      <c r="K580" s="2" t="s">
        <v>29</v>
      </c>
      <c r="L580" s="2" t="s">
        <v>40</v>
      </c>
      <c r="M580" s="2" t="s">
        <v>1182</v>
      </c>
      <c r="N580" s="2">
        <v>16</v>
      </c>
      <c r="O580" s="2"/>
      <c r="P580" s="2">
        <v>5</v>
      </c>
      <c r="Q580" s="2">
        <v>14</v>
      </c>
      <c r="R580" s="2"/>
      <c r="S580" s="2">
        <v>5</v>
      </c>
      <c r="T580" s="2">
        <v>1</v>
      </c>
      <c r="U580" s="2">
        <v>0.8</v>
      </c>
      <c r="V580" s="2">
        <f t="shared" si="0"/>
        <v>-0.13353139262452263</v>
      </c>
      <c r="W580" s="2">
        <f t="shared" si="1"/>
        <v>1.4343112244897961E-3</v>
      </c>
      <c r="X580" s="2" t="s">
        <v>1183</v>
      </c>
      <c r="Y580" s="2" t="s">
        <v>89</v>
      </c>
      <c r="Z580" s="2" t="s">
        <v>1184</v>
      </c>
      <c r="AA580" s="2" t="s">
        <v>1189</v>
      </c>
      <c r="AB580" s="2" t="s">
        <v>92</v>
      </c>
      <c r="AC580" s="2" t="s">
        <v>1178</v>
      </c>
      <c r="AD580" s="2" t="s">
        <v>1178</v>
      </c>
      <c r="AE580" s="2" t="s">
        <v>1846</v>
      </c>
      <c r="AF580" s="2" t="s">
        <v>1847</v>
      </c>
      <c r="AG580" s="2" t="s">
        <v>1189</v>
      </c>
      <c r="AH580" s="2"/>
      <c r="AI580" s="2" t="s">
        <v>40</v>
      </c>
      <c r="AJ580" s="2" t="s">
        <v>1636</v>
      </c>
      <c r="AK580" s="2" t="s">
        <v>1637</v>
      </c>
      <c r="AL580" s="2">
        <v>10</v>
      </c>
      <c r="AM580" s="2" t="s">
        <v>185</v>
      </c>
      <c r="AN580" s="2">
        <v>10</v>
      </c>
      <c r="AO580" s="2" t="s">
        <v>1844</v>
      </c>
      <c r="AP580" s="2" t="s">
        <v>1639</v>
      </c>
      <c r="AQ580" s="2" t="s">
        <v>1685</v>
      </c>
      <c r="AR580" s="2" t="s">
        <v>1641</v>
      </c>
      <c r="AS580" s="2">
        <v>1</v>
      </c>
      <c r="AT580" s="2">
        <v>0</v>
      </c>
      <c r="AU580" s="2">
        <v>0</v>
      </c>
      <c r="AV580" s="2">
        <v>1</v>
      </c>
      <c r="AW580" s="2">
        <v>0</v>
      </c>
      <c r="AX580" s="2">
        <f t="shared" si="2"/>
        <v>0</v>
      </c>
      <c r="AY580" s="2" t="s">
        <v>1845</v>
      </c>
    </row>
    <row r="581" spans="1:51" ht="67.5">
      <c r="A581" s="2" t="s">
        <v>1191</v>
      </c>
      <c r="B581" s="2" t="s">
        <v>1192</v>
      </c>
      <c r="C581" s="2" t="s">
        <v>1193</v>
      </c>
      <c r="D581" s="2" t="s">
        <v>1194</v>
      </c>
      <c r="E581" s="2" t="s">
        <v>96</v>
      </c>
      <c r="F581" s="2">
        <v>150</v>
      </c>
      <c r="G581" s="2" t="s">
        <v>185</v>
      </c>
      <c r="H581" s="2" t="s">
        <v>879</v>
      </c>
      <c r="I581" s="2" t="s">
        <v>85</v>
      </c>
      <c r="J581" s="2" t="s">
        <v>86</v>
      </c>
      <c r="K581" s="2" t="s">
        <v>29</v>
      </c>
      <c r="L581" s="2" t="s">
        <v>40</v>
      </c>
      <c r="M581" s="2" t="s">
        <v>188</v>
      </c>
      <c r="N581" s="2">
        <v>38</v>
      </c>
      <c r="O581" s="2"/>
      <c r="P581" s="2">
        <v>3</v>
      </c>
      <c r="Q581" s="2">
        <v>21</v>
      </c>
      <c r="R581" s="2"/>
      <c r="S581" s="2">
        <v>3</v>
      </c>
      <c r="T581" s="2">
        <v>8</v>
      </c>
      <c r="U581" s="2">
        <v>2</v>
      </c>
      <c r="V581" s="2">
        <f t="shared" si="0"/>
        <v>-0.59306372200296265</v>
      </c>
      <c r="W581" s="2">
        <f t="shared" si="1"/>
        <v>1.7797208141489898E-2</v>
      </c>
      <c r="X581" s="2" t="s">
        <v>898</v>
      </c>
      <c r="Y581" s="2" t="s">
        <v>89</v>
      </c>
      <c r="Z581" s="2" t="s">
        <v>1184</v>
      </c>
      <c r="AA581" s="2" t="s">
        <v>1195</v>
      </c>
      <c r="AB581" s="2" t="s">
        <v>92</v>
      </c>
      <c r="AC581" s="2" t="s">
        <v>1191</v>
      </c>
      <c r="AD581" s="2" t="s">
        <v>1191</v>
      </c>
      <c r="AE581" s="2" t="s">
        <v>1848</v>
      </c>
      <c r="AF581" s="2" t="s">
        <v>1849</v>
      </c>
      <c r="AG581" s="2" t="s">
        <v>1195</v>
      </c>
      <c r="AH581" s="2"/>
      <c r="AI581" s="2" t="s">
        <v>40</v>
      </c>
      <c r="AJ581" s="2" t="s">
        <v>1636</v>
      </c>
      <c r="AK581" s="2" t="s">
        <v>1637</v>
      </c>
      <c r="AL581" s="2">
        <v>150</v>
      </c>
      <c r="AM581" s="2" t="s">
        <v>185</v>
      </c>
      <c r="AN581" s="2">
        <v>150</v>
      </c>
      <c r="AO581" s="2" t="s">
        <v>1844</v>
      </c>
      <c r="AP581" s="2" t="s">
        <v>1639</v>
      </c>
      <c r="AQ581" s="2" t="s">
        <v>1685</v>
      </c>
      <c r="AR581" s="2" t="s">
        <v>1641</v>
      </c>
      <c r="AS581" s="2">
        <v>1</v>
      </c>
      <c r="AT581" s="2">
        <v>0</v>
      </c>
      <c r="AU581" s="2">
        <v>0</v>
      </c>
      <c r="AV581" s="2">
        <v>1</v>
      </c>
      <c r="AW581" s="2">
        <v>0</v>
      </c>
      <c r="AX581" s="2">
        <f t="shared" si="2"/>
        <v>0</v>
      </c>
      <c r="AY581" s="2" t="s">
        <v>1845</v>
      </c>
    </row>
    <row r="582" spans="1:51" ht="67.5">
      <c r="A582" s="2" t="s">
        <v>1191</v>
      </c>
      <c r="B582" s="2" t="s">
        <v>1196</v>
      </c>
      <c r="C582" s="2" t="s">
        <v>1193</v>
      </c>
      <c r="D582" s="2" t="s">
        <v>1194</v>
      </c>
      <c r="E582" s="2" t="s">
        <v>96</v>
      </c>
      <c r="F582" s="2">
        <v>150</v>
      </c>
      <c r="G582" s="2" t="s">
        <v>185</v>
      </c>
      <c r="H582" s="2" t="s">
        <v>879</v>
      </c>
      <c r="I582" s="2" t="s">
        <v>85</v>
      </c>
      <c r="J582" s="2" t="s">
        <v>86</v>
      </c>
      <c r="K582" s="2" t="s">
        <v>1197</v>
      </c>
      <c r="L582" s="2" t="s">
        <v>40</v>
      </c>
      <c r="M582" s="2" t="s">
        <v>188</v>
      </c>
      <c r="N582" s="2">
        <v>7.5</v>
      </c>
      <c r="O582" s="2"/>
      <c r="P582" s="2">
        <v>3</v>
      </c>
      <c r="Q582" s="2">
        <v>7</v>
      </c>
      <c r="R582" s="2"/>
      <c r="S582" s="2">
        <v>3</v>
      </c>
      <c r="T582" s="2">
        <v>0.8</v>
      </c>
      <c r="U582" s="2">
        <v>0.6</v>
      </c>
      <c r="V582" s="2">
        <f t="shared" si="0"/>
        <v>-6.8992871486951435E-2</v>
      </c>
      <c r="W582" s="2">
        <f t="shared" si="1"/>
        <v>6.2415721844293285E-3</v>
      </c>
      <c r="X582" s="2" t="s">
        <v>898</v>
      </c>
      <c r="Y582" s="2" t="s">
        <v>89</v>
      </c>
      <c r="Z582" s="2" t="s">
        <v>1184</v>
      </c>
      <c r="AA582" s="2" t="s">
        <v>1195</v>
      </c>
      <c r="AB582" s="2" t="s">
        <v>92</v>
      </c>
      <c r="AC582" s="2" t="s">
        <v>1191</v>
      </c>
      <c r="AD582" s="2" t="s">
        <v>1191</v>
      </c>
      <c r="AE582" s="2" t="s">
        <v>1848</v>
      </c>
      <c r="AF582" s="2" t="s">
        <v>1849</v>
      </c>
      <c r="AG582" s="2" t="s">
        <v>1195</v>
      </c>
      <c r="AH582" s="2"/>
      <c r="AI582" s="2" t="s">
        <v>40</v>
      </c>
      <c r="AJ582" s="2" t="s">
        <v>1636</v>
      </c>
      <c r="AK582" s="2" t="s">
        <v>1637</v>
      </c>
      <c r="AL582" s="2">
        <v>150</v>
      </c>
      <c r="AM582" s="2" t="s">
        <v>185</v>
      </c>
      <c r="AN582" s="2">
        <v>150</v>
      </c>
      <c r="AO582" s="2" t="s">
        <v>1844</v>
      </c>
      <c r="AP582" s="2" t="s">
        <v>1639</v>
      </c>
      <c r="AQ582" s="2" t="s">
        <v>1685</v>
      </c>
      <c r="AR582" s="2" t="s">
        <v>1641</v>
      </c>
      <c r="AS582" s="2">
        <v>1</v>
      </c>
      <c r="AT582" s="2">
        <v>0</v>
      </c>
      <c r="AU582" s="2">
        <v>0</v>
      </c>
      <c r="AV582" s="2">
        <v>1</v>
      </c>
      <c r="AW582" s="2">
        <v>0</v>
      </c>
      <c r="AX582" s="2">
        <f t="shared" si="2"/>
        <v>0</v>
      </c>
      <c r="AY582" s="2" t="s">
        <v>1845</v>
      </c>
    </row>
    <row r="583" spans="1:51" ht="67.5">
      <c r="A583" s="2" t="s">
        <v>1191</v>
      </c>
      <c r="B583" s="2" t="s">
        <v>1198</v>
      </c>
      <c r="C583" s="2" t="s">
        <v>1193</v>
      </c>
      <c r="D583" s="2" t="s">
        <v>1194</v>
      </c>
      <c r="E583" s="2" t="s">
        <v>96</v>
      </c>
      <c r="F583" s="2">
        <v>150</v>
      </c>
      <c r="G583" s="2" t="s">
        <v>185</v>
      </c>
      <c r="H583" s="2" t="s">
        <v>879</v>
      </c>
      <c r="I583" s="2" t="s">
        <v>85</v>
      </c>
      <c r="J583" s="2" t="s">
        <v>86</v>
      </c>
      <c r="K583" s="2" t="s">
        <v>149</v>
      </c>
      <c r="L583" s="2" t="s">
        <v>40</v>
      </c>
      <c r="M583" s="2" t="s">
        <v>188</v>
      </c>
      <c r="N583" s="2">
        <v>11</v>
      </c>
      <c r="O583" s="2"/>
      <c r="P583" s="2">
        <v>3</v>
      </c>
      <c r="Q583" s="2">
        <v>18.5</v>
      </c>
      <c r="R583" s="2"/>
      <c r="S583" s="2">
        <v>3</v>
      </c>
      <c r="T583" s="2">
        <v>1.5</v>
      </c>
      <c r="U583" s="2">
        <v>1</v>
      </c>
      <c r="V583" s="2">
        <f t="shared" si="0"/>
        <v>0.51987545928590861</v>
      </c>
      <c r="W583" s="2">
        <f t="shared" si="1"/>
        <v>7.1722940273308824E-3</v>
      </c>
      <c r="X583" s="2" t="s">
        <v>898</v>
      </c>
      <c r="Y583" s="2" t="s">
        <v>89</v>
      </c>
      <c r="Z583" s="2" t="s">
        <v>1184</v>
      </c>
      <c r="AA583" s="2" t="s">
        <v>1195</v>
      </c>
      <c r="AB583" s="2" t="s">
        <v>92</v>
      </c>
      <c r="AC583" s="2" t="s">
        <v>1191</v>
      </c>
      <c r="AD583" s="2" t="s">
        <v>1191</v>
      </c>
      <c r="AE583" s="2" t="s">
        <v>1848</v>
      </c>
      <c r="AF583" s="2" t="s">
        <v>1849</v>
      </c>
      <c r="AG583" s="2" t="s">
        <v>1195</v>
      </c>
      <c r="AH583" s="2"/>
      <c r="AI583" s="2" t="s">
        <v>40</v>
      </c>
      <c r="AJ583" s="2" t="s">
        <v>1636</v>
      </c>
      <c r="AK583" s="2" t="s">
        <v>1637</v>
      </c>
      <c r="AL583" s="2">
        <v>150</v>
      </c>
      <c r="AM583" s="2" t="s">
        <v>185</v>
      </c>
      <c r="AN583" s="2">
        <v>150</v>
      </c>
      <c r="AO583" s="2" t="s">
        <v>1844</v>
      </c>
      <c r="AP583" s="2" t="s">
        <v>1639</v>
      </c>
      <c r="AQ583" s="2" t="s">
        <v>1685</v>
      </c>
      <c r="AR583" s="2" t="s">
        <v>1641</v>
      </c>
      <c r="AS583" s="2">
        <v>1</v>
      </c>
      <c r="AT583" s="2">
        <v>0</v>
      </c>
      <c r="AU583" s="2">
        <v>0</v>
      </c>
      <c r="AV583" s="2">
        <v>1</v>
      </c>
      <c r="AW583" s="2">
        <v>0</v>
      </c>
      <c r="AX583" s="2">
        <f t="shared" si="2"/>
        <v>0</v>
      </c>
      <c r="AY583" s="2" t="s">
        <v>1845</v>
      </c>
    </row>
    <row r="584" spans="1:51" ht="67.5">
      <c r="A584" s="2" t="s">
        <v>1191</v>
      </c>
      <c r="B584" s="2" t="s">
        <v>1199</v>
      </c>
      <c r="C584" s="2" t="s">
        <v>1193</v>
      </c>
      <c r="D584" s="2" t="s">
        <v>1194</v>
      </c>
      <c r="E584" s="2" t="s">
        <v>96</v>
      </c>
      <c r="F584" s="2">
        <v>150</v>
      </c>
      <c r="G584" s="2" t="s">
        <v>185</v>
      </c>
      <c r="H584" s="2" t="s">
        <v>879</v>
      </c>
      <c r="I584" s="2" t="s">
        <v>85</v>
      </c>
      <c r="J584" s="2" t="s">
        <v>86</v>
      </c>
      <c r="K584" s="2" t="s">
        <v>29</v>
      </c>
      <c r="L584" s="2" t="s">
        <v>337</v>
      </c>
      <c r="M584" s="2" t="s">
        <v>188</v>
      </c>
      <c r="N584" s="2">
        <v>11.5</v>
      </c>
      <c r="O584" s="2"/>
      <c r="P584" s="2">
        <v>3</v>
      </c>
      <c r="Q584" s="2">
        <v>6.8</v>
      </c>
      <c r="R584" s="2"/>
      <c r="S584" s="2">
        <v>3</v>
      </c>
      <c r="T584" s="2">
        <v>0.8</v>
      </c>
      <c r="U584" s="2">
        <v>0.8</v>
      </c>
      <c r="V584" s="2">
        <f t="shared" si="0"/>
        <v>-0.52542442318714333</v>
      </c>
      <c r="W584" s="2">
        <f t="shared" si="1"/>
        <v>6.2267166401754762E-3</v>
      </c>
      <c r="X584" s="2" t="s">
        <v>1200</v>
      </c>
      <c r="Y584" s="2" t="s">
        <v>89</v>
      </c>
      <c r="Z584" s="2" t="s">
        <v>1184</v>
      </c>
      <c r="AA584" s="2" t="s">
        <v>1195</v>
      </c>
      <c r="AB584" s="2" t="s">
        <v>92</v>
      </c>
      <c r="AC584" s="2" t="s">
        <v>1191</v>
      </c>
      <c r="AD584" s="2" t="s">
        <v>1191</v>
      </c>
      <c r="AE584" s="2" t="s">
        <v>1848</v>
      </c>
      <c r="AF584" s="2" t="s">
        <v>1849</v>
      </c>
      <c r="AG584" s="2" t="s">
        <v>1195</v>
      </c>
      <c r="AH584" s="2"/>
      <c r="AI584" s="2" t="s">
        <v>337</v>
      </c>
      <c r="AJ584" s="2" t="s">
        <v>1636</v>
      </c>
      <c r="AK584" s="2" t="s">
        <v>1637</v>
      </c>
      <c r="AL584" s="2">
        <v>150</v>
      </c>
      <c r="AM584" s="2" t="s">
        <v>185</v>
      </c>
      <c r="AN584" s="2">
        <v>150</v>
      </c>
      <c r="AO584" s="2" t="s">
        <v>1844</v>
      </c>
      <c r="AP584" s="2" t="s">
        <v>1639</v>
      </c>
      <c r="AQ584" s="2" t="s">
        <v>1685</v>
      </c>
      <c r="AR584" s="2" t="s">
        <v>1641</v>
      </c>
      <c r="AS584" s="2">
        <v>1</v>
      </c>
      <c r="AT584" s="2">
        <v>0</v>
      </c>
      <c r="AU584" s="2">
        <v>0</v>
      </c>
      <c r="AV584" s="2">
        <v>1</v>
      </c>
      <c r="AW584" s="2">
        <v>0</v>
      </c>
      <c r="AX584" s="2">
        <f t="shared" si="2"/>
        <v>0</v>
      </c>
      <c r="AY584" s="2" t="s">
        <v>1845</v>
      </c>
    </row>
    <row r="585" spans="1:51" ht="67.5">
      <c r="A585" s="2" t="s">
        <v>1191</v>
      </c>
      <c r="B585" s="2" t="s">
        <v>1201</v>
      </c>
      <c r="C585" s="2" t="s">
        <v>1193</v>
      </c>
      <c r="D585" s="2" t="s">
        <v>1194</v>
      </c>
      <c r="E585" s="2" t="s">
        <v>96</v>
      </c>
      <c r="F585" s="2">
        <v>150</v>
      </c>
      <c r="G585" s="2" t="s">
        <v>185</v>
      </c>
      <c r="H585" s="2" t="s">
        <v>879</v>
      </c>
      <c r="I585" s="2" t="s">
        <v>85</v>
      </c>
      <c r="J585" s="2" t="s">
        <v>86</v>
      </c>
      <c r="K585" s="2" t="s">
        <v>1197</v>
      </c>
      <c r="L585" s="2" t="s">
        <v>337</v>
      </c>
      <c r="M585" s="2" t="s">
        <v>188</v>
      </c>
      <c r="N585" s="2">
        <v>3</v>
      </c>
      <c r="O585" s="2"/>
      <c r="P585" s="2">
        <v>3</v>
      </c>
      <c r="Q585" s="2">
        <v>3.2</v>
      </c>
      <c r="R585" s="2"/>
      <c r="S585" s="2">
        <v>3</v>
      </c>
      <c r="T585" s="2">
        <v>0.3</v>
      </c>
      <c r="U585" s="2">
        <v>0.5</v>
      </c>
      <c r="V585" s="2">
        <f t="shared" si="0"/>
        <v>6.4538521137571164E-2</v>
      </c>
      <c r="W585" s="2">
        <f t="shared" si="1"/>
        <v>1.1471354166666666E-2</v>
      </c>
      <c r="X585" s="2" t="s">
        <v>1200</v>
      </c>
      <c r="Y585" s="2" t="s">
        <v>89</v>
      </c>
      <c r="Z585" s="2" t="s">
        <v>1184</v>
      </c>
      <c r="AA585" s="2" t="s">
        <v>1195</v>
      </c>
      <c r="AB585" s="2" t="s">
        <v>92</v>
      </c>
      <c r="AC585" s="2" t="s">
        <v>1191</v>
      </c>
      <c r="AD585" s="2" t="s">
        <v>1191</v>
      </c>
      <c r="AE585" s="2" t="s">
        <v>1848</v>
      </c>
      <c r="AF585" s="2" t="s">
        <v>1849</v>
      </c>
      <c r="AG585" s="2" t="s">
        <v>1195</v>
      </c>
      <c r="AH585" s="2"/>
      <c r="AI585" s="2" t="s">
        <v>337</v>
      </c>
      <c r="AJ585" s="2" t="s">
        <v>1636</v>
      </c>
      <c r="AK585" s="2" t="s">
        <v>1637</v>
      </c>
      <c r="AL585" s="2">
        <v>150</v>
      </c>
      <c r="AM585" s="2" t="s">
        <v>185</v>
      </c>
      <c r="AN585" s="2">
        <v>150</v>
      </c>
      <c r="AO585" s="2" t="s">
        <v>1844</v>
      </c>
      <c r="AP585" s="2" t="s">
        <v>1639</v>
      </c>
      <c r="AQ585" s="2" t="s">
        <v>1685</v>
      </c>
      <c r="AR585" s="2" t="s">
        <v>1641</v>
      </c>
      <c r="AS585" s="2">
        <v>1</v>
      </c>
      <c r="AT585" s="2">
        <v>0</v>
      </c>
      <c r="AU585" s="2">
        <v>0</v>
      </c>
      <c r="AV585" s="2">
        <v>1</v>
      </c>
      <c r="AW585" s="2">
        <v>0</v>
      </c>
      <c r="AX585" s="2">
        <f t="shared" si="2"/>
        <v>0</v>
      </c>
      <c r="AY585" s="2" t="s">
        <v>1845</v>
      </c>
    </row>
    <row r="586" spans="1:51" ht="67.5">
      <c r="A586" s="2" t="s">
        <v>1191</v>
      </c>
      <c r="B586" s="2" t="s">
        <v>1202</v>
      </c>
      <c r="C586" s="2" t="s">
        <v>1193</v>
      </c>
      <c r="D586" s="2" t="s">
        <v>1194</v>
      </c>
      <c r="E586" s="2" t="s">
        <v>96</v>
      </c>
      <c r="F586" s="2">
        <v>150</v>
      </c>
      <c r="G586" s="2" t="s">
        <v>185</v>
      </c>
      <c r="H586" s="2" t="s">
        <v>879</v>
      </c>
      <c r="I586" s="2" t="s">
        <v>85</v>
      </c>
      <c r="J586" s="2" t="s">
        <v>86</v>
      </c>
      <c r="K586" s="2" t="s">
        <v>149</v>
      </c>
      <c r="L586" s="2" t="s">
        <v>337</v>
      </c>
      <c r="M586" s="2" t="s">
        <v>188</v>
      </c>
      <c r="N586" s="2">
        <v>2.5</v>
      </c>
      <c r="O586" s="2"/>
      <c r="P586" s="2">
        <v>3</v>
      </c>
      <c r="Q586" s="2">
        <v>3.2</v>
      </c>
      <c r="R586" s="2"/>
      <c r="S586" s="2">
        <v>3</v>
      </c>
      <c r="T586" s="2">
        <v>0.3</v>
      </c>
      <c r="U586" s="2">
        <v>0.3</v>
      </c>
      <c r="V586" s="2">
        <f t="shared" si="0"/>
        <v>0.24686007793152581</v>
      </c>
      <c r="W586" s="2">
        <f t="shared" si="1"/>
        <v>7.7296874999999987E-3</v>
      </c>
      <c r="X586" s="2" t="s">
        <v>1200</v>
      </c>
      <c r="Y586" s="2" t="s">
        <v>89</v>
      </c>
      <c r="Z586" s="2" t="s">
        <v>1184</v>
      </c>
      <c r="AA586" s="2" t="s">
        <v>1195</v>
      </c>
      <c r="AB586" s="2" t="s">
        <v>92</v>
      </c>
      <c r="AC586" s="2" t="s">
        <v>1191</v>
      </c>
      <c r="AD586" s="2" t="s">
        <v>1191</v>
      </c>
      <c r="AE586" s="2" t="s">
        <v>1848</v>
      </c>
      <c r="AF586" s="2" t="s">
        <v>1849</v>
      </c>
      <c r="AG586" s="2" t="s">
        <v>1195</v>
      </c>
      <c r="AH586" s="2"/>
      <c r="AI586" s="2" t="s">
        <v>337</v>
      </c>
      <c r="AJ586" s="2" t="s">
        <v>1636</v>
      </c>
      <c r="AK586" s="2" t="s">
        <v>1637</v>
      </c>
      <c r="AL586" s="2">
        <v>150</v>
      </c>
      <c r="AM586" s="2" t="s">
        <v>185</v>
      </c>
      <c r="AN586" s="2">
        <v>150</v>
      </c>
      <c r="AO586" s="2" t="s">
        <v>1844</v>
      </c>
      <c r="AP586" s="2" t="s">
        <v>1639</v>
      </c>
      <c r="AQ586" s="2" t="s">
        <v>1685</v>
      </c>
      <c r="AR586" s="2" t="s">
        <v>1641</v>
      </c>
      <c r="AS586" s="2">
        <v>1</v>
      </c>
      <c r="AT586" s="2">
        <v>0</v>
      </c>
      <c r="AU586" s="2">
        <v>0</v>
      </c>
      <c r="AV586" s="2">
        <v>1</v>
      </c>
      <c r="AW586" s="2">
        <v>0</v>
      </c>
      <c r="AX586" s="2">
        <f t="shared" si="2"/>
        <v>0</v>
      </c>
      <c r="AY586" s="2" t="s">
        <v>1845</v>
      </c>
    </row>
    <row r="587" spans="1:51" ht="67.5">
      <c r="A587" s="2" t="s">
        <v>1191</v>
      </c>
      <c r="B587" s="2" t="s">
        <v>1203</v>
      </c>
      <c r="C587" s="2" t="s">
        <v>1193</v>
      </c>
      <c r="D587" s="2" t="s">
        <v>1194</v>
      </c>
      <c r="E587" s="2" t="s">
        <v>96</v>
      </c>
      <c r="F587" s="2">
        <v>150</v>
      </c>
      <c r="G587" s="2" t="s">
        <v>185</v>
      </c>
      <c r="H587" s="2" t="s">
        <v>879</v>
      </c>
      <c r="I587" s="2" t="s">
        <v>85</v>
      </c>
      <c r="J587" s="2" t="s">
        <v>86</v>
      </c>
      <c r="K587" s="2" t="s">
        <v>29</v>
      </c>
      <c r="L587" s="2" t="s">
        <v>30</v>
      </c>
      <c r="M587" s="2" t="s">
        <v>188</v>
      </c>
      <c r="N587" s="2">
        <v>4.1100000000000003</v>
      </c>
      <c r="O587" s="2"/>
      <c r="P587" s="2">
        <v>3</v>
      </c>
      <c r="Q587" s="2">
        <v>2.8</v>
      </c>
      <c r="R587" s="2"/>
      <c r="S587" s="2">
        <v>3</v>
      </c>
      <c r="T587" s="2">
        <v>1.3</v>
      </c>
      <c r="U587" s="2">
        <v>0.4</v>
      </c>
      <c r="V587" s="2">
        <f t="shared" si="0"/>
        <v>-0.38380361132698509</v>
      </c>
      <c r="W587" s="2">
        <f t="shared" si="1"/>
        <v>4.0151643563043814E-2</v>
      </c>
      <c r="X587" s="2" t="s">
        <v>1204</v>
      </c>
      <c r="Y587" s="2" t="s">
        <v>89</v>
      </c>
      <c r="Z587" s="2" t="s">
        <v>1184</v>
      </c>
      <c r="AA587" s="2" t="s">
        <v>1195</v>
      </c>
      <c r="AB587" s="2" t="s">
        <v>92</v>
      </c>
      <c r="AC587" s="2" t="s">
        <v>1191</v>
      </c>
      <c r="AD587" s="2" t="s">
        <v>1191</v>
      </c>
      <c r="AE587" s="2" t="s">
        <v>1848</v>
      </c>
      <c r="AF587" s="2" t="s">
        <v>1849</v>
      </c>
      <c r="AG587" s="2" t="s">
        <v>1195</v>
      </c>
      <c r="AH587" s="2"/>
      <c r="AI587" s="2" t="s">
        <v>30</v>
      </c>
      <c r="AJ587" s="2" t="s">
        <v>1636</v>
      </c>
      <c r="AK587" s="2" t="s">
        <v>1637</v>
      </c>
      <c r="AL587" s="2">
        <v>150</v>
      </c>
      <c r="AM587" s="2" t="s">
        <v>185</v>
      </c>
      <c r="AN587" s="2">
        <v>150</v>
      </c>
      <c r="AO587" s="2" t="s">
        <v>1844</v>
      </c>
      <c r="AP587" s="2" t="s">
        <v>1639</v>
      </c>
      <c r="AQ587" s="2" t="s">
        <v>1685</v>
      </c>
      <c r="AR587" s="2" t="s">
        <v>1641</v>
      </c>
      <c r="AS587" s="2">
        <v>1</v>
      </c>
      <c r="AT587" s="2">
        <v>0</v>
      </c>
      <c r="AU587" s="2">
        <v>0</v>
      </c>
      <c r="AV587" s="2">
        <v>1</v>
      </c>
      <c r="AW587" s="2">
        <v>0</v>
      </c>
      <c r="AX587" s="2">
        <f t="shared" si="2"/>
        <v>0</v>
      </c>
      <c r="AY587" s="2" t="s">
        <v>1845</v>
      </c>
    </row>
    <row r="588" spans="1:51" ht="67.5">
      <c r="A588" s="2" t="s">
        <v>1191</v>
      </c>
      <c r="B588" s="2" t="s">
        <v>1205</v>
      </c>
      <c r="C588" s="2" t="s">
        <v>1193</v>
      </c>
      <c r="D588" s="2" t="s">
        <v>1194</v>
      </c>
      <c r="E588" s="2" t="s">
        <v>96</v>
      </c>
      <c r="F588" s="2">
        <v>150</v>
      </c>
      <c r="G588" s="2" t="s">
        <v>185</v>
      </c>
      <c r="H588" s="2" t="s">
        <v>879</v>
      </c>
      <c r="I588" s="2" t="s">
        <v>85</v>
      </c>
      <c r="J588" s="2" t="s">
        <v>86</v>
      </c>
      <c r="K588" s="2" t="s">
        <v>1197</v>
      </c>
      <c r="L588" s="2" t="s">
        <v>30</v>
      </c>
      <c r="M588" s="2" t="s">
        <v>188</v>
      </c>
      <c r="N588" s="2">
        <v>1.7</v>
      </c>
      <c r="O588" s="2"/>
      <c r="P588" s="2">
        <v>3</v>
      </c>
      <c r="Q588" s="2">
        <v>1.5</v>
      </c>
      <c r="R588" s="2"/>
      <c r="S588" s="2">
        <v>3</v>
      </c>
      <c r="T588" s="2">
        <v>0.25</v>
      </c>
      <c r="U588" s="2">
        <v>0.2</v>
      </c>
      <c r="V588" s="2">
        <f t="shared" si="0"/>
        <v>-0.12516314295400605</v>
      </c>
      <c r="W588" s="2">
        <f t="shared" si="1"/>
        <v>1.313469178521082E-2</v>
      </c>
      <c r="X588" s="2" t="s">
        <v>1204</v>
      </c>
      <c r="Y588" s="2" t="s">
        <v>89</v>
      </c>
      <c r="Z588" s="2" t="s">
        <v>1184</v>
      </c>
      <c r="AA588" s="2" t="s">
        <v>1195</v>
      </c>
      <c r="AB588" s="2" t="s">
        <v>92</v>
      </c>
      <c r="AC588" s="2" t="s">
        <v>1191</v>
      </c>
      <c r="AD588" s="2" t="s">
        <v>1191</v>
      </c>
      <c r="AE588" s="2" t="s">
        <v>1848</v>
      </c>
      <c r="AF588" s="2" t="s">
        <v>1849</v>
      </c>
      <c r="AG588" s="2" t="s">
        <v>1195</v>
      </c>
      <c r="AH588" s="2"/>
      <c r="AI588" s="2" t="s">
        <v>30</v>
      </c>
      <c r="AJ588" s="2" t="s">
        <v>1636</v>
      </c>
      <c r="AK588" s="2" t="s">
        <v>1637</v>
      </c>
      <c r="AL588" s="2">
        <v>150</v>
      </c>
      <c r="AM588" s="2" t="s">
        <v>185</v>
      </c>
      <c r="AN588" s="2">
        <v>150</v>
      </c>
      <c r="AO588" s="2" t="s">
        <v>1844</v>
      </c>
      <c r="AP588" s="2" t="s">
        <v>1639</v>
      </c>
      <c r="AQ588" s="2" t="s">
        <v>1685</v>
      </c>
      <c r="AR588" s="2" t="s">
        <v>1641</v>
      </c>
      <c r="AS588" s="2">
        <v>1</v>
      </c>
      <c r="AT588" s="2">
        <v>0</v>
      </c>
      <c r="AU588" s="2">
        <v>0</v>
      </c>
      <c r="AV588" s="2">
        <v>1</v>
      </c>
      <c r="AW588" s="2">
        <v>0</v>
      </c>
      <c r="AX588" s="2">
        <f t="shared" si="2"/>
        <v>0</v>
      </c>
      <c r="AY588" s="2" t="s">
        <v>1845</v>
      </c>
    </row>
    <row r="589" spans="1:51" ht="67.5">
      <c r="A589" s="2" t="s">
        <v>1191</v>
      </c>
      <c r="B589" s="2" t="s">
        <v>1206</v>
      </c>
      <c r="C589" s="2" t="s">
        <v>1193</v>
      </c>
      <c r="D589" s="2" t="s">
        <v>1194</v>
      </c>
      <c r="E589" s="2" t="s">
        <v>96</v>
      </c>
      <c r="F589" s="2">
        <v>150</v>
      </c>
      <c r="G589" s="2" t="s">
        <v>185</v>
      </c>
      <c r="H589" s="2" t="s">
        <v>879</v>
      </c>
      <c r="I589" s="2" t="s">
        <v>85</v>
      </c>
      <c r="J589" s="2" t="s">
        <v>86</v>
      </c>
      <c r="K589" s="2" t="s">
        <v>149</v>
      </c>
      <c r="L589" s="2" t="s">
        <v>30</v>
      </c>
      <c r="M589" s="2" t="s">
        <v>188</v>
      </c>
      <c r="N589" s="2">
        <v>0.8</v>
      </c>
      <c r="O589" s="2"/>
      <c r="P589" s="2">
        <v>3</v>
      </c>
      <c r="Q589" s="2">
        <v>1.4</v>
      </c>
      <c r="R589" s="2"/>
      <c r="S589" s="2">
        <v>3</v>
      </c>
      <c r="T589" s="2">
        <v>0.12</v>
      </c>
      <c r="U589" s="2">
        <v>0.15</v>
      </c>
      <c r="V589" s="2">
        <f t="shared" si="0"/>
        <v>0.55961578793542255</v>
      </c>
      <c r="W589" s="2">
        <f t="shared" si="1"/>
        <v>1.1326530612244897E-2</v>
      </c>
      <c r="X589" s="2" t="s">
        <v>1204</v>
      </c>
      <c r="Y589" s="2" t="s">
        <v>89</v>
      </c>
      <c r="Z589" s="2" t="s">
        <v>1184</v>
      </c>
      <c r="AA589" s="2" t="s">
        <v>1195</v>
      </c>
      <c r="AB589" s="2" t="s">
        <v>92</v>
      </c>
      <c r="AC589" s="2" t="s">
        <v>1191</v>
      </c>
      <c r="AD589" s="2" t="s">
        <v>1191</v>
      </c>
      <c r="AE589" s="2" t="s">
        <v>1848</v>
      </c>
      <c r="AF589" s="2" t="s">
        <v>1849</v>
      </c>
      <c r="AG589" s="2" t="s">
        <v>1195</v>
      </c>
      <c r="AH589" s="2"/>
      <c r="AI589" s="2" t="s">
        <v>30</v>
      </c>
      <c r="AJ589" s="2" t="s">
        <v>1636</v>
      </c>
      <c r="AK589" s="2" t="s">
        <v>1637</v>
      </c>
      <c r="AL589" s="2">
        <v>150</v>
      </c>
      <c r="AM589" s="2" t="s">
        <v>185</v>
      </c>
      <c r="AN589" s="2">
        <v>150</v>
      </c>
      <c r="AO589" s="2" t="s">
        <v>1844</v>
      </c>
      <c r="AP589" s="2" t="s">
        <v>1639</v>
      </c>
      <c r="AQ589" s="2" t="s">
        <v>1685</v>
      </c>
      <c r="AR589" s="2" t="s">
        <v>1641</v>
      </c>
      <c r="AS589" s="2">
        <v>1</v>
      </c>
      <c r="AT589" s="2">
        <v>0</v>
      </c>
      <c r="AU589" s="2">
        <v>0</v>
      </c>
      <c r="AV589" s="2">
        <v>1</v>
      </c>
      <c r="AW589" s="2">
        <v>0</v>
      </c>
      <c r="AX589" s="2">
        <f t="shared" si="2"/>
        <v>0</v>
      </c>
      <c r="AY589" s="2" t="s">
        <v>1845</v>
      </c>
    </row>
  </sheetData>
  <conditionalFormatting sqref="AS2:AX576">
    <cfRule type="dataBar" priority="1">
      <dataBar>
        <cfvo type="min"/>
        <cfvo type="max"/>
        <color rgb="FFA02B93"/>
      </dataBar>
    </cfRule>
  </conditionalFormatting>
  <conditionalFormatting sqref="AS2:AX576"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{6831020D-28B7-25D7-F171-8700E4239008}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31020D-28B7-25D7-F171-8700E4239008}">
            <x14:dataBar>
              <x14:cfvo type="min"/>
              <x14:cfvo type="max"/>
              <x14:negativeFillColor auto="1"/>
              <x14:axisColor auto="1"/>
            </x14:dataBar>
          </x14:cfRule>
          <xm:sqref>AS2:AX576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5"/>
  <sheetViews>
    <sheetView workbookViewId="0"/>
  </sheetViews>
  <sheetFormatPr baseColWidth="10" defaultColWidth="9" defaultRowHeight="13.5"/>
  <cols>
    <col min="1" max="1" width="11" customWidth="1"/>
    <col min="2" max="2" width="14.375" customWidth="1"/>
    <col min="3" max="3" width="5" customWidth="1"/>
    <col min="4" max="4" width="35.375" customWidth="1"/>
  </cols>
  <sheetData>
    <row r="1" spans="1:4" ht="13.9">
      <c r="A1" s="52" t="s">
        <v>57</v>
      </c>
      <c r="B1" s="52" t="s">
        <v>1850</v>
      </c>
      <c r="C1" s="52" t="s">
        <v>63</v>
      </c>
      <c r="D1" s="52" t="s">
        <v>1851</v>
      </c>
    </row>
    <row r="2" spans="1:4">
      <c r="A2" t="s">
        <v>421</v>
      </c>
      <c r="B2">
        <v>174.2</v>
      </c>
      <c r="C2" t="s">
        <v>1852</v>
      </c>
      <c r="D2" t="s">
        <v>1853</v>
      </c>
    </row>
    <row r="3" spans="1:4">
      <c r="A3" t="s">
        <v>750</v>
      </c>
      <c r="B3">
        <v>132.12</v>
      </c>
      <c r="C3" t="s">
        <v>1852</v>
      </c>
      <c r="D3" t="s">
        <v>1853</v>
      </c>
    </row>
    <row r="4" spans="1:4">
      <c r="A4" t="s">
        <v>562</v>
      </c>
      <c r="B4">
        <v>147.13</v>
      </c>
      <c r="C4" t="s">
        <v>1852</v>
      </c>
      <c r="D4" t="s">
        <v>1853</v>
      </c>
    </row>
    <row r="5" spans="1:4">
      <c r="A5" t="s">
        <v>1105</v>
      </c>
      <c r="B5">
        <v>146.13999999999999</v>
      </c>
      <c r="C5" t="s">
        <v>1852</v>
      </c>
      <c r="D5" t="s">
        <v>1853</v>
      </c>
    </row>
    <row r="6" spans="1:4">
      <c r="A6" t="s">
        <v>878</v>
      </c>
      <c r="B6">
        <v>75.069999999999993</v>
      </c>
      <c r="C6" t="s">
        <v>1852</v>
      </c>
      <c r="D6" t="s">
        <v>1853</v>
      </c>
    </row>
    <row r="7" spans="1:4">
      <c r="A7" t="s">
        <v>928</v>
      </c>
      <c r="B7">
        <v>155.15</v>
      </c>
      <c r="C7" t="s">
        <v>1852</v>
      </c>
      <c r="D7" t="s">
        <v>1853</v>
      </c>
    </row>
    <row r="8" spans="1:4">
      <c r="A8" t="s">
        <v>690</v>
      </c>
      <c r="B8">
        <v>131.16999999999999</v>
      </c>
      <c r="C8" t="s">
        <v>1852</v>
      </c>
      <c r="D8" t="s">
        <v>1853</v>
      </c>
    </row>
    <row r="9" spans="1:4">
      <c r="A9" t="s">
        <v>936</v>
      </c>
      <c r="B9">
        <v>146.19</v>
      </c>
      <c r="C9" t="s">
        <v>1852</v>
      </c>
      <c r="D9" t="s">
        <v>1853</v>
      </c>
    </row>
    <row r="10" spans="1:4">
      <c r="A10" t="s">
        <v>82</v>
      </c>
      <c r="B10">
        <v>149.21</v>
      </c>
      <c r="C10" t="s">
        <v>1852</v>
      </c>
      <c r="D10" t="s">
        <v>1853</v>
      </c>
    </row>
    <row r="11" spans="1:4">
      <c r="A11" t="s">
        <v>94</v>
      </c>
      <c r="B11">
        <v>165.19</v>
      </c>
      <c r="C11" t="s">
        <v>1852</v>
      </c>
      <c r="D11" t="s">
        <v>1853</v>
      </c>
    </row>
    <row r="12" spans="1:4">
      <c r="A12" t="s">
        <v>96</v>
      </c>
      <c r="B12">
        <v>115.13</v>
      </c>
      <c r="C12" t="s">
        <v>1852</v>
      </c>
      <c r="D12" t="s">
        <v>1853</v>
      </c>
    </row>
    <row r="13" spans="1:4">
      <c r="A13" t="s">
        <v>939</v>
      </c>
      <c r="B13">
        <v>119.12</v>
      </c>
      <c r="C13" t="s">
        <v>1852</v>
      </c>
      <c r="D13" t="s">
        <v>1853</v>
      </c>
    </row>
    <row r="14" spans="1:4">
      <c r="A14" t="s">
        <v>560</v>
      </c>
      <c r="B14">
        <v>204.23</v>
      </c>
      <c r="C14" t="s">
        <v>1852</v>
      </c>
      <c r="D14" t="s">
        <v>1853</v>
      </c>
    </row>
    <row r="15" spans="1:4">
      <c r="A15" t="s">
        <v>98</v>
      </c>
      <c r="B15">
        <v>181.19</v>
      </c>
      <c r="C15" t="s">
        <v>1852</v>
      </c>
      <c r="D15" t="s">
        <v>1853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23"/>
  <sheetViews>
    <sheetView workbookViewId="0"/>
  </sheetViews>
  <sheetFormatPr baseColWidth="10" defaultColWidth="9" defaultRowHeight="13.5"/>
  <cols>
    <col min="1" max="1" width="61" customWidth="1"/>
    <col min="2" max="4" width="34" customWidth="1"/>
  </cols>
  <sheetData>
    <row r="1" spans="1:8" ht="17.649999999999999">
      <c r="A1" s="61" t="s">
        <v>1854</v>
      </c>
      <c r="B1" s="61"/>
      <c r="C1" s="61"/>
      <c r="D1" s="61"/>
      <c r="E1" s="61"/>
      <c r="F1" s="61"/>
      <c r="G1" s="61"/>
      <c r="H1" s="61"/>
    </row>
    <row r="3" spans="1:8" ht="13.9">
      <c r="A3" s="53" t="s">
        <v>1855</v>
      </c>
      <c r="B3" s="53" t="s">
        <v>1856</v>
      </c>
      <c r="C3" s="53" t="s">
        <v>1857</v>
      </c>
      <c r="D3" s="53" t="s">
        <v>1858</v>
      </c>
      <c r="E3" s="53"/>
      <c r="F3" s="53"/>
      <c r="G3" s="53"/>
      <c r="H3" s="53"/>
    </row>
    <row r="4" spans="1:8">
      <c r="A4" t="s">
        <v>1859</v>
      </c>
      <c r="B4" t="s">
        <v>1627</v>
      </c>
      <c r="C4" t="s">
        <v>1860</v>
      </c>
      <c r="D4" t="s">
        <v>1861</v>
      </c>
    </row>
    <row r="5" spans="1:8">
      <c r="A5" t="s">
        <v>1862</v>
      </c>
      <c r="B5" t="s">
        <v>1611</v>
      </c>
      <c r="C5" t="s">
        <v>1863</v>
      </c>
      <c r="D5" t="s">
        <v>1864</v>
      </c>
    </row>
    <row r="6" spans="1:8">
      <c r="A6" t="s">
        <v>1865</v>
      </c>
      <c r="B6" t="s">
        <v>1612</v>
      </c>
      <c r="C6" t="s">
        <v>1866</v>
      </c>
      <c r="D6" t="s">
        <v>1867</v>
      </c>
    </row>
    <row r="7" spans="1:8">
      <c r="A7" t="s">
        <v>1868</v>
      </c>
      <c r="B7" t="s">
        <v>1613</v>
      </c>
      <c r="C7" t="s">
        <v>1869</v>
      </c>
      <c r="D7" t="s">
        <v>1870</v>
      </c>
    </row>
    <row r="8" spans="1:8">
      <c r="A8" t="s">
        <v>1871</v>
      </c>
      <c r="B8" t="s">
        <v>1614</v>
      </c>
      <c r="C8" t="s">
        <v>1872</v>
      </c>
      <c r="D8" t="s">
        <v>1873</v>
      </c>
    </row>
    <row r="9" spans="1:8">
      <c r="A9" t="s">
        <v>1874</v>
      </c>
      <c r="B9" t="s">
        <v>1615</v>
      </c>
      <c r="C9" t="s">
        <v>1875</v>
      </c>
      <c r="D9" t="s">
        <v>1876</v>
      </c>
    </row>
    <row r="10" spans="1:8">
      <c r="A10" t="s">
        <v>1877</v>
      </c>
      <c r="B10" t="s">
        <v>1878</v>
      </c>
      <c r="C10" t="s">
        <v>1879</v>
      </c>
      <c r="D10" t="s">
        <v>1880</v>
      </c>
    </row>
    <row r="11" spans="1:8">
      <c r="A11" t="s">
        <v>1881</v>
      </c>
      <c r="B11" t="s">
        <v>1622</v>
      </c>
      <c r="C11" t="s">
        <v>1882</v>
      </c>
      <c r="D11" t="s">
        <v>1883</v>
      </c>
    </row>
    <row r="12" spans="1:8">
      <c r="A12" t="s">
        <v>1884</v>
      </c>
      <c r="B12" t="s">
        <v>1629</v>
      </c>
      <c r="C12" t="s">
        <v>1885</v>
      </c>
      <c r="D12" t="s">
        <v>1886</v>
      </c>
    </row>
    <row r="13" spans="1:8">
      <c r="A13" t="s">
        <v>1887</v>
      </c>
      <c r="B13" t="s">
        <v>1630</v>
      </c>
      <c r="C13" t="s">
        <v>1885</v>
      </c>
      <c r="D13" t="s">
        <v>1888</v>
      </c>
    </row>
    <row r="14" spans="1:8">
      <c r="A14" t="s">
        <v>1889</v>
      </c>
      <c r="B14" t="s">
        <v>1631</v>
      </c>
      <c r="C14" t="s">
        <v>1885</v>
      </c>
      <c r="D14" t="s">
        <v>1890</v>
      </c>
    </row>
    <row r="16" spans="1:8" ht="13.9">
      <c r="A16" s="54" t="s">
        <v>1891</v>
      </c>
      <c r="B16" s="54" t="s">
        <v>1892</v>
      </c>
    </row>
    <row r="17" spans="1:2">
      <c r="A17" t="s">
        <v>1893</v>
      </c>
      <c r="B17" t="s">
        <v>72</v>
      </c>
    </row>
    <row r="18" spans="1:2">
      <c r="A18" t="s">
        <v>1894</v>
      </c>
      <c r="B18" t="s">
        <v>73</v>
      </c>
    </row>
    <row r="19" spans="1:2">
      <c r="A19" t="s">
        <v>1895</v>
      </c>
      <c r="B19" t="s">
        <v>1896</v>
      </c>
    </row>
    <row r="20" spans="1:2">
      <c r="A20" t="s">
        <v>1897</v>
      </c>
      <c r="B20" t="s">
        <v>1898</v>
      </c>
    </row>
    <row r="21" spans="1:2">
      <c r="A21" t="s">
        <v>1899</v>
      </c>
      <c r="B21" t="s">
        <v>1900</v>
      </c>
    </row>
    <row r="22" spans="1:2">
      <c r="A22" t="s">
        <v>1901</v>
      </c>
      <c r="B22" t="s">
        <v>1902</v>
      </c>
    </row>
    <row r="23" spans="1:2">
      <c r="A23" t="s">
        <v>1369</v>
      </c>
      <c r="B23" t="s">
        <v>1903</v>
      </c>
    </row>
  </sheetData>
  <mergeCells count="1">
    <mergeCell ref="A1:H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2"/>
  <sheetViews>
    <sheetView workbookViewId="0"/>
  </sheetViews>
  <sheetFormatPr baseColWidth="10" defaultColWidth="9" defaultRowHeight="13.5"/>
  <cols>
    <col min="1" max="1" width="55.75" customWidth="1"/>
    <col min="2" max="2" width="17.25" customWidth="1"/>
  </cols>
  <sheetData>
    <row r="1" spans="1:6" ht="17.649999999999999">
      <c r="A1" s="62" t="s">
        <v>1904</v>
      </c>
      <c r="B1" s="62"/>
      <c r="C1" s="62"/>
      <c r="D1" s="62"/>
      <c r="E1" s="62"/>
      <c r="F1" s="62"/>
    </row>
    <row r="3" spans="1:6" ht="13.9">
      <c r="A3" s="53" t="s">
        <v>1435</v>
      </c>
      <c r="B3" s="53" t="s">
        <v>1436</v>
      </c>
    </row>
    <row r="4" spans="1:6">
      <c r="A4" t="s">
        <v>1905</v>
      </c>
      <c r="B4">
        <v>588</v>
      </c>
    </row>
    <row r="5" spans="1:6">
      <c r="A5" t="s">
        <v>1906</v>
      </c>
      <c r="B5">
        <v>582</v>
      </c>
    </row>
    <row r="6" spans="1:6">
      <c r="A6" t="s">
        <v>1561</v>
      </c>
      <c r="B6">
        <v>31</v>
      </c>
    </row>
    <row r="7" spans="1:6">
      <c r="A7" t="s">
        <v>1907</v>
      </c>
      <c r="B7">
        <v>6</v>
      </c>
    </row>
    <row r="8" spans="1:6">
      <c r="A8" t="s">
        <v>1908</v>
      </c>
      <c r="B8">
        <v>82</v>
      </c>
    </row>
    <row r="9" spans="1:6">
      <c r="A9" t="s">
        <v>1593</v>
      </c>
      <c r="B9">
        <v>457</v>
      </c>
    </row>
    <row r="10" spans="1:6">
      <c r="A10" t="s">
        <v>1909</v>
      </c>
      <c r="B10">
        <v>11</v>
      </c>
    </row>
    <row r="11" spans="1:6">
      <c r="A11" t="s">
        <v>1910</v>
      </c>
      <c r="B11">
        <v>10</v>
      </c>
    </row>
    <row r="12" spans="1:6">
      <c r="A12" t="s">
        <v>1369</v>
      </c>
      <c r="B12" t="s">
        <v>1911</v>
      </c>
    </row>
  </sheetData>
  <mergeCells count="1">
    <mergeCell ref="A1:F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Y5"/>
  <sheetViews>
    <sheetView workbookViewId="0"/>
  </sheetViews>
  <sheetFormatPr baseColWidth="10" defaultColWidth="9" defaultRowHeight="13.5"/>
  <cols>
    <col min="1" max="1" width="7.5" customWidth="1"/>
    <col min="2" max="2" width="24" customWidth="1"/>
    <col min="3" max="3" width="9.5" customWidth="1"/>
    <col min="4" max="4" width="24" customWidth="1"/>
    <col min="5" max="5" width="9.625" customWidth="1"/>
    <col min="6" max="6" width="4.375" customWidth="1"/>
    <col min="7" max="7" width="8.375" customWidth="1"/>
    <col min="8" max="8" width="24" customWidth="1"/>
    <col min="9" max="9" width="9.375" customWidth="1"/>
    <col min="10" max="10" width="24" customWidth="1"/>
    <col min="11" max="11" width="5.125" customWidth="1"/>
    <col min="12" max="12" width="7" customWidth="1"/>
    <col min="13" max="13" width="9.625" customWidth="1"/>
    <col min="14" max="14" width="6.875" customWidth="1"/>
    <col min="15" max="15" width="3.375" customWidth="1"/>
    <col min="16" max="16" width="6.75" customWidth="1"/>
    <col min="17" max="17" width="3.375" customWidth="1"/>
    <col min="18" max="18" width="4.5" customWidth="1"/>
    <col min="19" max="19" width="4.375" customWidth="1"/>
    <col min="20" max="23" width="24" customWidth="1"/>
    <col min="24" max="24" width="10.5" customWidth="1"/>
    <col min="25" max="25" width="45" customWidth="1"/>
  </cols>
  <sheetData>
    <row r="1" spans="1:25" ht="27.75">
      <c r="A1" s="57" t="s">
        <v>54</v>
      </c>
      <c r="B1" s="57" t="s">
        <v>55</v>
      </c>
      <c r="C1" s="57" t="s">
        <v>56</v>
      </c>
      <c r="D1" s="57" t="s">
        <v>26</v>
      </c>
      <c r="E1" s="57" t="s">
        <v>57</v>
      </c>
      <c r="F1" s="57" t="s">
        <v>58</v>
      </c>
      <c r="G1" s="57" t="s">
        <v>59</v>
      </c>
      <c r="H1" s="57" t="s">
        <v>60</v>
      </c>
      <c r="I1" s="57" t="s">
        <v>61</v>
      </c>
      <c r="J1" s="57" t="s">
        <v>62</v>
      </c>
      <c r="K1" s="57" t="s">
        <v>23</v>
      </c>
      <c r="L1" s="57" t="s">
        <v>24</v>
      </c>
      <c r="M1" s="57" t="s">
        <v>63</v>
      </c>
      <c r="N1" s="57" t="s">
        <v>64</v>
      </c>
      <c r="O1" s="57" t="s">
        <v>66</v>
      </c>
      <c r="P1" s="57" t="s">
        <v>67</v>
      </c>
      <c r="Q1" s="57" t="s">
        <v>69</v>
      </c>
      <c r="R1" s="57" t="s">
        <v>70</v>
      </c>
      <c r="S1" s="57" t="s">
        <v>71</v>
      </c>
      <c r="T1" s="57" t="s">
        <v>74</v>
      </c>
      <c r="U1" s="57" t="s">
        <v>75</v>
      </c>
      <c r="V1" s="57" t="s">
        <v>76</v>
      </c>
      <c r="W1" s="57" t="s">
        <v>77</v>
      </c>
      <c r="X1" s="57" t="s">
        <v>78</v>
      </c>
      <c r="Y1" s="2" t="s">
        <v>1912</v>
      </c>
    </row>
    <row r="2" spans="1:25" ht="40.5">
      <c r="A2" s="2" t="s">
        <v>1178</v>
      </c>
      <c r="B2" s="2" t="s">
        <v>1179</v>
      </c>
      <c r="C2" s="2" t="s">
        <v>1180</v>
      </c>
      <c r="D2" s="2" t="s">
        <v>1181</v>
      </c>
      <c r="E2" s="2" t="s">
        <v>96</v>
      </c>
      <c r="F2" s="2">
        <v>10</v>
      </c>
      <c r="G2" s="2" t="s">
        <v>185</v>
      </c>
      <c r="H2" s="2" t="s">
        <v>376</v>
      </c>
      <c r="I2" s="2" t="s">
        <v>85</v>
      </c>
      <c r="J2" s="2" t="s">
        <v>880</v>
      </c>
      <c r="K2" s="2" t="s">
        <v>41</v>
      </c>
      <c r="L2" s="2" t="s">
        <v>40</v>
      </c>
      <c r="M2" s="2" t="s">
        <v>1182</v>
      </c>
      <c r="N2" s="2">
        <v>20</v>
      </c>
      <c r="O2" s="2">
        <v>5</v>
      </c>
      <c r="P2" s="2">
        <v>17.5</v>
      </c>
      <c r="Q2" s="2">
        <v>5</v>
      </c>
      <c r="R2" s="2">
        <v>1</v>
      </c>
      <c r="S2" s="2">
        <v>0.8</v>
      </c>
      <c r="T2" s="2" t="s">
        <v>1183</v>
      </c>
      <c r="U2" s="2" t="s">
        <v>89</v>
      </c>
      <c r="V2" s="2" t="s">
        <v>1184</v>
      </c>
      <c r="W2" s="2" t="s">
        <v>1185</v>
      </c>
      <c r="X2" s="2" t="s">
        <v>92</v>
      </c>
      <c r="Y2" s="2" t="s">
        <v>1913</v>
      </c>
    </row>
    <row r="3" spans="1:25" ht="27">
      <c r="A3" s="2" t="s">
        <v>1178</v>
      </c>
      <c r="B3" s="2" t="s">
        <v>1186</v>
      </c>
      <c r="C3" s="2" t="s">
        <v>1180</v>
      </c>
      <c r="D3" s="2" t="s">
        <v>1181</v>
      </c>
      <c r="E3" s="2" t="s">
        <v>96</v>
      </c>
      <c r="F3" s="2">
        <v>10</v>
      </c>
      <c r="G3" s="2" t="s">
        <v>185</v>
      </c>
      <c r="H3" s="2" t="s">
        <v>376</v>
      </c>
      <c r="I3" s="2" t="s">
        <v>85</v>
      </c>
      <c r="J3" s="2" t="s">
        <v>880</v>
      </c>
      <c r="K3" s="2" t="s">
        <v>29</v>
      </c>
      <c r="L3" s="2" t="s">
        <v>40</v>
      </c>
      <c r="M3" s="2" t="s">
        <v>1182</v>
      </c>
      <c r="N3" s="2">
        <v>20</v>
      </c>
      <c r="O3" s="2">
        <v>5</v>
      </c>
      <c r="P3" s="2">
        <v>11</v>
      </c>
      <c r="Q3" s="2">
        <v>5</v>
      </c>
      <c r="R3" s="2">
        <v>0.9</v>
      </c>
      <c r="S3" s="2">
        <v>0.7</v>
      </c>
      <c r="T3" s="2" t="s">
        <v>1183</v>
      </c>
      <c r="U3" s="2" t="s">
        <v>89</v>
      </c>
      <c r="V3" s="2" t="s">
        <v>1184</v>
      </c>
      <c r="W3" s="2" t="s">
        <v>1185</v>
      </c>
      <c r="X3" s="2" t="s">
        <v>92</v>
      </c>
    </row>
    <row r="4" spans="1:25" ht="27">
      <c r="A4" s="2" t="s">
        <v>1178</v>
      </c>
      <c r="B4" s="2" t="s">
        <v>1187</v>
      </c>
      <c r="C4" s="2" t="s">
        <v>1180</v>
      </c>
      <c r="D4" s="2" t="s">
        <v>1188</v>
      </c>
      <c r="E4" s="2" t="s">
        <v>96</v>
      </c>
      <c r="F4" s="2">
        <v>10</v>
      </c>
      <c r="G4" s="2" t="s">
        <v>185</v>
      </c>
      <c r="H4" s="2" t="s">
        <v>376</v>
      </c>
      <c r="I4" s="2" t="s">
        <v>85</v>
      </c>
      <c r="J4" s="2" t="s">
        <v>880</v>
      </c>
      <c r="K4" s="2" t="s">
        <v>41</v>
      </c>
      <c r="L4" s="2" t="s">
        <v>40</v>
      </c>
      <c r="M4" s="2" t="s">
        <v>1182</v>
      </c>
      <c r="N4" s="2">
        <v>14.5</v>
      </c>
      <c r="O4" s="2">
        <v>5</v>
      </c>
      <c r="P4" s="2">
        <v>21</v>
      </c>
      <c r="Q4" s="2">
        <v>5</v>
      </c>
      <c r="R4" s="2">
        <v>0.8</v>
      </c>
      <c r="S4" s="2">
        <v>0.9</v>
      </c>
      <c r="T4" s="2" t="s">
        <v>1183</v>
      </c>
      <c r="U4" s="2" t="s">
        <v>89</v>
      </c>
      <c r="V4" s="2" t="s">
        <v>1184</v>
      </c>
      <c r="W4" s="2" t="s">
        <v>1189</v>
      </c>
      <c r="X4" s="2" t="s">
        <v>92</v>
      </c>
    </row>
    <row r="5" spans="1:25" ht="27">
      <c r="A5" s="2" t="s">
        <v>1178</v>
      </c>
      <c r="B5" s="2" t="s">
        <v>1190</v>
      </c>
      <c r="C5" s="2" t="s">
        <v>1180</v>
      </c>
      <c r="D5" s="2" t="s">
        <v>1188</v>
      </c>
      <c r="E5" s="2" t="s">
        <v>96</v>
      </c>
      <c r="F5" s="2">
        <v>10</v>
      </c>
      <c r="G5" s="2" t="s">
        <v>185</v>
      </c>
      <c r="H5" s="2" t="s">
        <v>376</v>
      </c>
      <c r="I5" s="2" t="s">
        <v>85</v>
      </c>
      <c r="J5" s="2" t="s">
        <v>880</v>
      </c>
      <c r="K5" s="2" t="s">
        <v>29</v>
      </c>
      <c r="L5" s="2" t="s">
        <v>40</v>
      </c>
      <c r="M5" s="2" t="s">
        <v>1182</v>
      </c>
      <c r="N5" s="2">
        <v>16</v>
      </c>
      <c r="O5" s="2">
        <v>5</v>
      </c>
      <c r="P5" s="2">
        <v>14</v>
      </c>
      <c r="Q5" s="2">
        <v>5</v>
      </c>
      <c r="R5" s="2">
        <v>1</v>
      </c>
      <c r="S5" s="2">
        <v>0.8</v>
      </c>
      <c r="T5" s="2" t="s">
        <v>1183</v>
      </c>
      <c r="U5" s="2" t="s">
        <v>89</v>
      </c>
      <c r="V5" s="2" t="s">
        <v>1184</v>
      </c>
      <c r="W5" s="2" t="s">
        <v>1189</v>
      </c>
      <c r="X5" s="2" t="s">
        <v>92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Y10"/>
  <sheetViews>
    <sheetView workbookViewId="0"/>
  </sheetViews>
  <sheetFormatPr baseColWidth="10" defaultColWidth="9" defaultRowHeight="13.5"/>
  <cols>
    <col min="1" max="1" width="7.5" customWidth="1"/>
    <col min="2" max="2" width="24" customWidth="1"/>
    <col min="3" max="3" width="9.5" customWidth="1"/>
    <col min="4" max="4" width="24" customWidth="1"/>
    <col min="5" max="5" width="9.625" customWidth="1"/>
    <col min="6" max="6" width="4.375" customWidth="1"/>
    <col min="7" max="7" width="8.375" customWidth="1"/>
    <col min="8" max="8" width="24" customWidth="1"/>
    <col min="9" max="9" width="9.375" customWidth="1"/>
    <col min="10" max="10" width="24" customWidth="1"/>
    <col min="11" max="11" width="5.125" customWidth="1"/>
    <col min="12" max="12" width="7" customWidth="1"/>
    <col min="13" max="13" width="9.75" customWidth="1"/>
    <col min="14" max="14" width="6.875" customWidth="1"/>
    <col min="15" max="15" width="3.375" customWidth="1"/>
    <col min="16" max="16" width="6.75" customWidth="1"/>
    <col min="17" max="17" width="3.375" customWidth="1"/>
    <col min="18" max="18" width="4.5" customWidth="1"/>
    <col min="19" max="19" width="4.375" customWidth="1"/>
    <col min="20" max="23" width="24" customWidth="1"/>
    <col min="24" max="24" width="10.5" customWidth="1"/>
    <col min="25" max="25" width="45" customWidth="1"/>
  </cols>
  <sheetData>
    <row r="1" spans="1:25" ht="27.75">
      <c r="A1" s="57" t="s">
        <v>54</v>
      </c>
      <c r="B1" s="57" t="s">
        <v>55</v>
      </c>
      <c r="C1" s="57" t="s">
        <v>56</v>
      </c>
      <c r="D1" s="57" t="s">
        <v>26</v>
      </c>
      <c r="E1" s="57" t="s">
        <v>57</v>
      </c>
      <c r="F1" s="57" t="s">
        <v>58</v>
      </c>
      <c r="G1" s="57" t="s">
        <v>59</v>
      </c>
      <c r="H1" s="57" t="s">
        <v>60</v>
      </c>
      <c r="I1" s="57" t="s">
        <v>61</v>
      </c>
      <c r="J1" s="57" t="s">
        <v>62</v>
      </c>
      <c r="K1" s="57" t="s">
        <v>23</v>
      </c>
      <c r="L1" s="57" t="s">
        <v>24</v>
      </c>
      <c r="M1" s="57" t="s">
        <v>63</v>
      </c>
      <c r="N1" s="57" t="s">
        <v>64</v>
      </c>
      <c r="O1" s="57" t="s">
        <v>66</v>
      </c>
      <c r="P1" s="57" t="s">
        <v>67</v>
      </c>
      <c r="Q1" s="57" t="s">
        <v>69</v>
      </c>
      <c r="R1" s="57" t="s">
        <v>70</v>
      </c>
      <c r="S1" s="57" t="s">
        <v>71</v>
      </c>
      <c r="T1" s="57" t="s">
        <v>74</v>
      </c>
      <c r="U1" s="57" t="s">
        <v>75</v>
      </c>
      <c r="V1" s="57" t="s">
        <v>76</v>
      </c>
      <c r="W1" s="57" t="s">
        <v>77</v>
      </c>
      <c r="X1" s="57" t="s">
        <v>78</v>
      </c>
      <c r="Y1" s="2" t="s">
        <v>1912</v>
      </c>
    </row>
    <row r="2" spans="1:25" ht="40.5">
      <c r="A2" s="2" t="s">
        <v>1191</v>
      </c>
      <c r="B2" s="2" t="s">
        <v>1192</v>
      </c>
      <c r="C2" s="2" t="s">
        <v>1193</v>
      </c>
      <c r="D2" s="2" t="s">
        <v>1194</v>
      </c>
      <c r="E2" s="2" t="s">
        <v>96</v>
      </c>
      <c r="F2" s="2">
        <v>150</v>
      </c>
      <c r="G2" s="2" t="s">
        <v>185</v>
      </c>
      <c r="H2" s="2" t="s">
        <v>879</v>
      </c>
      <c r="I2" s="2" t="s">
        <v>85</v>
      </c>
      <c r="J2" s="2" t="s">
        <v>86</v>
      </c>
      <c r="K2" s="2" t="s">
        <v>29</v>
      </c>
      <c r="L2" s="2" t="s">
        <v>40</v>
      </c>
      <c r="M2" s="2" t="s">
        <v>188</v>
      </c>
      <c r="N2" s="2">
        <v>38</v>
      </c>
      <c r="O2" s="2">
        <v>3</v>
      </c>
      <c r="P2" s="2">
        <v>21</v>
      </c>
      <c r="Q2" s="2">
        <v>3</v>
      </c>
      <c r="R2" s="2">
        <v>8</v>
      </c>
      <c r="S2" s="2">
        <v>2</v>
      </c>
      <c r="T2" s="2" t="s">
        <v>898</v>
      </c>
      <c r="U2" s="2" t="s">
        <v>89</v>
      </c>
      <c r="V2" s="2" t="s">
        <v>1184</v>
      </c>
      <c r="W2" s="2" t="s">
        <v>1195</v>
      </c>
      <c r="X2" s="2" t="s">
        <v>92</v>
      </c>
      <c r="Y2" s="2" t="s">
        <v>1913</v>
      </c>
    </row>
    <row r="3" spans="1:25" ht="27">
      <c r="A3" s="2" t="s">
        <v>1191</v>
      </c>
      <c r="B3" s="2" t="s">
        <v>1196</v>
      </c>
      <c r="C3" s="2" t="s">
        <v>1193</v>
      </c>
      <c r="D3" s="2" t="s">
        <v>1194</v>
      </c>
      <c r="E3" s="2" t="s">
        <v>96</v>
      </c>
      <c r="F3" s="2">
        <v>150</v>
      </c>
      <c r="G3" s="2" t="s">
        <v>185</v>
      </c>
      <c r="H3" s="2" t="s">
        <v>879</v>
      </c>
      <c r="I3" s="2" t="s">
        <v>85</v>
      </c>
      <c r="J3" s="2" t="s">
        <v>86</v>
      </c>
      <c r="K3" s="2" t="s">
        <v>1197</v>
      </c>
      <c r="L3" s="2" t="s">
        <v>40</v>
      </c>
      <c r="M3" s="2" t="s">
        <v>188</v>
      </c>
      <c r="N3" s="2">
        <v>7.5</v>
      </c>
      <c r="O3" s="2">
        <v>3</v>
      </c>
      <c r="P3" s="2">
        <v>7</v>
      </c>
      <c r="Q3" s="2">
        <v>3</v>
      </c>
      <c r="R3" s="2">
        <v>0.8</v>
      </c>
      <c r="S3" s="2">
        <v>0.6</v>
      </c>
      <c r="T3" s="2" t="s">
        <v>898</v>
      </c>
      <c r="U3" s="2" t="s">
        <v>89</v>
      </c>
      <c r="V3" s="2" t="s">
        <v>1184</v>
      </c>
      <c r="W3" s="2" t="s">
        <v>1195</v>
      </c>
      <c r="X3" s="2" t="s">
        <v>92</v>
      </c>
    </row>
    <row r="4" spans="1:25" ht="27">
      <c r="A4" s="2" t="s">
        <v>1191</v>
      </c>
      <c r="B4" s="2" t="s">
        <v>1198</v>
      </c>
      <c r="C4" s="2" t="s">
        <v>1193</v>
      </c>
      <c r="D4" s="2" t="s">
        <v>1194</v>
      </c>
      <c r="E4" s="2" t="s">
        <v>96</v>
      </c>
      <c r="F4" s="2">
        <v>150</v>
      </c>
      <c r="G4" s="2" t="s">
        <v>185</v>
      </c>
      <c r="H4" s="2" t="s">
        <v>879</v>
      </c>
      <c r="I4" s="2" t="s">
        <v>85</v>
      </c>
      <c r="J4" s="2" t="s">
        <v>86</v>
      </c>
      <c r="K4" s="2" t="s">
        <v>149</v>
      </c>
      <c r="L4" s="2" t="s">
        <v>40</v>
      </c>
      <c r="M4" s="2" t="s">
        <v>188</v>
      </c>
      <c r="N4" s="2">
        <v>11</v>
      </c>
      <c r="O4" s="2">
        <v>3</v>
      </c>
      <c r="P4" s="2">
        <v>18.5</v>
      </c>
      <c r="Q4" s="2">
        <v>3</v>
      </c>
      <c r="R4" s="2">
        <v>1.5</v>
      </c>
      <c r="S4" s="2">
        <v>1</v>
      </c>
      <c r="T4" s="2" t="s">
        <v>898</v>
      </c>
      <c r="U4" s="2" t="s">
        <v>89</v>
      </c>
      <c r="V4" s="2" t="s">
        <v>1184</v>
      </c>
      <c r="W4" s="2" t="s">
        <v>1195</v>
      </c>
      <c r="X4" s="2" t="s">
        <v>92</v>
      </c>
    </row>
    <row r="5" spans="1:25" ht="27">
      <c r="A5" s="2" t="s">
        <v>1191</v>
      </c>
      <c r="B5" s="2" t="s">
        <v>1199</v>
      </c>
      <c r="C5" s="2" t="s">
        <v>1193</v>
      </c>
      <c r="D5" s="2" t="s">
        <v>1194</v>
      </c>
      <c r="E5" s="2" t="s">
        <v>96</v>
      </c>
      <c r="F5" s="2">
        <v>150</v>
      </c>
      <c r="G5" s="2" t="s">
        <v>185</v>
      </c>
      <c r="H5" s="2" t="s">
        <v>879</v>
      </c>
      <c r="I5" s="2" t="s">
        <v>85</v>
      </c>
      <c r="J5" s="2" t="s">
        <v>86</v>
      </c>
      <c r="K5" s="2" t="s">
        <v>29</v>
      </c>
      <c r="L5" s="2" t="s">
        <v>337</v>
      </c>
      <c r="M5" s="2" t="s">
        <v>188</v>
      </c>
      <c r="N5" s="2">
        <v>11.5</v>
      </c>
      <c r="O5" s="2">
        <v>3</v>
      </c>
      <c r="P5" s="2">
        <v>6.8</v>
      </c>
      <c r="Q5" s="2">
        <v>3</v>
      </c>
      <c r="R5" s="2">
        <v>0.8</v>
      </c>
      <c r="S5" s="2">
        <v>0.8</v>
      </c>
      <c r="T5" s="2" t="s">
        <v>1200</v>
      </c>
      <c r="U5" s="2" t="s">
        <v>89</v>
      </c>
      <c r="V5" s="2" t="s">
        <v>1184</v>
      </c>
      <c r="W5" s="2" t="s">
        <v>1195</v>
      </c>
      <c r="X5" s="2" t="s">
        <v>92</v>
      </c>
    </row>
    <row r="6" spans="1:25" ht="27">
      <c r="A6" s="2" t="s">
        <v>1191</v>
      </c>
      <c r="B6" s="2" t="s">
        <v>1201</v>
      </c>
      <c r="C6" s="2" t="s">
        <v>1193</v>
      </c>
      <c r="D6" s="2" t="s">
        <v>1194</v>
      </c>
      <c r="E6" s="2" t="s">
        <v>96</v>
      </c>
      <c r="F6" s="2">
        <v>150</v>
      </c>
      <c r="G6" s="2" t="s">
        <v>185</v>
      </c>
      <c r="H6" s="2" t="s">
        <v>879</v>
      </c>
      <c r="I6" s="2" t="s">
        <v>85</v>
      </c>
      <c r="J6" s="2" t="s">
        <v>86</v>
      </c>
      <c r="K6" s="2" t="s">
        <v>1197</v>
      </c>
      <c r="L6" s="2" t="s">
        <v>337</v>
      </c>
      <c r="M6" s="2" t="s">
        <v>188</v>
      </c>
      <c r="N6" s="2">
        <v>3</v>
      </c>
      <c r="O6" s="2">
        <v>3</v>
      </c>
      <c r="P6" s="2">
        <v>3.2</v>
      </c>
      <c r="Q6" s="2">
        <v>3</v>
      </c>
      <c r="R6" s="2">
        <v>0.3</v>
      </c>
      <c r="S6" s="2">
        <v>0.5</v>
      </c>
      <c r="T6" s="2" t="s">
        <v>1200</v>
      </c>
      <c r="U6" s="2" t="s">
        <v>89</v>
      </c>
      <c r="V6" s="2" t="s">
        <v>1184</v>
      </c>
      <c r="W6" s="2" t="s">
        <v>1195</v>
      </c>
      <c r="X6" s="2" t="s">
        <v>92</v>
      </c>
    </row>
    <row r="7" spans="1:25" ht="27">
      <c r="A7" s="2" t="s">
        <v>1191</v>
      </c>
      <c r="B7" s="2" t="s">
        <v>1202</v>
      </c>
      <c r="C7" s="2" t="s">
        <v>1193</v>
      </c>
      <c r="D7" s="2" t="s">
        <v>1194</v>
      </c>
      <c r="E7" s="2" t="s">
        <v>96</v>
      </c>
      <c r="F7" s="2">
        <v>150</v>
      </c>
      <c r="G7" s="2" t="s">
        <v>185</v>
      </c>
      <c r="H7" s="2" t="s">
        <v>879</v>
      </c>
      <c r="I7" s="2" t="s">
        <v>85</v>
      </c>
      <c r="J7" s="2" t="s">
        <v>86</v>
      </c>
      <c r="K7" s="2" t="s">
        <v>149</v>
      </c>
      <c r="L7" s="2" t="s">
        <v>337</v>
      </c>
      <c r="M7" s="2" t="s">
        <v>188</v>
      </c>
      <c r="N7" s="2">
        <v>2.5</v>
      </c>
      <c r="O7" s="2">
        <v>3</v>
      </c>
      <c r="P7" s="2">
        <v>3.2</v>
      </c>
      <c r="Q7" s="2">
        <v>3</v>
      </c>
      <c r="R7" s="2">
        <v>0.3</v>
      </c>
      <c r="S7" s="2">
        <v>0.3</v>
      </c>
      <c r="T7" s="2" t="s">
        <v>1200</v>
      </c>
      <c r="U7" s="2" t="s">
        <v>89</v>
      </c>
      <c r="V7" s="2" t="s">
        <v>1184</v>
      </c>
      <c r="W7" s="2" t="s">
        <v>1195</v>
      </c>
      <c r="X7" s="2" t="s">
        <v>92</v>
      </c>
    </row>
    <row r="8" spans="1:25" ht="27">
      <c r="A8" s="2" t="s">
        <v>1191</v>
      </c>
      <c r="B8" s="2" t="s">
        <v>1203</v>
      </c>
      <c r="C8" s="2" t="s">
        <v>1193</v>
      </c>
      <c r="D8" s="2" t="s">
        <v>1194</v>
      </c>
      <c r="E8" s="2" t="s">
        <v>96</v>
      </c>
      <c r="F8" s="2">
        <v>150</v>
      </c>
      <c r="G8" s="2" t="s">
        <v>185</v>
      </c>
      <c r="H8" s="2" t="s">
        <v>879</v>
      </c>
      <c r="I8" s="2" t="s">
        <v>85</v>
      </c>
      <c r="J8" s="2" t="s">
        <v>86</v>
      </c>
      <c r="K8" s="2" t="s">
        <v>29</v>
      </c>
      <c r="L8" s="2" t="s">
        <v>30</v>
      </c>
      <c r="M8" s="2" t="s">
        <v>188</v>
      </c>
      <c r="N8" s="2">
        <v>4.1100000000000003</v>
      </c>
      <c r="O8" s="2">
        <v>3</v>
      </c>
      <c r="P8" s="2">
        <v>2.8</v>
      </c>
      <c r="Q8" s="2">
        <v>3</v>
      </c>
      <c r="R8" s="2">
        <v>1.3</v>
      </c>
      <c r="S8" s="2">
        <v>0.4</v>
      </c>
      <c r="T8" s="2" t="s">
        <v>1204</v>
      </c>
      <c r="U8" s="2" t="s">
        <v>89</v>
      </c>
      <c r="V8" s="2" t="s">
        <v>1184</v>
      </c>
      <c r="W8" s="2" t="s">
        <v>1195</v>
      </c>
      <c r="X8" s="2" t="s">
        <v>92</v>
      </c>
    </row>
    <row r="9" spans="1:25" ht="27">
      <c r="A9" s="2" t="s">
        <v>1191</v>
      </c>
      <c r="B9" s="2" t="s">
        <v>1205</v>
      </c>
      <c r="C9" s="2" t="s">
        <v>1193</v>
      </c>
      <c r="D9" s="2" t="s">
        <v>1194</v>
      </c>
      <c r="E9" s="2" t="s">
        <v>96</v>
      </c>
      <c r="F9" s="2">
        <v>150</v>
      </c>
      <c r="G9" s="2" t="s">
        <v>185</v>
      </c>
      <c r="H9" s="2" t="s">
        <v>879</v>
      </c>
      <c r="I9" s="2" t="s">
        <v>85</v>
      </c>
      <c r="J9" s="2" t="s">
        <v>86</v>
      </c>
      <c r="K9" s="2" t="s">
        <v>1197</v>
      </c>
      <c r="L9" s="2" t="s">
        <v>30</v>
      </c>
      <c r="M9" s="2" t="s">
        <v>188</v>
      </c>
      <c r="N9" s="2">
        <v>1.7</v>
      </c>
      <c r="O9" s="2">
        <v>3</v>
      </c>
      <c r="P9" s="2">
        <v>1.5</v>
      </c>
      <c r="Q9" s="2">
        <v>3</v>
      </c>
      <c r="R9" s="2">
        <v>0.25</v>
      </c>
      <c r="S9" s="2">
        <v>0.2</v>
      </c>
      <c r="T9" s="2" t="s">
        <v>1204</v>
      </c>
      <c r="U9" s="2" t="s">
        <v>89</v>
      </c>
      <c r="V9" s="2" t="s">
        <v>1184</v>
      </c>
      <c r="W9" s="2" t="s">
        <v>1195</v>
      </c>
      <c r="X9" s="2" t="s">
        <v>92</v>
      </c>
    </row>
    <row r="10" spans="1:25" ht="27">
      <c r="A10" s="2" t="s">
        <v>1191</v>
      </c>
      <c r="B10" s="2" t="s">
        <v>1206</v>
      </c>
      <c r="C10" s="2" t="s">
        <v>1193</v>
      </c>
      <c r="D10" s="2" t="s">
        <v>1194</v>
      </c>
      <c r="E10" s="2" t="s">
        <v>96</v>
      </c>
      <c r="F10" s="2">
        <v>150</v>
      </c>
      <c r="G10" s="2" t="s">
        <v>185</v>
      </c>
      <c r="H10" s="2" t="s">
        <v>879</v>
      </c>
      <c r="I10" s="2" t="s">
        <v>85</v>
      </c>
      <c r="J10" s="2" t="s">
        <v>86</v>
      </c>
      <c r="K10" s="2" t="s">
        <v>149</v>
      </c>
      <c r="L10" s="2" t="s">
        <v>30</v>
      </c>
      <c r="M10" s="2" t="s">
        <v>188</v>
      </c>
      <c r="N10" s="2">
        <v>0.8</v>
      </c>
      <c r="O10" s="2">
        <v>3</v>
      </c>
      <c r="P10" s="2">
        <v>1.4</v>
      </c>
      <c r="Q10" s="2">
        <v>3</v>
      </c>
      <c r="R10" s="2">
        <v>0.12</v>
      </c>
      <c r="S10" s="2">
        <v>0.15</v>
      </c>
      <c r="T10" s="2" t="s">
        <v>1204</v>
      </c>
      <c r="U10" s="2" t="s">
        <v>89</v>
      </c>
      <c r="V10" s="2" t="s">
        <v>1184</v>
      </c>
      <c r="W10" s="2" t="s">
        <v>1195</v>
      </c>
      <c r="X10" s="2" t="s">
        <v>92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8"/>
  <sheetViews>
    <sheetView workbookViewId="0"/>
  </sheetViews>
  <sheetFormatPr baseColWidth="10" defaultColWidth="9" defaultRowHeight="13.5"/>
  <cols>
    <col min="1" max="1" width="30" customWidth="1"/>
    <col min="2" max="2" width="55" customWidth="1"/>
  </cols>
  <sheetData>
    <row r="1" spans="1:2" ht="13.9">
      <c r="A1" s="56" t="s">
        <v>1914</v>
      </c>
      <c r="B1" s="56" t="s">
        <v>1436</v>
      </c>
    </row>
    <row r="2" spans="1:2">
      <c r="A2" s="2" t="s">
        <v>1915</v>
      </c>
      <c r="B2" s="2">
        <v>575</v>
      </c>
    </row>
    <row r="3" spans="1:2">
      <c r="A3" s="2" t="s">
        <v>1916</v>
      </c>
      <c r="B3" s="2">
        <v>4</v>
      </c>
    </row>
    <row r="4" spans="1:2">
      <c r="A4" s="2" t="s">
        <v>1917</v>
      </c>
      <c r="B4" s="2">
        <v>9</v>
      </c>
    </row>
    <row r="5" spans="1:2">
      <c r="A5" s="2" t="s">
        <v>1905</v>
      </c>
      <c r="B5" s="2">
        <v>588</v>
      </c>
    </row>
    <row r="6" spans="1:2">
      <c r="A6" s="2" t="s">
        <v>1918</v>
      </c>
      <c r="B6" s="2">
        <v>29</v>
      </c>
    </row>
    <row r="7" spans="1:2">
      <c r="A7" s="2" t="s">
        <v>1919</v>
      </c>
      <c r="B7" s="2">
        <v>31</v>
      </c>
    </row>
    <row r="8" spans="1:2" ht="27">
      <c r="A8" s="2" t="s">
        <v>1920</v>
      </c>
      <c r="B8" s="2" t="s">
        <v>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README</vt:lpstr>
      <vt:lpstr>SADDIQUE2022_RAW</vt:lpstr>
      <vt:lpstr>ABORYIA2022_RAW</vt:lpstr>
      <vt:lpstr>EFFECTS_READY</vt:lpstr>
      <vt:lpstr>ALI2008_STATUS</vt:lpstr>
      <vt:lpstr>ALI2008_RAW</vt:lpstr>
      <vt:lpstr>HAYAT2021_RAW</vt:lpstr>
      <vt:lpstr>AHMED2020_RAW</vt:lpstr>
      <vt:lpstr>STUDIES</vt:lpstr>
      <vt:lpstr>SUMMARY</vt:lpstr>
      <vt:lpstr>GAO2025_RAW</vt:lpstr>
      <vt:lpstr>SHAHBAZ2013_RAW</vt:lpstr>
      <vt:lpstr>ALFOSEA2020_RAW</vt:lpstr>
      <vt:lpstr>SHAHID2021_RAW</vt:lpstr>
      <vt:lpstr>MAQSOOD2022_RAW</vt:lpstr>
      <vt:lpstr>WU2017_RAW</vt:lpstr>
      <vt:lpstr>SUN2022_RAW</vt:lpstr>
      <vt:lpstr>FARDUS2021_RAW</vt:lpstr>
      <vt:lpstr>GHAFOOR2026_RAW</vt:lpstr>
      <vt:lpstr>TURFAN2026_RAW</vt:lpstr>
      <vt:lpstr>SELOVIC2023_RAW</vt:lpstr>
      <vt:lpstr>NOREEN2018_RAW</vt:lpstr>
      <vt:lpstr>BADRAN2014_RAW</vt:lpstr>
      <vt:lpstr>HUANG2009_RAW</vt:lpstr>
      <vt:lpstr>ATTA2024_PENDING</vt:lpstr>
      <vt:lpstr>BUSHRA2023_RAW</vt:lpstr>
      <vt:lpstr>ABDELKADER2023_RAW</vt:lpstr>
      <vt:lpstr>ZOUARI2016_RAW</vt:lpstr>
      <vt:lpstr>ALSHAHARNI2026_RAW</vt:lpstr>
      <vt:lpstr>ELHAKEM2026_RAW</vt:lpstr>
      <vt:lpstr>MAHBOOB2016_RAW</vt:lpstr>
      <vt:lpstr>ZOUARI_DATEPALM_RAW</vt:lpstr>
      <vt:lpstr>GENC2021_RAW</vt:lpstr>
      <vt:lpstr>KHAJEHZADEH2022_RAW</vt:lpstr>
      <vt:lpstr>CACEFO2021_RAW</vt:lpstr>
      <vt:lpstr>META_AUDIT</vt:lpstr>
      <vt:lpstr>AUDIT_STUDY_COUNTS</vt:lpstr>
      <vt:lpstr>AUDIT_EXTREMES</vt:lpstr>
      <vt:lpstr>META_ANALYSIS_READY</vt:lpstr>
      <vt:lpstr>AA_MOLECULAR_WEIGHTS</vt:lpstr>
      <vt:lpstr>MODEL_GUIDE</vt:lpstr>
      <vt:lpstr>FINAL_READY_SUMMARY</vt:lpstr>
      <vt:lpstr>KOC2024_RAW</vt:lpstr>
      <vt:lpstr>YAN2025_RAW</vt:lpstr>
      <vt:lpstr>UPDATE_2026_08_31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Libardo Lerma Lasso</cp:lastModifiedBy>
  <dcterms:modified xsi:type="dcterms:W3CDTF">2026-08-31T23:04:18Z</dcterms:modified>
</cp:coreProperties>
</file>